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500"/>
  </bookViews>
  <sheets>
    <sheet name="TCAC_2018_REEMPLAZABLE" sheetId="1" r:id="rId1"/>
    <sheet name="Hoja1" sheetId="2" r:id="rId2"/>
  </sheets>
  <definedNames>
    <definedName name="_xlnm._FilterDatabase" localSheetId="0" hidden="1">TCAC_2018_REEMPLAZABLE!$A$1:$AM$857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630" i="1" l="1"/>
  <c r="AK630" i="1" s="1"/>
  <c r="AL630" i="1"/>
  <c r="AM630" i="1"/>
  <c r="AJ494" i="1"/>
  <c r="AK494" i="1" s="1"/>
  <c r="AL494" i="1"/>
  <c r="AM494" i="1"/>
  <c r="AJ122" i="1" l="1"/>
  <c r="AK122" i="1" s="1"/>
  <c r="AL122" i="1"/>
  <c r="AM122" i="1"/>
  <c r="AJ667" i="1"/>
  <c r="AK667" i="1" s="1"/>
  <c r="AL667" i="1"/>
  <c r="AM667" i="1"/>
  <c r="AJ123" i="1"/>
  <c r="AK123" i="1" s="1"/>
  <c r="AL123" i="1"/>
  <c r="AM123" i="1"/>
  <c r="AJ3" i="1" l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619" i="1"/>
  <c r="AJ620" i="1"/>
  <c r="AJ621" i="1"/>
  <c r="AJ622" i="1"/>
  <c r="AJ623" i="1"/>
  <c r="AJ624" i="1"/>
  <c r="AJ625" i="1"/>
  <c r="AJ626" i="1"/>
  <c r="AJ627" i="1"/>
  <c r="AJ628" i="1"/>
  <c r="AJ629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K121" i="1" s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619" i="1"/>
  <c r="AL620" i="1"/>
  <c r="AL621" i="1"/>
  <c r="AL622" i="1"/>
  <c r="AL623" i="1"/>
  <c r="AL624" i="1"/>
  <c r="AL625" i="1"/>
  <c r="AL626" i="1"/>
  <c r="AL627" i="1"/>
  <c r="AL628" i="1"/>
  <c r="AL629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2" i="1"/>
  <c r="AM121" i="1"/>
  <c r="AK91" i="1" l="1"/>
  <c r="AM91" i="1"/>
  <c r="AK92" i="1"/>
  <c r="AM92" i="1"/>
  <c r="AK93" i="1"/>
  <c r="AM93" i="1"/>
  <c r="AK94" i="1"/>
  <c r="AM94" i="1"/>
  <c r="AK95" i="1"/>
  <c r="AM95" i="1"/>
  <c r="AK96" i="1"/>
  <c r="AM96" i="1"/>
  <c r="AK97" i="1"/>
  <c r="AM97" i="1"/>
  <c r="AK98" i="1"/>
  <c r="AM98" i="1"/>
  <c r="AK99" i="1"/>
  <c r="AM99" i="1"/>
  <c r="AK100" i="1"/>
  <c r="AM100" i="1"/>
  <c r="AK101" i="1"/>
  <c r="AM101" i="1"/>
  <c r="AK102" i="1"/>
  <c r="AM102" i="1"/>
  <c r="AK103" i="1"/>
  <c r="AM103" i="1"/>
  <c r="AK104" i="1"/>
  <c r="AM104" i="1"/>
  <c r="AK105" i="1"/>
  <c r="AM105" i="1"/>
  <c r="AK106" i="1"/>
  <c r="AM106" i="1"/>
  <c r="AK107" i="1"/>
  <c r="AM107" i="1"/>
  <c r="AK108" i="1"/>
  <c r="AM108" i="1"/>
  <c r="AK109" i="1"/>
  <c r="AM109" i="1"/>
  <c r="AK110" i="1"/>
  <c r="AM110" i="1"/>
  <c r="AK111" i="1"/>
  <c r="AM111" i="1"/>
  <c r="AK112" i="1"/>
  <c r="AM112" i="1"/>
  <c r="AK113" i="1"/>
  <c r="AM113" i="1"/>
  <c r="AK114" i="1"/>
  <c r="AM114" i="1"/>
  <c r="AK115" i="1"/>
  <c r="AM115" i="1"/>
  <c r="AK116" i="1"/>
  <c r="AM116" i="1"/>
  <c r="AK117" i="1"/>
  <c r="AM117" i="1"/>
  <c r="AK118" i="1"/>
  <c r="AM118" i="1"/>
  <c r="AK119" i="1"/>
  <c r="AM119" i="1"/>
  <c r="AK120" i="1"/>
  <c r="AM120" i="1"/>
  <c r="AK572" i="1"/>
  <c r="AM572" i="1"/>
  <c r="AK573" i="1"/>
  <c r="AM573" i="1"/>
  <c r="AK574" i="1"/>
  <c r="AM574" i="1"/>
  <c r="AK575" i="1"/>
  <c r="AM575" i="1"/>
  <c r="AK576" i="1"/>
  <c r="AM576" i="1"/>
  <c r="AK577" i="1"/>
  <c r="AM577" i="1"/>
  <c r="AK578" i="1"/>
  <c r="AM578" i="1"/>
  <c r="AK579" i="1"/>
  <c r="AM579" i="1"/>
  <c r="AK580" i="1"/>
  <c r="AM580" i="1"/>
  <c r="AK581" i="1"/>
  <c r="AM581" i="1"/>
  <c r="AK582" i="1"/>
  <c r="AM582" i="1"/>
  <c r="AK583" i="1"/>
  <c r="AM583" i="1"/>
  <c r="AK584" i="1"/>
  <c r="AM584" i="1"/>
  <c r="AK585" i="1"/>
  <c r="AM585" i="1"/>
  <c r="AK586" i="1"/>
  <c r="AM586" i="1"/>
  <c r="AK587" i="1"/>
  <c r="AM587" i="1"/>
  <c r="AK588" i="1"/>
  <c r="AM588" i="1"/>
  <c r="AK589" i="1"/>
  <c r="AM589" i="1"/>
  <c r="AK590" i="1"/>
  <c r="AM590" i="1"/>
  <c r="AK591" i="1"/>
  <c r="AM591" i="1"/>
  <c r="AK592" i="1"/>
  <c r="AM592" i="1"/>
  <c r="AK593" i="1"/>
  <c r="AM593" i="1"/>
  <c r="AK594" i="1"/>
  <c r="AM594" i="1"/>
  <c r="AK595" i="1"/>
  <c r="AM595" i="1"/>
  <c r="AK596" i="1"/>
  <c r="AM596" i="1"/>
  <c r="AK597" i="1"/>
  <c r="AM597" i="1"/>
  <c r="AK598" i="1"/>
  <c r="AM598" i="1"/>
  <c r="AK599" i="1"/>
  <c r="AM599" i="1"/>
  <c r="AK600" i="1"/>
  <c r="AM600" i="1"/>
  <c r="AK601" i="1"/>
  <c r="AM601" i="1"/>
  <c r="AK602" i="1"/>
  <c r="AM602" i="1"/>
  <c r="AK603" i="1"/>
  <c r="AM603" i="1"/>
  <c r="AK604" i="1"/>
  <c r="AM604" i="1"/>
  <c r="AK605" i="1"/>
  <c r="AM605" i="1"/>
  <c r="AK606" i="1"/>
  <c r="AM606" i="1"/>
  <c r="AK607" i="1"/>
  <c r="AM607" i="1"/>
  <c r="AK608" i="1"/>
  <c r="AM608" i="1"/>
  <c r="AK609" i="1"/>
  <c r="AM609" i="1"/>
  <c r="AK610" i="1"/>
  <c r="AM610" i="1"/>
  <c r="AK611" i="1"/>
  <c r="AM611" i="1"/>
  <c r="AK612" i="1"/>
  <c r="AM612" i="1"/>
  <c r="AK613" i="1"/>
  <c r="AM613" i="1"/>
  <c r="AK614" i="1"/>
  <c r="AM614" i="1"/>
  <c r="AK615" i="1"/>
  <c r="AM615" i="1"/>
  <c r="AK616" i="1"/>
  <c r="AM616" i="1"/>
  <c r="AK617" i="1"/>
  <c r="AM617" i="1"/>
  <c r="AK618" i="1"/>
  <c r="AM618" i="1"/>
  <c r="AK3" i="1"/>
  <c r="AM3" i="1"/>
  <c r="AK4" i="1"/>
  <c r="AM4" i="1"/>
  <c r="AK5" i="1"/>
  <c r="AM5" i="1"/>
  <c r="AK6" i="1"/>
  <c r="AM6" i="1"/>
  <c r="AK7" i="1"/>
  <c r="AM7" i="1"/>
  <c r="AK8" i="1"/>
  <c r="AM8" i="1"/>
  <c r="AK9" i="1"/>
  <c r="AM9" i="1"/>
  <c r="AK10" i="1"/>
  <c r="AM10" i="1"/>
  <c r="AK11" i="1"/>
  <c r="AM11" i="1"/>
  <c r="AK12" i="1"/>
  <c r="AM12" i="1"/>
  <c r="AK13" i="1"/>
  <c r="AM13" i="1"/>
  <c r="AK14" i="1"/>
  <c r="AM14" i="1"/>
  <c r="AK15" i="1"/>
  <c r="AM15" i="1"/>
  <c r="AK16" i="1"/>
  <c r="AM16" i="1"/>
  <c r="AK17" i="1"/>
  <c r="AM17" i="1"/>
  <c r="AK18" i="1"/>
  <c r="AM18" i="1"/>
  <c r="AK19" i="1"/>
  <c r="AM19" i="1"/>
  <c r="AK20" i="1"/>
  <c r="AM20" i="1"/>
  <c r="AK21" i="1"/>
  <c r="AM21" i="1"/>
  <c r="AK22" i="1"/>
  <c r="AM22" i="1"/>
  <c r="AK23" i="1"/>
  <c r="AM23" i="1"/>
  <c r="AK24" i="1"/>
  <c r="AM24" i="1"/>
  <c r="AK25" i="1"/>
  <c r="AM25" i="1"/>
  <c r="AK26" i="1"/>
  <c r="AM26" i="1"/>
  <c r="AK27" i="1"/>
  <c r="AM27" i="1"/>
  <c r="AK28" i="1"/>
  <c r="AM28" i="1"/>
  <c r="AK29" i="1"/>
  <c r="AM29" i="1"/>
  <c r="AK30" i="1"/>
  <c r="AM30" i="1"/>
  <c r="AK31" i="1"/>
  <c r="AM31" i="1"/>
  <c r="AK32" i="1"/>
  <c r="AM32" i="1"/>
  <c r="AK33" i="1"/>
  <c r="AM33" i="1"/>
  <c r="AK34" i="1"/>
  <c r="AM34" i="1"/>
  <c r="AK35" i="1"/>
  <c r="AM35" i="1"/>
  <c r="AK36" i="1"/>
  <c r="AM36" i="1"/>
  <c r="AK37" i="1"/>
  <c r="AM37" i="1"/>
  <c r="AK38" i="1"/>
  <c r="AM38" i="1"/>
  <c r="AK39" i="1"/>
  <c r="AM39" i="1"/>
  <c r="AK40" i="1"/>
  <c r="AM40" i="1"/>
  <c r="AK41" i="1"/>
  <c r="AM41" i="1"/>
  <c r="AK42" i="1"/>
  <c r="AM42" i="1"/>
  <c r="AK43" i="1"/>
  <c r="AM43" i="1"/>
  <c r="AK44" i="1"/>
  <c r="AM44" i="1"/>
  <c r="AK45" i="1"/>
  <c r="AM45" i="1"/>
  <c r="AK46" i="1"/>
  <c r="AM46" i="1"/>
  <c r="AK47" i="1"/>
  <c r="AM47" i="1"/>
  <c r="AK48" i="1"/>
  <c r="AM48" i="1"/>
  <c r="AK49" i="1"/>
  <c r="AM49" i="1"/>
  <c r="AK50" i="1"/>
  <c r="AM50" i="1"/>
  <c r="AK51" i="1"/>
  <c r="AM51" i="1"/>
  <c r="AK52" i="1"/>
  <c r="AM52" i="1"/>
  <c r="AK53" i="1"/>
  <c r="AM53" i="1"/>
  <c r="AK54" i="1"/>
  <c r="AM54" i="1"/>
  <c r="AK55" i="1"/>
  <c r="AM55" i="1"/>
  <c r="AK56" i="1"/>
  <c r="AM56" i="1"/>
  <c r="AK57" i="1"/>
  <c r="AM57" i="1"/>
  <c r="AK58" i="1"/>
  <c r="AM58" i="1"/>
  <c r="AK59" i="1"/>
  <c r="AM59" i="1"/>
  <c r="AK60" i="1"/>
  <c r="AM60" i="1"/>
  <c r="AK61" i="1"/>
  <c r="AM61" i="1"/>
  <c r="AK62" i="1"/>
  <c r="AM62" i="1"/>
  <c r="AK63" i="1"/>
  <c r="AM63" i="1"/>
  <c r="AK64" i="1"/>
  <c r="AM64" i="1"/>
  <c r="AK65" i="1"/>
  <c r="AM65" i="1"/>
  <c r="AK66" i="1"/>
  <c r="AM66" i="1"/>
  <c r="AK67" i="1"/>
  <c r="AM67" i="1"/>
  <c r="AK68" i="1"/>
  <c r="AM68" i="1"/>
  <c r="AK69" i="1"/>
  <c r="AM69" i="1"/>
  <c r="AK70" i="1"/>
  <c r="AM70" i="1"/>
  <c r="AK71" i="1"/>
  <c r="AM71" i="1"/>
  <c r="AK72" i="1"/>
  <c r="AM72" i="1"/>
  <c r="AK73" i="1"/>
  <c r="AM73" i="1"/>
  <c r="AK74" i="1"/>
  <c r="AM74" i="1"/>
  <c r="AK75" i="1"/>
  <c r="AM75" i="1"/>
  <c r="AK76" i="1"/>
  <c r="AM76" i="1"/>
  <c r="AK77" i="1"/>
  <c r="AM77" i="1"/>
  <c r="AK78" i="1"/>
  <c r="AM78" i="1"/>
  <c r="AK79" i="1"/>
  <c r="AM79" i="1"/>
  <c r="AK80" i="1"/>
  <c r="AM80" i="1"/>
  <c r="AK81" i="1"/>
  <c r="AM81" i="1"/>
  <c r="AK82" i="1"/>
  <c r="AM82" i="1"/>
  <c r="AK83" i="1"/>
  <c r="AM83" i="1"/>
  <c r="AK84" i="1"/>
  <c r="AM84" i="1"/>
  <c r="AK85" i="1"/>
  <c r="AM85" i="1"/>
  <c r="AK86" i="1"/>
  <c r="AM86" i="1"/>
  <c r="AK87" i="1"/>
  <c r="AM87" i="1"/>
  <c r="AK88" i="1"/>
  <c r="AM88" i="1"/>
  <c r="AK89" i="1"/>
  <c r="AM89" i="1"/>
  <c r="AK90" i="1"/>
  <c r="AM90" i="1"/>
  <c r="AK124" i="1"/>
  <c r="AM124" i="1"/>
  <c r="AK125" i="1"/>
  <c r="AM125" i="1"/>
  <c r="AK126" i="1"/>
  <c r="AM126" i="1"/>
  <c r="AK127" i="1"/>
  <c r="AM127" i="1"/>
  <c r="AK128" i="1"/>
  <c r="AM128" i="1"/>
  <c r="AK129" i="1"/>
  <c r="AM129" i="1"/>
  <c r="AK130" i="1"/>
  <c r="AM130" i="1"/>
  <c r="AK131" i="1"/>
  <c r="AM131" i="1"/>
  <c r="AK132" i="1"/>
  <c r="AM132" i="1"/>
  <c r="AK133" i="1"/>
  <c r="AM133" i="1"/>
  <c r="AK134" i="1"/>
  <c r="AM134" i="1"/>
  <c r="AK135" i="1"/>
  <c r="AM135" i="1"/>
  <c r="AK136" i="1"/>
  <c r="AM136" i="1"/>
  <c r="AK137" i="1"/>
  <c r="AM137" i="1"/>
  <c r="AK138" i="1"/>
  <c r="AM138" i="1"/>
  <c r="AK139" i="1"/>
  <c r="AM139" i="1"/>
  <c r="AK140" i="1"/>
  <c r="AM140" i="1"/>
  <c r="AK141" i="1"/>
  <c r="AM141" i="1"/>
  <c r="AK142" i="1"/>
  <c r="AM142" i="1"/>
  <c r="AK143" i="1"/>
  <c r="AM143" i="1"/>
  <c r="AK144" i="1"/>
  <c r="AM144" i="1"/>
  <c r="AK145" i="1"/>
  <c r="AM145" i="1"/>
  <c r="AK146" i="1"/>
  <c r="AM146" i="1"/>
  <c r="AK147" i="1"/>
  <c r="AM147" i="1"/>
  <c r="AK148" i="1"/>
  <c r="AM148" i="1"/>
  <c r="AK149" i="1"/>
  <c r="AM149" i="1"/>
  <c r="AK150" i="1"/>
  <c r="AM150" i="1"/>
  <c r="AK151" i="1"/>
  <c r="AM151" i="1"/>
  <c r="AK152" i="1"/>
  <c r="AM152" i="1"/>
  <c r="AK153" i="1"/>
  <c r="AM153" i="1"/>
  <c r="AK154" i="1"/>
  <c r="AM154" i="1"/>
  <c r="AK155" i="1"/>
  <c r="AM155" i="1"/>
  <c r="AK156" i="1"/>
  <c r="AM156" i="1"/>
  <c r="AK157" i="1"/>
  <c r="AM157" i="1"/>
  <c r="AK158" i="1"/>
  <c r="AM158" i="1"/>
  <c r="AK159" i="1"/>
  <c r="AM159" i="1"/>
  <c r="AK160" i="1"/>
  <c r="AM160" i="1"/>
  <c r="AK161" i="1"/>
  <c r="AM161" i="1"/>
  <c r="AK162" i="1"/>
  <c r="AM162" i="1"/>
  <c r="AK163" i="1"/>
  <c r="AM163" i="1"/>
  <c r="AK164" i="1"/>
  <c r="AM164" i="1"/>
  <c r="AK165" i="1"/>
  <c r="AM165" i="1"/>
  <c r="AK166" i="1"/>
  <c r="AM166" i="1"/>
  <c r="AK167" i="1"/>
  <c r="AM167" i="1"/>
  <c r="AK168" i="1"/>
  <c r="AM168" i="1"/>
  <c r="AK169" i="1"/>
  <c r="AM169" i="1"/>
  <c r="AK170" i="1"/>
  <c r="AM170" i="1"/>
  <c r="AK171" i="1"/>
  <c r="AM171" i="1"/>
  <c r="AK172" i="1"/>
  <c r="AM172" i="1"/>
  <c r="AK173" i="1"/>
  <c r="AM173" i="1"/>
  <c r="AK174" i="1"/>
  <c r="AM174" i="1"/>
  <c r="AK175" i="1"/>
  <c r="AM175" i="1"/>
  <c r="AK176" i="1"/>
  <c r="AM176" i="1"/>
  <c r="AK177" i="1"/>
  <c r="AM177" i="1"/>
  <c r="AK178" i="1"/>
  <c r="AM178" i="1"/>
  <c r="AK179" i="1"/>
  <c r="AM179" i="1"/>
  <c r="AK180" i="1"/>
  <c r="AM180" i="1"/>
  <c r="AK181" i="1"/>
  <c r="AM181" i="1"/>
  <c r="AK182" i="1"/>
  <c r="AM182" i="1"/>
  <c r="AK183" i="1"/>
  <c r="AM183" i="1"/>
  <c r="AK184" i="1"/>
  <c r="AM184" i="1"/>
  <c r="AK185" i="1"/>
  <c r="AM185" i="1"/>
  <c r="AK186" i="1"/>
  <c r="AM186" i="1"/>
  <c r="AK187" i="1"/>
  <c r="AM187" i="1"/>
  <c r="AK188" i="1"/>
  <c r="AM188" i="1"/>
  <c r="AK189" i="1"/>
  <c r="AM189" i="1"/>
  <c r="AK190" i="1"/>
  <c r="AM190" i="1"/>
  <c r="AK191" i="1"/>
  <c r="AM191" i="1"/>
  <c r="AK192" i="1"/>
  <c r="AM192" i="1"/>
  <c r="AK193" i="1"/>
  <c r="AM193" i="1"/>
  <c r="AK194" i="1"/>
  <c r="AM194" i="1"/>
  <c r="AK195" i="1"/>
  <c r="AM195" i="1"/>
  <c r="AK196" i="1"/>
  <c r="AM196" i="1"/>
  <c r="AK197" i="1"/>
  <c r="AM197" i="1"/>
  <c r="AK198" i="1"/>
  <c r="AM198" i="1"/>
  <c r="AK199" i="1"/>
  <c r="AM199" i="1"/>
  <c r="AK200" i="1"/>
  <c r="AM200" i="1"/>
  <c r="AK201" i="1"/>
  <c r="AM201" i="1"/>
  <c r="AK202" i="1"/>
  <c r="AM202" i="1"/>
  <c r="AK203" i="1"/>
  <c r="AM203" i="1"/>
  <c r="AK204" i="1"/>
  <c r="AM204" i="1"/>
  <c r="AK205" i="1"/>
  <c r="AM205" i="1"/>
  <c r="AK206" i="1"/>
  <c r="AM206" i="1"/>
  <c r="AK207" i="1"/>
  <c r="AM207" i="1"/>
  <c r="AK208" i="1"/>
  <c r="AM208" i="1"/>
  <c r="AK209" i="1"/>
  <c r="AM209" i="1"/>
  <c r="AK210" i="1"/>
  <c r="AM210" i="1"/>
  <c r="AK211" i="1"/>
  <c r="AM211" i="1"/>
  <c r="AK212" i="1"/>
  <c r="AM212" i="1"/>
  <c r="AK213" i="1"/>
  <c r="AM213" i="1"/>
  <c r="AK214" i="1"/>
  <c r="AM214" i="1"/>
  <c r="AK215" i="1"/>
  <c r="AM215" i="1"/>
  <c r="AK216" i="1"/>
  <c r="AM216" i="1"/>
  <c r="AK217" i="1"/>
  <c r="AM217" i="1"/>
  <c r="AK218" i="1"/>
  <c r="AM218" i="1"/>
  <c r="AK219" i="1"/>
  <c r="AM219" i="1"/>
  <c r="AK220" i="1"/>
  <c r="AM220" i="1"/>
  <c r="AK221" i="1"/>
  <c r="AM221" i="1"/>
  <c r="AK222" i="1"/>
  <c r="AM222" i="1"/>
  <c r="AK223" i="1"/>
  <c r="AM223" i="1"/>
  <c r="AK224" i="1"/>
  <c r="AM224" i="1"/>
  <c r="AK225" i="1"/>
  <c r="AM225" i="1"/>
  <c r="AK226" i="1"/>
  <c r="AM226" i="1"/>
  <c r="AK227" i="1"/>
  <c r="AM227" i="1"/>
  <c r="AK228" i="1"/>
  <c r="AM228" i="1"/>
  <c r="AK229" i="1"/>
  <c r="AM229" i="1"/>
  <c r="AK230" i="1"/>
  <c r="AM230" i="1"/>
  <c r="AK231" i="1"/>
  <c r="AM231" i="1"/>
  <c r="AK232" i="1"/>
  <c r="AM232" i="1"/>
  <c r="AK233" i="1"/>
  <c r="AM233" i="1"/>
  <c r="AK234" i="1"/>
  <c r="AM234" i="1"/>
  <c r="AK235" i="1"/>
  <c r="AM235" i="1"/>
  <c r="AK236" i="1"/>
  <c r="AM236" i="1"/>
  <c r="AK237" i="1"/>
  <c r="AM237" i="1"/>
  <c r="AK238" i="1"/>
  <c r="AM238" i="1"/>
  <c r="AK239" i="1"/>
  <c r="AM239" i="1"/>
  <c r="AK240" i="1"/>
  <c r="AM240" i="1"/>
  <c r="AK241" i="1"/>
  <c r="AM241" i="1"/>
  <c r="AK242" i="1"/>
  <c r="AM242" i="1"/>
  <c r="AK243" i="1"/>
  <c r="AM243" i="1"/>
  <c r="AK244" i="1"/>
  <c r="AM244" i="1"/>
  <c r="AK245" i="1"/>
  <c r="AM245" i="1"/>
  <c r="AK246" i="1"/>
  <c r="AM246" i="1"/>
  <c r="AK247" i="1"/>
  <c r="AM247" i="1"/>
  <c r="AK248" i="1"/>
  <c r="AM248" i="1"/>
  <c r="AK249" i="1"/>
  <c r="AM249" i="1"/>
  <c r="AK250" i="1"/>
  <c r="AM250" i="1"/>
  <c r="AK251" i="1"/>
  <c r="AM251" i="1"/>
  <c r="AK252" i="1"/>
  <c r="AM252" i="1"/>
  <c r="AK253" i="1"/>
  <c r="AM253" i="1"/>
  <c r="AK254" i="1"/>
  <c r="AM254" i="1"/>
  <c r="AK255" i="1"/>
  <c r="AM255" i="1"/>
  <c r="AK256" i="1"/>
  <c r="AM256" i="1"/>
  <c r="AK257" i="1"/>
  <c r="AM257" i="1"/>
  <c r="AK258" i="1"/>
  <c r="AM258" i="1"/>
  <c r="AK259" i="1"/>
  <c r="AM259" i="1"/>
  <c r="AK260" i="1"/>
  <c r="AM260" i="1"/>
  <c r="AK261" i="1"/>
  <c r="AM261" i="1"/>
  <c r="AK262" i="1"/>
  <c r="AM262" i="1"/>
  <c r="AK263" i="1"/>
  <c r="AM263" i="1"/>
  <c r="AK264" i="1"/>
  <c r="AM264" i="1"/>
  <c r="AK265" i="1"/>
  <c r="AM265" i="1"/>
  <c r="AK266" i="1"/>
  <c r="AM266" i="1"/>
  <c r="AK267" i="1"/>
  <c r="AM267" i="1"/>
  <c r="AK268" i="1"/>
  <c r="AM268" i="1"/>
  <c r="AK269" i="1"/>
  <c r="AM269" i="1"/>
  <c r="AK270" i="1"/>
  <c r="AM270" i="1"/>
  <c r="AK271" i="1"/>
  <c r="AM271" i="1"/>
  <c r="AK272" i="1"/>
  <c r="AM272" i="1"/>
  <c r="AK273" i="1"/>
  <c r="AM273" i="1"/>
  <c r="AK274" i="1"/>
  <c r="AM274" i="1"/>
  <c r="AK275" i="1"/>
  <c r="AM275" i="1"/>
  <c r="AK276" i="1"/>
  <c r="AM276" i="1"/>
  <c r="AK277" i="1"/>
  <c r="AM277" i="1"/>
  <c r="AK278" i="1"/>
  <c r="AM278" i="1"/>
  <c r="AK279" i="1"/>
  <c r="AM279" i="1"/>
  <c r="AK280" i="1"/>
  <c r="AM280" i="1"/>
  <c r="AK281" i="1"/>
  <c r="AM281" i="1"/>
  <c r="AK282" i="1"/>
  <c r="AM282" i="1"/>
  <c r="AK283" i="1"/>
  <c r="AM283" i="1"/>
  <c r="AK284" i="1"/>
  <c r="AM284" i="1"/>
  <c r="AK285" i="1"/>
  <c r="AM285" i="1"/>
  <c r="AK286" i="1"/>
  <c r="AM286" i="1"/>
  <c r="AK287" i="1"/>
  <c r="AM287" i="1"/>
  <c r="AK288" i="1"/>
  <c r="AM288" i="1"/>
  <c r="AK289" i="1"/>
  <c r="AM289" i="1"/>
  <c r="AK290" i="1"/>
  <c r="AM290" i="1"/>
  <c r="AK291" i="1"/>
  <c r="AM291" i="1"/>
  <c r="AK292" i="1"/>
  <c r="AM292" i="1"/>
  <c r="AK293" i="1"/>
  <c r="AM293" i="1"/>
  <c r="AK294" i="1"/>
  <c r="AM294" i="1"/>
  <c r="AK295" i="1"/>
  <c r="AM295" i="1"/>
  <c r="AK296" i="1"/>
  <c r="AM296" i="1"/>
  <c r="AK297" i="1"/>
  <c r="AM297" i="1"/>
  <c r="AK298" i="1"/>
  <c r="AM298" i="1"/>
  <c r="AK299" i="1"/>
  <c r="AM299" i="1"/>
  <c r="AK300" i="1"/>
  <c r="AM300" i="1"/>
  <c r="AK301" i="1"/>
  <c r="AM301" i="1"/>
  <c r="AK302" i="1"/>
  <c r="AM302" i="1"/>
  <c r="AK303" i="1"/>
  <c r="AM303" i="1"/>
  <c r="AK304" i="1"/>
  <c r="AM304" i="1"/>
  <c r="AK305" i="1"/>
  <c r="AM305" i="1"/>
  <c r="AK306" i="1"/>
  <c r="AM306" i="1"/>
  <c r="AK307" i="1"/>
  <c r="AM307" i="1"/>
  <c r="AK308" i="1"/>
  <c r="AM308" i="1"/>
  <c r="AK309" i="1"/>
  <c r="AM309" i="1"/>
  <c r="AK310" i="1"/>
  <c r="AM310" i="1"/>
  <c r="AK311" i="1"/>
  <c r="AM311" i="1"/>
  <c r="AK312" i="1"/>
  <c r="AM312" i="1"/>
  <c r="AK313" i="1"/>
  <c r="AM313" i="1"/>
  <c r="AK314" i="1"/>
  <c r="AM314" i="1"/>
  <c r="AK315" i="1"/>
  <c r="AM315" i="1"/>
  <c r="AK316" i="1"/>
  <c r="AM316" i="1"/>
  <c r="AK317" i="1"/>
  <c r="AM317" i="1"/>
  <c r="AK318" i="1"/>
  <c r="AM318" i="1"/>
  <c r="AK319" i="1"/>
  <c r="AM319" i="1"/>
  <c r="AK320" i="1"/>
  <c r="AM320" i="1"/>
  <c r="AK321" i="1"/>
  <c r="AM321" i="1"/>
  <c r="AK322" i="1"/>
  <c r="AM322" i="1"/>
  <c r="AK323" i="1"/>
  <c r="AM323" i="1"/>
  <c r="AK324" i="1"/>
  <c r="AM324" i="1"/>
  <c r="AK325" i="1"/>
  <c r="AM325" i="1"/>
  <c r="AK326" i="1"/>
  <c r="AM326" i="1"/>
  <c r="AK327" i="1"/>
  <c r="AM327" i="1"/>
  <c r="AK328" i="1"/>
  <c r="AM328" i="1"/>
  <c r="AK329" i="1"/>
  <c r="AM329" i="1"/>
  <c r="AK330" i="1"/>
  <c r="AM330" i="1"/>
  <c r="AK331" i="1"/>
  <c r="AM331" i="1"/>
  <c r="AK332" i="1"/>
  <c r="AM332" i="1"/>
  <c r="AK333" i="1"/>
  <c r="AM333" i="1"/>
  <c r="AK334" i="1"/>
  <c r="AM334" i="1"/>
  <c r="AK335" i="1"/>
  <c r="AM335" i="1"/>
  <c r="AK336" i="1"/>
  <c r="AM336" i="1"/>
  <c r="AK337" i="1"/>
  <c r="AM337" i="1"/>
  <c r="AK338" i="1"/>
  <c r="AM338" i="1"/>
  <c r="AK339" i="1"/>
  <c r="AM339" i="1"/>
  <c r="AK340" i="1"/>
  <c r="AM340" i="1"/>
  <c r="AK341" i="1"/>
  <c r="AM341" i="1"/>
  <c r="AK342" i="1"/>
  <c r="AM342" i="1"/>
  <c r="AK343" i="1"/>
  <c r="AM343" i="1"/>
  <c r="AK344" i="1"/>
  <c r="AM344" i="1"/>
  <c r="AK345" i="1"/>
  <c r="AM345" i="1"/>
  <c r="AK346" i="1"/>
  <c r="AM346" i="1"/>
  <c r="AK347" i="1"/>
  <c r="AM347" i="1"/>
  <c r="AK348" i="1"/>
  <c r="AM348" i="1"/>
  <c r="AK349" i="1"/>
  <c r="AM349" i="1"/>
  <c r="AK350" i="1"/>
  <c r="AM350" i="1"/>
  <c r="AK351" i="1"/>
  <c r="AM351" i="1"/>
  <c r="AK352" i="1"/>
  <c r="AM352" i="1"/>
  <c r="AK353" i="1"/>
  <c r="AM353" i="1"/>
  <c r="AK354" i="1"/>
  <c r="AM354" i="1"/>
  <c r="AK355" i="1"/>
  <c r="AM355" i="1"/>
  <c r="AK356" i="1"/>
  <c r="AM356" i="1"/>
  <c r="AK357" i="1"/>
  <c r="AM357" i="1"/>
  <c r="AK358" i="1"/>
  <c r="AM358" i="1"/>
  <c r="AK359" i="1"/>
  <c r="AM359" i="1"/>
  <c r="AK360" i="1"/>
  <c r="AM360" i="1"/>
  <c r="AK361" i="1"/>
  <c r="AM361" i="1"/>
  <c r="AK362" i="1"/>
  <c r="AM362" i="1"/>
  <c r="AK363" i="1"/>
  <c r="AM363" i="1"/>
  <c r="AK364" i="1"/>
  <c r="AM364" i="1"/>
  <c r="AK365" i="1"/>
  <c r="AM365" i="1"/>
  <c r="AK366" i="1"/>
  <c r="AM366" i="1"/>
  <c r="AK367" i="1"/>
  <c r="AM367" i="1"/>
  <c r="AK368" i="1"/>
  <c r="AM368" i="1"/>
  <c r="AK369" i="1"/>
  <c r="AM369" i="1"/>
  <c r="AK370" i="1"/>
  <c r="AM370" i="1"/>
  <c r="AK371" i="1"/>
  <c r="AM371" i="1"/>
  <c r="AK372" i="1"/>
  <c r="AM372" i="1"/>
  <c r="AK373" i="1"/>
  <c r="AM373" i="1"/>
  <c r="AK374" i="1"/>
  <c r="AM374" i="1"/>
  <c r="AK375" i="1"/>
  <c r="AM375" i="1"/>
  <c r="AK376" i="1"/>
  <c r="AM376" i="1"/>
  <c r="AK377" i="1"/>
  <c r="AM377" i="1"/>
  <c r="AK378" i="1"/>
  <c r="AM378" i="1"/>
  <c r="AK379" i="1"/>
  <c r="AM379" i="1"/>
  <c r="AK380" i="1"/>
  <c r="AM380" i="1"/>
  <c r="AK381" i="1"/>
  <c r="AM381" i="1"/>
  <c r="AK382" i="1"/>
  <c r="AM382" i="1"/>
  <c r="AK383" i="1"/>
  <c r="AM383" i="1"/>
  <c r="AK384" i="1"/>
  <c r="AM384" i="1"/>
  <c r="AK385" i="1"/>
  <c r="AM385" i="1"/>
  <c r="AK386" i="1"/>
  <c r="AM386" i="1"/>
  <c r="AK387" i="1"/>
  <c r="AM387" i="1"/>
  <c r="AK388" i="1"/>
  <c r="AM388" i="1"/>
  <c r="AK389" i="1"/>
  <c r="AM389" i="1"/>
  <c r="AK390" i="1"/>
  <c r="AM390" i="1"/>
  <c r="AK391" i="1"/>
  <c r="AM391" i="1"/>
  <c r="AK392" i="1"/>
  <c r="AM392" i="1"/>
  <c r="AK393" i="1"/>
  <c r="AM393" i="1"/>
  <c r="AK394" i="1"/>
  <c r="AM394" i="1"/>
  <c r="AK395" i="1"/>
  <c r="AM395" i="1"/>
  <c r="AK396" i="1"/>
  <c r="AM396" i="1"/>
  <c r="AK397" i="1"/>
  <c r="AM397" i="1"/>
  <c r="AK398" i="1"/>
  <c r="AM398" i="1"/>
  <c r="AK399" i="1"/>
  <c r="AM399" i="1"/>
  <c r="AK400" i="1"/>
  <c r="AM400" i="1"/>
  <c r="AK401" i="1"/>
  <c r="AM401" i="1"/>
  <c r="AK402" i="1"/>
  <c r="AM402" i="1"/>
  <c r="AK403" i="1"/>
  <c r="AM403" i="1"/>
  <c r="AK404" i="1"/>
  <c r="AM404" i="1"/>
  <c r="AK405" i="1"/>
  <c r="AM405" i="1"/>
  <c r="AK406" i="1"/>
  <c r="AM406" i="1"/>
  <c r="AK407" i="1"/>
  <c r="AM407" i="1"/>
  <c r="AK408" i="1"/>
  <c r="AM408" i="1"/>
  <c r="AK409" i="1"/>
  <c r="AM409" i="1"/>
  <c r="AK410" i="1"/>
  <c r="AM410" i="1"/>
  <c r="AK411" i="1"/>
  <c r="AM411" i="1"/>
  <c r="AK412" i="1"/>
  <c r="AM412" i="1"/>
  <c r="AK413" i="1"/>
  <c r="AM413" i="1"/>
  <c r="AK414" i="1"/>
  <c r="AM414" i="1"/>
  <c r="AK415" i="1"/>
  <c r="AM415" i="1"/>
  <c r="AK416" i="1"/>
  <c r="AM416" i="1"/>
  <c r="AK417" i="1"/>
  <c r="AM417" i="1"/>
  <c r="AK418" i="1"/>
  <c r="AM418" i="1"/>
  <c r="AK419" i="1"/>
  <c r="AM419" i="1"/>
  <c r="AK420" i="1"/>
  <c r="AM420" i="1"/>
  <c r="AK421" i="1"/>
  <c r="AM421" i="1"/>
  <c r="AK422" i="1"/>
  <c r="AM422" i="1"/>
  <c r="AK423" i="1"/>
  <c r="AM423" i="1"/>
  <c r="AK424" i="1"/>
  <c r="AM424" i="1"/>
  <c r="AK425" i="1"/>
  <c r="AM425" i="1"/>
  <c r="AK426" i="1"/>
  <c r="AM426" i="1"/>
  <c r="AK427" i="1"/>
  <c r="AM427" i="1"/>
  <c r="AK428" i="1"/>
  <c r="AM428" i="1"/>
  <c r="AK429" i="1"/>
  <c r="AM429" i="1"/>
  <c r="AK430" i="1"/>
  <c r="AM430" i="1"/>
  <c r="AK431" i="1"/>
  <c r="AM431" i="1"/>
  <c r="AK432" i="1"/>
  <c r="AM432" i="1"/>
  <c r="AK433" i="1"/>
  <c r="AM433" i="1"/>
  <c r="AK434" i="1"/>
  <c r="AM434" i="1"/>
  <c r="AK435" i="1"/>
  <c r="AM435" i="1"/>
  <c r="AK436" i="1"/>
  <c r="AM436" i="1"/>
  <c r="AK437" i="1"/>
  <c r="AM437" i="1"/>
  <c r="AK438" i="1"/>
  <c r="AM438" i="1"/>
  <c r="AK439" i="1"/>
  <c r="AM439" i="1"/>
  <c r="AK440" i="1"/>
  <c r="AM440" i="1"/>
  <c r="AK441" i="1"/>
  <c r="AM441" i="1"/>
  <c r="AK442" i="1"/>
  <c r="AM442" i="1"/>
  <c r="AK443" i="1"/>
  <c r="AM443" i="1"/>
  <c r="AK444" i="1"/>
  <c r="AM444" i="1"/>
  <c r="AK445" i="1"/>
  <c r="AM445" i="1"/>
  <c r="AK446" i="1"/>
  <c r="AM446" i="1"/>
  <c r="AK447" i="1"/>
  <c r="AM447" i="1"/>
  <c r="AK448" i="1"/>
  <c r="AM448" i="1"/>
  <c r="AK449" i="1"/>
  <c r="AM449" i="1"/>
  <c r="AK450" i="1"/>
  <c r="AM450" i="1"/>
  <c r="AK451" i="1"/>
  <c r="AM451" i="1"/>
  <c r="AK452" i="1"/>
  <c r="AM452" i="1"/>
  <c r="AK453" i="1"/>
  <c r="AM453" i="1"/>
  <c r="AK454" i="1"/>
  <c r="AM454" i="1"/>
  <c r="AK455" i="1"/>
  <c r="AM455" i="1"/>
  <c r="AK456" i="1"/>
  <c r="AM456" i="1"/>
  <c r="AK457" i="1"/>
  <c r="AM457" i="1"/>
  <c r="AK458" i="1"/>
  <c r="AM458" i="1"/>
  <c r="AK459" i="1"/>
  <c r="AM459" i="1"/>
  <c r="AK460" i="1"/>
  <c r="AM460" i="1"/>
  <c r="AK461" i="1"/>
  <c r="AM461" i="1"/>
  <c r="AK462" i="1"/>
  <c r="AM462" i="1"/>
  <c r="AK463" i="1"/>
  <c r="AM463" i="1"/>
  <c r="AK464" i="1"/>
  <c r="AM464" i="1"/>
  <c r="AK465" i="1"/>
  <c r="AM465" i="1"/>
  <c r="AK466" i="1"/>
  <c r="AM466" i="1"/>
  <c r="AK467" i="1"/>
  <c r="AM467" i="1"/>
  <c r="AK468" i="1"/>
  <c r="AM468" i="1"/>
  <c r="AK469" i="1"/>
  <c r="AM469" i="1"/>
  <c r="AK470" i="1"/>
  <c r="AM470" i="1"/>
  <c r="AK471" i="1"/>
  <c r="AM471" i="1"/>
  <c r="AK472" i="1"/>
  <c r="AM472" i="1"/>
  <c r="AK473" i="1"/>
  <c r="AM473" i="1"/>
  <c r="AK474" i="1"/>
  <c r="AM474" i="1"/>
  <c r="AK475" i="1"/>
  <c r="AM475" i="1"/>
  <c r="AK476" i="1"/>
  <c r="AM476" i="1"/>
  <c r="AK477" i="1"/>
  <c r="AM477" i="1"/>
  <c r="AK478" i="1"/>
  <c r="AM478" i="1"/>
  <c r="AK479" i="1"/>
  <c r="AM479" i="1"/>
  <c r="AK480" i="1"/>
  <c r="AM480" i="1"/>
  <c r="AK481" i="1"/>
  <c r="AM481" i="1"/>
  <c r="AK482" i="1"/>
  <c r="AM482" i="1"/>
  <c r="AK483" i="1"/>
  <c r="AM483" i="1"/>
  <c r="AK484" i="1"/>
  <c r="AM484" i="1"/>
  <c r="AK485" i="1"/>
  <c r="AM485" i="1"/>
  <c r="AK486" i="1"/>
  <c r="AM486" i="1"/>
  <c r="AK487" i="1"/>
  <c r="AM487" i="1"/>
  <c r="AK488" i="1"/>
  <c r="AM488" i="1"/>
  <c r="AK489" i="1"/>
  <c r="AM489" i="1"/>
  <c r="AK490" i="1"/>
  <c r="AM490" i="1"/>
  <c r="AK491" i="1"/>
  <c r="AM491" i="1"/>
  <c r="AK492" i="1"/>
  <c r="AM492" i="1"/>
  <c r="AK493" i="1"/>
  <c r="AM493" i="1"/>
  <c r="AK495" i="1"/>
  <c r="AM495" i="1"/>
  <c r="AK496" i="1"/>
  <c r="AM496" i="1"/>
  <c r="AK497" i="1"/>
  <c r="AM497" i="1"/>
  <c r="AK498" i="1"/>
  <c r="AM498" i="1"/>
  <c r="AK499" i="1"/>
  <c r="AM499" i="1"/>
  <c r="AK500" i="1"/>
  <c r="AM500" i="1"/>
  <c r="AK501" i="1"/>
  <c r="AM501" i="1"/>
  <c r="AK502" i="1"/>
  <c r="AM502" i="1"/>
  <c r="AK503" i="1"/>
  <c r="AM503" i="1"/>
  <c r="AK504" i="1"/>
  <c r="AM504" i="1"/>
  <c r="AK505" i="1"/>
  <c r="AM505" i="1"/>
  <c r="AK506" i="1"/>
  <c r="AM506" i="1"/>
  <c r="AK507" i="1"/>
  <c r="AM507" i="1"/>
  <c r="AK508" i="1"/>
  <c r="AM508" i="1"/>
  <c r="AK509" i="1"/>
  <c r="AM509" i="1"/>
  <c r="AK510" i="1"/>
  <c r="AM510" i="1"/>
  <c r="AK511" i="1"/>
  <c r="AM511" i="1"/>
  <c r="AK512" i="1"/>
  <c r="AM512" i="1"/>
  <c r="AK513" i="1"/>
  <c r="AM513" i="1"/>
  <c r="AK514" i="1"/>
  <c r="AM514" i="1"/>
  <c r="AK515" i="1"/>
  <c r="AM515" i="1"/>
  <c r="AK516" i="1"/>
  <c r="AM516" i="1"/>
  <c r="AK517" i="1"/>
  <c r="AM517" i="1"/>
  <c r="AK518" i="1"/>
  <c r="AM518" i="1"/>
  <c r="AK519" i="1"/>
  <c r="AM519" i="1"/>
  <c r="AK520" i="1"/>
  <c r="AM520" i="1"/>
  <c r="AK521" i="1"/>
  <c r="AM521" i="1"/>
  <c r="AK522" i="1"/>
  <c r="AM522" i="1"/>
  <c r="AK523" i="1"/>
  <c r="AM523" i="1"/>
  <c r="AK524" i="1"/>
  <c r="AM524" i="1"/>
  <c r="AK525" i="1"/>
  <c r="AM525" i="1"/>
  <c r="AK526" i="1"/>
  <c r="AM526" i="1"/>
  <c r="AK527" i="1"/>
  <c r="AM527" i="1"/>
  <c r="AK528" i="1"/>
  <c r="AM528" i="1"/>
  <c r="AK529" i="1"/>
  <c r="AM529" i="1"/>
  <c r="AK530" i="1"/>
  <c r="AM530" i="1"/>
  <c r="AK531" i="1"/>
  <c r="AM531" i="1"/>
  <c r="AK532" i="1"/>
  <c r="AM532" i="1"/>
  <c r="AK533" i="1"/>
  <c r="AM533" i="1"/>
  <c r="AK534" i="1"/>
  <c r="AM534" i="1"/>
  <c r="AK535" i="1"/>
  <c r="AM535" i="1"/>
  <c r="AK536" i="1"/>
  <c r="AM536" i="1"/>
  <c r="AK537" i="1"/>
  <c r="AM537" i="1"/>
  <c r="AK538" i="1"/>
  <c r="AM538" i="1"/>
  <c r="AK539" i="1"/>
  <c r="AM539" i="1"/>
  <c r="AK540" i="1"/>
  <c r="AM540" i="1"/>
  <c r="AK541" i="1"/>
  <c r="AM541" i="1"/>
  <c r="AK542" i="1"/>
  <c r="AM542" i="1"/>
  <c r="AK543" i="1"/>
  <c r="AM543" i="1"/>
  <c r="AK544" i="1"/>
  <c r="AM544" i="1"/>
  <c r="AK545" i="1"/>
  <c r="AM545" i="1"/>
  <c r="AK546" i="1"/>
  <c r="AM546" i="1"/>
  <c r="AK547" i="1"/>
  <c r="AM547" i="1"/>
  <c r="AK548" i="1"/>
  <c r="AM548" i="1"/>
  <c r="AK549" i="1"/>
  <c r="AM549" i="1"/>
  <c r="AK550" i="1"/>
  <c r="AM550" i="1"/>
  <c r="AK551" i="1"/>
  <c r="AM551" i="1"/>
  <c r="AK552" i="1"/>
  <c r="AM552" i="1"/>
  <c r="AK553" i="1"/>
  <c r="AM553" i="1"/>
  <c r="AK554" i="1"/>
  <c r="AM554" i="1"/>
  <c r="AK555" i="1"/>
  <c r="AM555" i="1"/>
  <c r="AK556" i="1"/>
  <c r="AM556" i="1"/>
  <c r="AK557" i="1"/>
  <c r="AM557" i="1"/>
  <c r="AK558" i="1"/>
  <c r="AM558" i="1"/>
  <c r="AK559" i="1"/>
  <c r="AM559" i="1"/>
  <c r="AK560" i="1"/>
  <c r="AM560" i="1"/>
  <c r="AK561" i="1"/>
  <c r="AM561" i="1"/>
  <c r="AK562" i="1"/>
  <c r="AM562" i="1"/>
  <c r="AK563" i="1"/>
  <c r="AM563" i="1"/>
  <c r="AK564" i="1"/>
  <c r="AM564" i="1"/>
  <c r="AK565" i="1"/>
  <c r="AM565" i="1"/>
  <c r="AK566" i="1"/>
  <c r="AM566" i="1"/>
  <c r="AK567" i="1"/>
  <c r="AM567" i="1"/>
  <c r="AK568" i="1"/>
  <c r="AM568" i="1"/>
  <c r="AK569" i="1"/>
  <c r="AM569" i="1"/>
  <c r="AK570" i="1"/>
  <c r="AM570" i="1"/>
  <c r="AK571" i="1"/>
  <c r="AM571" i="1"/>
  <c r="AK619" i="1"/>
  <c r="AM619" i="1"/>
  <c r="AK620" i="1"/>
  <c r="AM620" i="1"/>
  <c r="AK621" i="1"/>
  <c r="AM621" i="1"/>
  <c r="AK622" i="1"/>
  <c r="AM622" i="1"/>
  <c r="AK623" i="1"/>
  <c r="AM623" i="1"/>
  <c r="AK624" i="1"/>
  <c r="AM624" i="1"/>
  <c r="AK625" i="1"/>
  <c r="AM625" i="1"/>
  <c r="AK626" i="1"/>
  <c r="AM626" i="1"/>
  <c r="AK627" i="1"/>
  <c r="AM627" i="1"/>
  <c r="AK628" i="1"/>
  <c r="AM628" i="1"/>
  <c r="AK629" i="1"/>
  <c r="AM629" i="1"/>
  <c r="AK631" i="1"/>
  <c r="AM631" i="1"/>
  <c r="AK632" i="1"/>
  <c r="AM632" i="1"/>
  <c r="AK633" i="1"/>
  <c r="AM633" i="1"/>
  <c r="AK634" i="1"/>
  <c r="AM634" i="1"/>
  <c r="AK635" i="1"/>
  <c r="AM635" i="1"/>
  <c r="AK636" i="1"/>
  <c r="AM636" i="1"/>
  <c r="AK637" i="1"/>
  <c r="AM637" i="1"/>
  <c r="AK638" i="1"/>
  <c r="AM638" i="1"/>
  <c r="AK639" i="1"/>
  <c r="AM639" i="1"/>
  <c r="AK640" i="1"/>
  <c r="AM640" i="1"/>
  <c r="AK641" i="1"/>
  <c r="AM641" i="1"/>
  <c r="AK642" i="1"/>
  <c r="AM642" i="1"/>
  <c r="AK643" i="1"/>
  <c r="AM643" i="1"/>
  <c r="AK644" i="1"/>
  <c r="AM644" i="1"/>
  <c r="AK645" i="1"/>
  <c r="AM645" i="1"/>
  <c r="AK646" i="1"/>
  <c r="AM646" i="1"/>
  <c r="AK647" i="1"/>
  <c r="AM647" i="1"/>
  <c r="AK648" i="1"/>
  <c r="AM648" i="1"/>
  <c r="AK649" i="1"/>
  <c r="AM649" i="1"/>
  <c r="AK650" i="1"/>
  <c r="AM650" i="1"/>
  <c r="AK651" i="1"/>
  <c r="AM651" i="1"/>
  <c r="AK652" i="1"/>
  <c r="AM652" i="1"/>
  <c r="AK653" i="1"/>
  <c r="AM653" i="1"/>
  <c r="AK654" i="1"/>
  <c r="AM654" i="1"/>
  <c r="AK655" i="1"/>
  <c r="AM655" i="1"/>
  <c r="AK656" i="1"/>
  <c r="AM656" i="1"/>
  <c r="AK657" i="1"/>
  <c r="AM657" i="1"/>
  <c r="AK658" i="1"/>
  <c r="AM658" i="1"/>
  <c r="AK659" i="1"/>
  <c r="AM659" i="1"/>
  <c r="AK660" i="1"/>
  <c r="AM660" i="1"/>
  <c r="AK661" i="1"/>
  <c r="AM661" i="1"/>
  <c r="AK662" i="1"/>
  <c r="AM662" i="1"/>
  <c r="AK663" i="1"/>
  <c r="AM663" i="1"/>
  <c r="AK664" i="1"/>
  <c r="AM664" i="1"/>
  <c r="AK665" i="1"/>
  <c r="AM665" i="1"/>
  <c r="AK666" i="1"/>
  <c r="AM666" i="1"/>
  <c r="AK668" i="1"/>
  <c r="AM668" i="1"/>
  <c r="AK669" i="1"/>
  <c r="AM669" i="1"/>
  <c r="AK670" i="1"/>
  <c r="AM670" i="1"/>
  <c r="AK671" i="1"/>
  <c r="AM671" i="1"/>
  <c r="AK672" i="1"/>
  <c r="AM672" i="1"/>
  <c r="AK673" i="1"/>
  <c r="AM673" i="1"/>
  <c r="AK674" i="1"/>
  <c r="AM674" i="1"/>
  <c r="AK675" i="1"/>
  <c r="AM675" i="1"/>
  <c r="AK676" i="1"/>
  <c r="AM676" i="1"/>
  <c r="AK677" i="1"/>
  <c r="AM677" i="1"/>
  <c r="AK678" i="1"/>
  <c r="AM678" i="1"/>
  <c r="AK679" i="1"/>
  <c r="AM679" i="1"/>
  <c r="AK680" i="1"/>
  <c r="AM680" i="1"/>
  <c r="AK681" i="1"/>
  <c r="AM681" i="1"/>
  <c r="AK682" i="1"/>
  <c r="AM682" i="1"/>
  <c r="AK683" i="1"/>
  <c r="AM683" i="1"/>
  <c r="AK684" i="1"/>
  <c r="AM684" i="1"/>
  <c r="AK685" i="1"/>
  <c r="AM685" i="1"/>
  <c r="AK686" i="1"/>
  <c r="AM686" i="1"/>
  <c r="AK687" i="1"/>
  <c r="AM687" i="1"/>
  <c r="AK688" i="1"/>
  <c r="AM688" i="1"/>
  <c r="AK689" i="1"/>
  <c r="AM689" i="1"/>
  <c r="AK690" i="1"/>
  <c r="AM690" i="1"/>
  <c r="AK691" i="1"/>
  <c r="AM691" i="1"/>
  <c r="AK692" i="1"/>
  <c r="AM692" i="1"/>
  <c r="AK693" i="1"/>
  <c r="AM693" i="1"/>
  <c r="AK694" i="1"/>
  <c r="AM694" i="1"/>
  <c r="AK695" i="1"/>
  <c r="AM695" i="1"/>
  <c r="AK696" i="1"/>
  <c r="AM696" i="1"/>
  <c r="AK697" i="1"/>
  <c r="AM697" i="1"/>
  <c r="AK698" i="1"/>
  <c r="AM698" i="1"/>
  <c r="AK699" i="1"/>
  <c r="AM699" i="1"/>
  <c r="AK700" i="1"/>
  <c r="AM700" i="1"/>
  <c r="AK701" i="1"/>
  <c r="AM701" i="1"/>
  <c r="AK702" i="1"/>
  <c r="AM702" i="1"/>
  <c r="AK703" i="1"/>
  <c r="AM703" i="1"/>
  <c r="AK704" i="1"/>
  <c r="AM704" i="1"/>
  <c r="AK705" i="1"/>
  <c r="AM705" i="1"/>
  <c r="AK706" i="1"/>
  <c r="AM706" i="1"/>
  <c r="AK707" i="1"/>
  <c r="AM707" i="1"/>
  <c r="AK708" i="1"/>
  <c r="AM708" i="1"/>
  <c r="AK709" i="1"/>
  <c r="AM709" i="1"/>
  <c r="AK710" i="1"/>
  <c r="AM710" i="1"/>
  <c r="AK711" i="1"/>
  <c r="AM711" i="1"/>
  <c r="AK712" i="1"/>
  <c r="AM712" i="1"/>
  <c r="AK713" i="1"/>
  <c r="AM713" i="1"/>
  <c r="AK714" i="1"/>
  <c r="AM714" i="1"/>
  <c r="AK715" i="1"/>
  <c r="AM715" i="1"/>
  <c r="AK716" i="1"/>
  <c r="AM716" i="1"/>
  <c r="AK717" i="1"/>
  <c r="AM717" i="1"/>
  <c r="AK718" i="1"/>
  <c r="AM718" i="1"/>
  <c r="AK719" i="1"/>
  <c r="AM719" i="1"/>
  <c r="AK720" i="1"/>
  <c r="AM720" i="1"/>
  <c r="AK721" i="1"/>
  <c r="AM721" i="1"/>
  <c r="AK722" i="1"/>
  <c r="AM722" i="1"/>
  <c r="AK723" i="1"/>
  <c r="AM723" i="1"/>
  <c r="AK724" i="1"/>
  <c r="AM724" i="1"/>
  <c r="AK725" i="1"/>
  <c r="AM725" i="1"/>
  <c r="AK726" i="1"/>
  <c r="AM726" i="1"/>
  <c r="AK727" i="1"/>
  <c r="AM727" i="1"/>
  <c r="AK728" i="1"/>
  <c r="AM728" i="1"/>
  <c r="AK729" i="1"/>
  <c r="AM729" i="1"/>
  <c r="AK730" i="1"/>
  <c r="AM730" i="1"/>
  <c r="AK731" i="1"/>
  <c r="AM731" i="1"/>
  <c r="AK732" i="1"/>
  <c r="AM732" i="1"/>
  <c r="AK733" i="1"/>
  <c r="AM733" i="1"/>
  <c r="AK734" i="1"/>
  <c r="AM734" i="1"/>
  <c r="AK735" i="1"/>
  <c r="AM735" i="1"/>
  <c r="AK736" i="1"/>
  <c r="AM736" i="1"/>
  <c r="AK737" i="1"/>
  <c r="AM737" i="1"/>
  <c r="AK738" i="1"/>
  <c r="AM738" i="1"/>
  <c r="AK739" i="1"/>
  <c r="AM739" i="1"/>
  <c r="AK740" i="1"/>
  <c r="AM740" i="1"/>
  <c r="AK741" i="1"/>
  <c r="AM741" i="1"/>
  <c r="AK742" i="1"/>
  <c r="AM742" i="1"/>
  <c r="AK743" i="1"/>
  <c r="AM743" i="1"/>
  <c r="AK744" i="1"/>
  <c r="AM744" i="1"/>
  <c r="AK745" i="1"/>
  <c r="AM745" i="1"/>
  <c r="AK746" i="1"/>
  <c r="AM746" i="1"/>
  <c r="AK747" i="1"/>
  <c r="AM747" i="1"/>
  <c r="AK748" i="1"/>
  <c r="AM748" i="1"/>
  <c r="AK749" i="1"/>
  <c r="AM749" i="1"/>
  <c r="AK750" i="1"/>
  <c r="AM750" i="1"/>
  <c r="AK751" i="1"/>
  <c r="AM751" i="1"/>
  <c r="AK752" i="1"/>
  <c r="AM752" i="1"/>
  <c r="AK753" i="1"/>
  <c r="AM753" i="1"/>
  <c r="AK754" i="1"/>
  <c r="AM754" i="1"/>
  <c r="AK755" i="1"/>
  <c r="AM755" i="1"/>
  <c r="AK756" i="1"/>
  <c r="AM756" i="1"/>
  <c r="AK757" i="1"/>
  <c r="AM757" i="1"/>
  <c r="AK758" i="1"/>
  <c r="AM758" i="1"/>
  <c r="AK759" i="1"/>
  <c r="AM759" i="1"/>
  <c r="AK760" i="1"/>
  <c r="AM760" i="1"/>
  <c r="AK761" i="1"/>
  <c r="AM761" i="1"/>
  <c r="AK762" i="1"/>
  <c r="AM762" i="1"/>
  <c r="AK763" i="1"/>
  <c r="AM763" i="1"/>
  <c r="AK764" i="1"/>
  <c r="AM764" i="1"/>
  <c r="AK765" i="1"/>
  <c r="AM765" i="1"/>
  <c r="AK766" i="1"/>
  <c r="AM766" i="1"/>
  <c r="AK767" i="1"/>
  <c r="AM767" i="1"/>
  <c r="AK768" i="1"/>
  <c r="AM768" i="1"/>
  <c r="AK769" i="1"/>
  <c r="AM769" i="1"/>
  <c r="AK770" i="1"/>
  <c r="AM770" i="1"/>
  <c r="AK771" i="1"/>
  <c r="AM771" i="1"/>
  <c r="AK772" i="1"/>
  <c r="AM772" i="1"/>
  <c r="AK773" i="1"/>
  <c r="AM773" i="1"/>
  <c r="AK774" i="1"/>
  <c r="AM774" i="1"/>
  <c r="AK775" i="1"/>
  <c r="AM775" i="1"/>
  <c r="AK776" i="1"/>
  <c r="AM776" i="1"/>
  <c r="AK777" i="1"/>
  <c r="AM777" i="1"/>
  <c r="AK778" i="1"/>
  <c r="AM778" i="1"/>
  <c r="AK779" i="1"/>
  <c r="AM779" i="1"/>
  <c r="AK780" i="1"/>
  <c r="AM780" i="1"/>
  <c r="AK781" i="1"/>
  <c r="AM781" i="1"/>
  <c r="AK782" i="1"/>
  <c r="AM782" i="1"/>
  <c r="AK783" i="1"/>
  <c r="AM783" i="1"/>
  <c r="AK784" i="1"/>
  <c r="AM784" i="1"/>
  <c r="AK785" i="1"/>
  <c r="AM785" i="1"/>
  <c r="AK786" i="1"/>
  <c r="AM786" i="1"/>
  <c r="AK787" i="1"/>
  <c r="AM787" i="1"/>
  <c r="AK788" i="1"/>
  <c r="AM788" i="1"/>
  <c r="AK789" i="1"/>
  <c r="AM789" i="1"/>
  <c r="AK790" i="1"/>
  <c r="AM790" i="1"/>
  <c r="AK791" i="1"/>
  <c r="AM791" i="1"/>
  <c r="AK792" i="1"/>
  <c r="AM792" i="1"/>
  <c r="AK793" i="1"/>
  <c r="AM793" i="1"/>
  <c r="AK794" i="1"/>
  <c r="AM794" i="1"/>
  <c r="AK795" i="1"/>
  <c r="AM795" i="1"/>
  <c r="AK796" i="1"/>
  <c r="AM796" i="1"/>
  <c r="AK797" i="1"/>
  <c r="AM797" i="1"/>
  <c r="AK798" i="1"/>
  <c r="AM798" i="1"/>
  <c r="AK799" i="1"/>
  <c r="AM799" i="1"/>
  <c r="AK800" i="1"/>
  <c r="AM800" i="1"/>
  <c r="AK801" i="1"/>
  <c r="AM801" i="1"/>
  <c r="AK802" i="1"/>
  <c r="AM802" i="1"/>
  <c r="AK803" i="1"/>
  <c r="AM803" i="1"/>
  <c r="AK804" i="1"/>
  <c r="AM804" i="1"/>
  <c r="AK805" i="1"/>
  <c r="AM805" i="1"/>
  <c r="AK806" i="1"/>
  <c r="AM806" i="1"/>
  <c r="AK807" i="1"/>
  <c r="AM807" i="1"/>
  <c r="AK808" i="1"/>
  <c r="AM808" i="1"/>
  <c r="AK809" i="1"/>
  <c r="AM809" i="1"/>
  <c r="AK810" i="1"/>
  <c r="AM810" i="1"/>
  <c r="AK811" i="1"/>
  <c r="AM811" i="1"/>
  <c r="AK812" i="1"/>
  <c r="AM812" i="1"/>
  <c r="AK813" i="1"/>
  <c r="AM813" i="1"/>
  <c r="AK814" i="1"/>
  <c r="AM814" i="1"/>
  <c r="AK815" i="1"/>
  <c r="AM815" i="1"/>
  <c r="AK816" i="1"/>
  <c r="AM816" i="1"/>
  <c r="AK817" i="1"/>
  <c r="AM817" i="1"/>
  <c r="AK818" i="1"/>
  <c r="AM818" i="1"/>
  <c r="AK819" i="1"/>
  <c r="AM819" i="1"/>
  <c r="AK820" i="1"/>
  <c r="AM820" i="1"/>
  <c r="AK821" i="1"/>
  <c r="AM821" i="1"/>
  <c r="AK822" i="1"/>
  <c r="AM822" i="1"/>
  <c r="AK823" i="1"/>
  <c r="AM823" i="1"/>
  <c r="AK824" i="1"/>
  <c r="AM824" i="1"/>
  <c r="AK825" i="1"/>
  <c r="AM825" i="1"/>
  <c r="AK826" i="1"/>
  <c r="AM826" i="1"/>
  <c r="AK827" i="1"/>
  <c r="AM827" i="1"/>
  <c r="AK828" i="1"/>
  <c r="AM828" i="1"/>
  <c r="AK829" i="1"/>
  <c r="AM829" i="1"/>
  <c r="AK830" i="1"/>
  <c r="AM830" i="1"/>
  <c r="AK831" i="1"/>
  <c r="AM831" i="1"/>
  <c r="AK832" i="1"/>
  <c r="AM832" i="1"/>
  <c r="AK833" i="1"/>
  <c r="AM833" i="1"/>
  <c r="AK834" i="1"/>
  <c r="AM834" i="1"/>
  <c r="AK835" i="1"/>
  <c r="AM835" i="1"/>
  <c r="AK836" i="1"/>
  <c r="AM836" i="1"/>
  <c r="AK837" i="1"/>
  <c r="AM837" i="1"/>
  <c r="AK838" i="1"/>
  <c r="AM838" i="1"/>
  <c r="AK839" i="1"/>
  <c r="AM839" i="1"/>
  <c r="AK840" i="1"/>
  <c r="AM840" i="1"/>
  <c r="AK841" i="1"/>
  <c r="AM841" i="1"/>
  <c r="AK842" i="1"/>
  <c r="AM842" i="1"/>
  <c r="AK843" i="1"/>
  <c r="AM843" i="1"/>
  <c r="AK844" i="1"/>
  <c r="AM844" i="1"/>
  <c r="AK845" i="1"/>
  <c r="AM845" i="1"/>
  <c r="AK846" i="1"/>
  <c r="AM846" i="1"/>
  <c r="AK847" i="1"/>
  <c r="AM847" i="1"/>
  <c r="AK848" i="1"/>
  <c r="AM848" i="1"/>
  <c r="AK849" i="1"/>
  <c r="AM849" i="1"/>
  <c r="AK850" i="1"/>
  <c r="AM850" i="1"/>
  <c r="AK851" i="1"/>
  <c r="AM851" i="1"/>
  <c r="AK852" i="1"/>
  <c r="AM852" i="1"/>
  <c r="AK853" i="1"/>
  <c r="AM853" i="1"/>
  <c r="AK854" i="1"/>
  <c r="AM854" i="1"/>
  <c r="AK855" i="1"/>
  <c r="AM855" i="1"/>
  <c r="AK856" i="1"/>
  <c r="AM856" i="1"/>
  <c r="AK857" i="1"/>
  <c r="AM857" i="1"/>
  <c r="AM2" i="1"/>
  <c r="AK2" i="1" l="1"/>
</calcChain>
</file>

<file path=xl/sharedStrings.xml><?xml version="1.0" encoding="utf-8"?>
<sst xmlns="http://schemas.openxmlformats.org/spreadsheetml/2006/main" count="2469" uniqueCount="1873">
  <si>
    <t>T032</t>
  </si>
  <si>
    <t>Tofu, crudo</t>
  </si>
  <si>
    <t>T031</t>
  </si>
  <si>
    <t>Semilla</t>
  </si>
  <si>
    <t>Soya, tostada</t>
  </si>
  <si>
    <t>T030</t>
  </si>
  <si>
    <t>Soya, cruda</t>
  </si>
  <si>
    <t>T029</t>
  </si>
  <si>
    <t>Maní, con piel, tostado, sin sal</t>
  </si>
  <si>
    <t>T028</t>
  </si>
  <si>
    <t>Maní, con piel, crudo</t>
  </si>
  <si>
    <t>T027</t>
  </si>
  <si>
    <t>Lenteja real, cruda</t>
  </si>
  <si>
    <t>T026</t>
  </si>
  <si>
    <t>Lenteja común, cruda</t>
  </si>
  <si>
    <t>T025</t>
  </si>
  <si>
    <t xml:space="preserve">Lenteja común, cocida, sin sal </t>
  </si>
  <si>
    <t>T024</t>
  </si>
  <si>
    <t>Harina de soya, con grasa, cruda</t>
  </si>
  <si>
    <t>T023</t>
  </si>
  <si>
    <t>Harina de garbanzo, cruda</t>
  </si>
  <si>
    <t>T022</t>
  </si>
  <si>
    <t>Harina de frijol mungo, cruda</t>
  </si>
  <si>
    <t>T021</t>
  </si>
  <si>
    <t>Harina de algarrobo, cruda</t>
  </si>
  <si>
    <t>T020</t>
  </si>
  <si>
    <t>Haba seca, cruda</t>
  </si>
  <si>
    <t>T019</t>
  </si>
  <si>
    <t>Garbanzo, crudo</t>
  </si>
  <si>
    <t>T018</t>
  </si>
  <si>
    <t>Garbanzo, cocido, sin sal</t>
  </si>
  <si>
    <t>T017</t>
  </si>
  <si>
    <t>Frijol sangretoro, crudo</t>
  </si>
  <si>
    <t>T016</t>
  </si>
  <si>
    <t>Frijol radical, crudo</t>
  </si>
  <si>
    <t>T015</t>
  </si>
  <si>
    <t>Frijol nima, crudo</t>
  </si>
  <si>
    <t>T014</t>
  </si>
  <si>
    <t>Frijol mungo, crudo</t>
  </si>
  <si>
    <t>T013</t>
  </si>
  <si>
    <t>Frijol guandul, crudo</t>
  </si>
  <si>
    <t>T012</t>
  </si>
  <si>
    <t>Frijol cargamanto rosado, crudo</t>
  </si>
  <si>
    <t>T011</t>
  </si>
  <si>
    <t>Frijol cargamanto rojo, crudo</t>
  </si>
  <si>
    <t>T010</t>
  </si>
  <si>
    <t>Frijol cargamanto rojo, cocido, sin sal</t>
  </si>
  <si>
    <t>T009</t>
  </si>
  <si>
    <t>Frijol caraota o negro, crudo</t>
  </si>
  <si>
    <t>T008</t>
  </si>
  <si>
    <t>Frijol canavalia, crudo</t>
  </si>
  <si>
    <t>T007</t>
  </si>
  <si>
    <t>Frijol cabecita negra, crudo</t>
  </si>
  <si>
    <t>T006</t>
  </si>
  <si>
    <t>Frijol bola roja, crudo</t>
  </si>
  <si>
    <t>T005</t>
  </si>
  <si>
    <t>Frijol blanco, crudo</t>
  </si>
  <si>
    <t>T004</t>
  </si>
  <si>
    <t>Bebida vegetal, de soya, líquida, sin azúcar</t>
  </si>
  <si>
    <t>T003</t>
  </si>
  <si>
    <t>Arveja seca, cruda</t>
  </si>
  <si>
    <t>T002</t>
  </si>
  <si>
    <t>Arveja seca, cocida sin sal</t>
  </si>
  <si>
    <t>T001</t>
  </si>
  <si>
    <t>Ajonjolí o sésamo, crudo</t>
  </si>
  <si>
    <t>S033</t>
  </si>
  <si>
    <t>Viudo de bocachico</t>
  </si>
  <si>
    <t>S032</t>
  </si>
  <si>
    <t>Tamal tolimense, cocido</t>
  </si>
  <si>
    <t>S031</t>
  </si>
  <si>
    <t>Tamal de pipián, cocido</t>
  </si>
  <si>
    <t>S030</t>
  </si>
  <si>
    <t>Tamal de maíz, cocido</t>
  </si>
  <si>
    <t>S029</t>
  </si>
  <si>
    <t>Tamal de maíz y guiso, cocido</t>
  </si>
  <si>
    <t>S028</t>
  </si>
  <si>
    <t>Sudado de piangua</t>
  </si>
  <si>
    <t>S027</t>
  </si>
  <si>
    <t>Sopa de tortillas</t>
  </si>
  <si>
    <t>S026</t>
  </si>
  <si>
    <t>Sopa de arroz</t>
  </si>
  <si>
    <t>S025</t>
  </si>
  <si>
    <t>Sancocho valluno de gallina</t>
  </si>
  <si>
    <t>S024</t>
  </si>
  <si>
    <t>Sancocho de bagre</t>
  </si>
  <si>
    <t>S023</t>
  </si>
  <si>
    <t>Rundown</t>
  </si>
  <si>
    <t>S022</t>
  </si>
  <si>
    <t>Pisillo de chiguiro</t>
  </si>
  <si>
    <t>S021</t>
  </si>
  <si>
    <t>Mute santandereano</t>
  </si>
  <si>
    <t>S020</t>
  </si>
  <si>
    <t>Mote de queso</t>
  </si>
  <si>
    <t>S019</t>
  </si>
  <si>
    <t>Mazamorra chiquita</t>
  </si>
  <si>
    <t>S018</t>
  </si>
  <si>
    <t>Lechona tolimense, horneada</t>
  </si>
  <si>
    <t>S017</t>
  </si>
  <si>
    <t>Hamburguesa de carne de res, regular, con vegetales y condimentos</t>
  </si>
  <si>
    <t>S016</t>
  </si>
  <si>
    <t>Guacamole, crudo</t>
  </si>
  <si>
    <t>S015</t>
  </si>
  <si>
    <t>Friche de chivo</t>
  </si>
  <si>
    <t>S014</t>
  </si>
  <si>
    <t>Envuelto de yuca, precocido</t>
  </si>
  <si>
    <t>S013</t>
  </si>
  <si>
    <t>Envuelto de plátano maduro, precocido</t>
  </si>
  <si>
    <t>S012</t>
  </si>
  <si>
    <t>Envuelto de maíz mute, precocido</t>
  </si>
  <si>
    <t>S011</t>
  </si>
  <si>
    <t>Empanada de pipián, frita</t>
  </si>
  <si>
    <t>S010</t>
  </si>
  <si>
    <t>Cuy asado</t>
  </si>
  <si>
    <t>S009</t>
  </si>
  <si>
    <t>Chocolate, en agua (50%) y Leche de vaca entera (50%)</t>
  </si>
  <si>
    <t>S008</t>
  </si>
  <si>
    <t>Chili con carne, precocido</t>
  </si>
  <si>
    <t>S007</t>
  </si>
  <si>
    <t>Chicharrón de pirarucú, frito</t>
  </si>
  <si>
    <t>S006</t>
  </si>
  <si>
    <t>Carimañola, con queso, precocida</t>
  </si>
  <si>
    <t>S005</t>
  </si>
  <si>
    <t>Bollo limpio, precocido</t>
  </si>
  <si>
    <t>S004</t>
  </si>
  <si>
    <t>Bandeja paisa</t>
  </si>
  <si>
    <t>S003</t>
  </si>
  <si>
    <t>Arroz clavado</t>
  </si>
  <si>
    <t>S002</t>
  </si>
  <si>
    <t>Arroz atollado</t>
  </si>
  <si>
    <t>S001</t>
  </si>
  <si>
    <t>Ajiaco santafereño</t>
  </si>
  <si>
    <t>R005</t>
  </si>
  <si>
    <t>Bienestarina®, líquida, sabor a vainilla natural</t>
  </si>
  <si>
    <t>Bienestarina®, líquida, con arroz, avena y quinua</t>
  </si>
  <si>
    <t>R004</t>
  </si>
  <si>
    <t>Bienestarina Más®, precocida, en polvo, sabor natural</t>
  </si>
  <si>
    <t>R003</t>
  </si>
  <si>
    <t>Bienestarina Más®, precocida, en polvo, sabor a vainilla natural</t>
  </si>
  <si>
    <t>R002</t>
  </si>
  <si>
    <t>Bienestarina Más®, precocida, en polvo, sabor a fresa natural</t>
  </si>
  <si>
    <t>R001</t>
  </si>
  <si>
    <t>Alimento para mujer gestante y madre en periodo de lactancia, en polvo</t>
  </si>
  <si>
    <t>P095</t>
  </si>
  <si>
    <t>Pulpa</t>
  </si>
  <si>
    <t>Yuca colorada, sin cáscara, cruda</t>
  </si>
  <si>
    <t>P094</t>
  </si>
  <si>
    <t>Yuca brava, sin cáscara, cruda</t>
  </si>
  <si>
    <t>P093</t>
  </si>
  <si>
    <t>Wuapo, crudo</t>
  </si>
  <si>
    <t>P092</t>
  </si>
  <si>
    <t>Weya, crudo</t>
  </si>
  <si>
    <t>P091</t>
  </si>
  <si>
    <t>Umuy, crudo</t>
  </si>
  <si>
    <t>P090</t>
  </si>
  <si>
    <t>Pulpa sin semillas</t>
  </si>
  <si>
    <t>Tuna, cruda</t>
  </si>
  <si>
    <t>P089</t>
  </si>
  <si>
    <t>Trupillo, seco, crudo</t>
  </si>
  <si>
    <t>P088</t>
  </si>
  <si>
    <t>Trigo amazónico, crudo</t>
  </si>
  <si>
    <t>P087</t>
  </si>
  <si>
    <t>Termita, cruda</t>
  </si>
  <si>
    <t>P086</t>
  </si>
  <si>
    <t>Termita, cocida, con sal</t>
  </si>
  <si>
    <t>P085</t>
  </si>
  <si>
    <t>Nuez</t>
  </si>
  <si>
    <t>Salchicha inchi, cruda</t>
  </si>
  <si>
    <t>P084</t>
  </si>
  <si>
    <t>Piña uva hartón, cruda</t>
  </si>
  <si>
    <t>P083</t>
  </si>
  <si>
    <t>Piña india, cruda</t>
  </si>
  <si>
    <t>P082</t>
  </si>
  <si>
    <t>Perico, crudo</t>
  </si>
  <si>
    <t>P081</t>
  </si>
  <si>
    <t>Pepinillo, crudo</t>
  </si>
  <si>
    <t>P080</t>
  </si>
  <si>
    <t>Hojas</t>
  </si>
  <si>
    <t>Paja toquilla, cruda</t>
  </si>
  <si>
    <t>P079</t>
  </si>
  <si>
    <t>Tallo</t>
  </si>
  <si>
    <t>Ortiga, cruda</t>
  </si>
  <si>
    <t>P078</t>
  </si>
  <si>
    <t>Médula y corteza</t>
  </si>
  <si>
    <t>Olloco o chugua, sin cáscara, cruda</t>
  </si>
  <si>
    <t>P077</t>
  </si>
  <si>
    <t>Olloco o chugua, con cáscara, cruda</t>
  </si>
  <si>
    <t>P076</t>
  </si>
  <si>
    <t>Médula</t>
  </si>
  <si>
    <t>Oca o ibia, sin cáscara, cruda</t>
  </si>
  <si>
    <t>P075</t>
  </si>
  <si>
    <t>Oca o ibia, con cáscara, cruda</t>
  </si>
  <si>
    <t>P074</t>
  </si>
  <si>
    <t>Ñame, sin cáscara, crudo</t>
  </si>
  <si>
    <t>P073</t>
  </si>
  <si>
    <t>Ñame, sin cáscara, cocido</t>
  </si>
  <si>
    <t>P072</t>
  </si>
  <si>
    <t>Ñame, con cáscara, crudo</t>
  </si>
  <si>
    <t>P071</t>
  </si>
  <si>
    <t>Nuez caldereña o nuez de barinas, seca, en polvo</t>
  </si>
  <si>
    <t>P070</t>
  </si>
  <si>
    <t>Níspero del japón, crudo</t>
  </si>
  <si>
    <t>P069</t>
  </si>
  <si>
    <t>Moriche, crudo</t>
  </si>
  <si>
    <t>P068</t>
  </si>
  <si>
    <t>Milpesos, cruda</t>
  </si>
  <si>
    <t>P067</t>
  </si>
  <si>
    <t>Milpesos, cocida, sin sal</t>
  </si>
  <si>
    <t>P066</t>
  </si>
  <si>
    <t>Maputo, crudo</t>
  </si>
  <si>
    <t>P065</t>
  </si>
  <si>
    <t>Mamo, crudo</t>
  </si>
  <si>
    <t>P064</t>
  </si>
  <si>
    <t>Raíz/cormo</t>
  </si>
  <si>
    <t>Malanga, sin cáscara, cruda</t>
  </si>
  <si>
    <t>P063</t>
  </si>
  <si>
    <t>Majua o cubio, con cáscara, cruda</t>
  </si>
  <si>
    <t>P062</t>
  </si>
  <si>
    <t>Jute de papa criolla</t>
  </si>
  <si>
    <t>P061</t>
  </si>
  <si>
    <t>Iguaraya, cruda</t>
  </si>
  <si>
    <t>P060</t>
  </si>
  <si>
    <t>Harina de yuca brava, fariña o mandioca, cruda</t>
  </si>
  <si>
    <t>P059</t>
  </si>
  <si>
    <t>Harina de semillas de calabazo o totumo, cruda</t>
  </si>
  <si>
    <t>P058</t>
  </si>
  <si>
    <t>harina de achira, cruda</t>
  </si>
  <si>
    <t>P057</t>
  </si>
  <si>
    <t>Guayaba de morrocoy, cruda</t>
  </si>
  <si>
    <t>P056</t>
  </si>
  <si>
    <t>Guáimaro o ramón, cocido, sin sal</t>
  </si>
  <si>
    <t>P055</t>
  </si>
  <si>
    <t>Emi, crudo</t>
  </si>
  <si>
    <t>P054</t>
  </si>
  <si>
    <t>Duri, crudo</t>
  </si>
  <si>
    <t>P053</t>
  </si>
  <si>
    <t>Dulce de borojo</t>
  </si>
  <si>
    <t>P052</t>
  </si>
  <si>
    <t>Ductú simple, sin cáscara, crudo</t>
  </si>
  <si>
    <t>P051</t>
  </si>
  <si>
    <t>Ductu simple, sin cáscara, cocido, sin sal</t>
  </si>
  <si>
    <t>P050</t>
  </si>
  <si>
    <t>Cucurito, semilla, crudo</t>
  </si>
  <si>
    <t>P049</t>
  </si>
  <si>
    <t>Cucurito, semilla, cocido sin sal</t>
  </si>
  <si>
    <t>P048</t>
  </si>
  <si>
    <t>Cucurito, crudo</t>
  </si>
  <si>
    <t>P047</t>
  </si>
  <si>
    <t>Cucurito, cocido, sin sal</t>
  </si>
  <si>
    <t>P046</t>
  </si>
  <si>
    <t>Corozo, crudo</t>
  </si>
  <si>
    <t>P045</t>
  </si>
  <si>
    <t>Copoazú, crudo</t>
  </si>
  <si>
    <t>P044</t>
  </si>
  <si>
    <t>Concha de caimán, cruda</t>
  </si>
  <si>
    <t>P043</t>
  </si>
  <si>
    <t>Coconilla, cruda</t>
  </si>
  <si>
    <t>P042</t>
  </si>
  <si>
    <t>Coconilla, cocida, sin sal</t>
  </si>
  <si>
    <t>P041</t>
  </si>
  <si>
    <t>Cocona, cruda</t>
  </si>
  <si>
    <t>P040</t>
  </si>
  <si>
    <t>Ciruela joba, cruda</t>
  </si>
  <si>
    <t>P039</t>
  </si>
  <si>
    <t>Chupa, cruda</t>
  </si>
  <si>
    <t>P038</t>
  </si>
  <si>
    <t>Chontaduro amazónico, crudo</t>
  </si>
  <si>
    <t>P037</t>
  </si>
  <si>
    <t>Chigua, cruda</t>
  </si>
  <si>
    <t>P036</t>
  </si>
  <si>
    <t>Chicozapote, crudo</t>
  </si>
  <si>
    <t>P035</t>
  </si>
  <si>
    <t>Champa, cruda</t>
  </si>
  <si>
    <t>P034</t>
  </si>
  <si>
    <t>Cedro macho, crudo</t>
  </si>
  <si>
    <t>P033</t>
  </si>
  <si>
    <t>Casabe de yuca, asado, con sal</t>
  </si>
  <si>
    <t>P032</t>
  </si>
  <si>
    <t>Hoja</t>
  </si>
  <si>
    <t>Carurú, crudo</t>
  </si>
  <si>
    <t>P031</t>
  </si>
  <si>
    <t>Carurú, cocido, sin sal</t>
  </si>
  <si>
    <t>P030</t>
  </si>
  <si>
    <t>Cardón guajiro, asado, sin sal</t>
  </si>
  <si>
    <t>P029</t>
  </si>
  <si>
    <t>Cardo, crudo</t>
  </si>
  <si>
    <t>P028</t>
  </si>
  <si>
    <t>Carambolo, verde, deshidratado</t>
  </si>
  <si>
    <t>P027</t>
  </si>
  <si>
    <t>Carambolo, verde, crudo</t>
  </si>
  <si>
    <t>P026</t>
  </si>
  <si>
    <t>Carambolo, pintón, deshidratado</t>
  </si>
  <si>
    <t>P025</t>
  </si>
  <si>
    <t>Carambolo, pintón, crudo</t>
  </si>
  <si>
    <t>P024</t>
  </si>
  <si>
    <t>Carambolo, maduro, deshidratado</t>
  </si>
  <si>
    <t>P023</t>
  </si>
  <si>
    <t>Carambolo, maduro, crudo</t>
  </si>
  <si>
    <t>P022</t>
  </si>
  <si>
    <t>Camu-camu, crudo</t>
  </si>
  <si>
    <t>P021</t>
  </si>
  <si>
    <t>Caimo morado, crudo</t>
  </si>
  <si>
    <t>P020</t>
  </si>
  <si>
    <t>Cactus, crudo</t>
  </si>
  <si>
    <t>P019</t>
  </si>
  <si>
    <t>Cacao silvestre, semilla, crudo</t>
  </si>
  <si>
    <t>P018</t>
  </si>
  <si>
    <t>Cacao silvestre, crudo</t>
  </si>
  <si>
    <t>P017</t>
  </si>
  <si>
    <t>Borojó, crudo</t>
  </si>
  <si>
    <t>P016</t>
  </si>
  <si>
    <t>Banano pacífico, crudo</t>
  </si>
  <si>
    <t>P015</t>
  </si>
  <si>
    <t xml:space="preserve">Pulpa  </t>
  </si>
  <si>
    <t>Banano chiro, crudo</t>
  </si>
  <si>
    <t>P014</t>
  </si>
  <si>
    <t>Asaí, liofilizado</t>
  </si>
  <si>
    <t>P013</t>
  </si>
  <si>
    <t>Asaí, deshidratado</t>
  </si>
  <si>
    <t>P012</t>
  </si>
  <si>
    <t>Asaí, cocido, crudo</t>
  </si>
  <si>
    <t>P011</t>
  </si>
  <si>
    <t>Asaí, cocido, sin sal</t>
  </si>
  <si>
    <t>P010</t>
  </si>
  <si>
    <t>Árbol del pan, semilla, crudo</t>
  </si>
  <si>
    <t>P009</t>
  </si>
  <si>
    <t>Árbol del pan, crudo</t>
  </si>
  <si>
    <t>P008</t>
  </si>
  <si>
    <t>Árbol del pan, cocido</t>
  </si>
  <si>
    <t>P007</t>
  </si>
  <si>
    <t>Arazá, crudo</t>
  </si>
  <si>
    <t>P006</t>
  </si>
  <si>
    <t>Almidón de ñame, crudo</t>
  </si>
  <si>
    <t>P005</t>
  </si>
  <si>
    <t>Almidón de malanga, crudo</t>
  </si>
  <si>
    <t>P004</t>
  </si>
  <si>
    <t>Almidón de arracacha, crudo</t>
  </si>
  <si>
    <t>P003</t>
  </si>
  <si>
    <t>Ackee, crudo</t>
  </si>
  <si>
    <t>P002</t>
  </si>
  <si>
    <t>Raíz</t>
  </si>
  <si>
    <t>Achira, sin cáscara, cruda</t>
  </si>
  <si>
    <t>P001</t>
  </si>
  <si>
    <t>Achira, sin cáscara, cocida, sin sal</t>
  </si>
  <si>
    <t>N006</t>
  </si>
  <si>
    <t>Yogurt, bebible, semidescremado, con azúcar</t>
  </si>
  <si>
    <t>N005</t>
  </si>
  <si>
    <t>Yogurt, bebible, descremado, sin azúcar</t>
  </si>
  <si>
    <t>N004</t>
  </si>
  <si>
    <t>Salchicha de cerdo, baja en grasa</t>
  </si>
  <si>
    <t>N003</t>
  </si>
  <si>
    <t>Mermelada, baja en calorías</t>
  </si>
  <si>
    <t>N002</t>
  </si>
  <si>
    <t>Mayonesa, baja en grasa</t>
  </si>
  <si>
    <t>N001</t>
  </si>
  <si>
    <t>Margarina, baja en calorías, esparcible</t>
  </si>
  <si>
    <t>L018</t>
  </si>
  <si>
    <t>Vinagre</t>
  </si>
  <si>
    <t>L017</t>
  </si>
  <si>
    <t>Salsa de tomate</t>
  </si>
  <si>
    <t>L016</t>
  </si>
  <si>
    <t>Salsa de mostaza</t>
  </si>
  <si>
    <t>L015</t>
  </si>
  <si>
    <t>L014</t>
  </si>
  <si>
    <t>Polen, seco</t>
  </si>
  <si>
    <t>L013</t>
  </si>
  <si>
    <t>Polen, húmedo</t>
  </si>
  <si>
    <t>L012</t>
  </si>
  <si>
    <t>Moringa, en polvo</t>
  </si>
  <si>
    <t>L011</t>
  </si>
  <si>
    <t>Levadura biológica para pan, fresca, prensada</t>
  </si>
  <si>
    <t>L010</t>
  </si>
  <si>
    <t>Jengibre, crudo</t>
  </si>
  <si>
    <t>L009</t>
  </si>
  <si>
    <t>Cocoa, en polvo, sin azúcar</t>
  </si>
  <si>
    <t>L008</t>
  </si>
  <si>
    <t>Chocolate amargo o negro</t>
  </si>
  <si>
    <t>L007</t>
  </si>
  <si>
    <t>Caldo de carne de res, deshidratado</t>
  </si>
  <si>
    <t>L006</t>
  </si>
  <si>
    <t>Café, tostado y molido, en polvo</t>
  </si>
  <si>
    <t>L005</t>
  </si>
  <si>
    <t>Café soluble, en polvo</t>
  </si>
  <si>
    <t>L004</t>
  </si>
  <si>
    <t>Café soluble, descafeinado, en polvo</t>
  </si>
  <si>
    <t>L003</t>
  </si>
  <si>
    <t>Cacao, tostado y molido</t>
  </si>
  <si>
    <t>L002</t>
  </si>
  <si>
    <t>Aloe vera, crudo</t>
  </si>
  <si>
    <t>L001</t>
  </si>
  <si>
    <t>Achiote, seco</t>
  </si>
  <si>
    <t>K035</t>
  </si>
  <si>
    <t>Uchuva, en almíbar</t>
  </si>
  <si>
    <t>K034</t>
  </si>
  <si>
    <t>Panelita de leche de vaca, con azúcar</t>
  </si>
  <si>
    <t>K033</t>
  </si>
  <si>
    <t>Panela</t>
  </si>
  <si>
    <t>K032</t>
  </si>
  <si>
    <t>Miel de caña de azúcar, líquida</t>
  </si>
  <si>
    <t>K031</t>
  </si>
  <si>
    <t>Miel de abejas, líquida</t>
  </si>
  <si>
    <t>K030</t>
  </si>
  <si>
    <t>Mermelada, regular, con zaúcar</t>
  </si>
  <si>
    <t>K029</t>
  </si>
  <si>
    <t>Melocotón, en almibar</t>
  </si>
  <si>
    <t>K028</t>
  </si>
  <si>
    <t>Melaza o miel negra</t>
  </si>
  <si>
    <t>K027</t>
  </si>
  <si>
    <t>Masmelos</t>
  </si>
  <si>
    <t>K026</t>
  </si>
  <si>
    <t>Manjar del valle</t>
  </si>
  <si>
    <t>K025</t>
  </si>
  <si>
    <t>Manjar blanco</t>
  </si>
  <si>
    <t>K024</t>
  </si>
  <si>
    <t>Helado de leche</t>
  </si>
  <si>
    <t>K023</t>
  </si>
  <si>
    <t>Helado de crema</t>
  </si>
  <si>
    <t>K022</t>
  </si>
  <si>
    <t>Helados de agua, con azúcar</t>
  </si>
  <si>
    <t>K021</t>
  </si>
  <si>
    <t>Goma de mascar, con azúcar</t>
  </si>
  <si>
    <t>K020</t>
  </si>
  <si>
    <t>Gelatina de pata</t>
  </si>
  <si>
    <t>K019</t>
  </si>
  <si>
    <t>Gelatina con azúcar, líquida</t>
  </si>
  <si>
    <t>K018</t>
  </si>
  <si>
    <t>Gelatina con azúcar, en polvo</t>
  </si>
  <si>
    <t>K017</t>
  </si>
  <si>
    <t>Dulce de lulo</t>
  </si>
  <si>
    <t>K016</t>
  </si>
  <si>
    <t>Dulce de jengibre, cristalizado</t>
  </si>
  <si>
    <t>K015</t>
  </si>
  <si>
    <t>Dulce de coco, con almendras</t>
  </si>
  <si>
    <t>K014</t>
  </si>
  <si>
    <t>Cocadas, con panela</t>
  </si>
  <si>
    <t>K013</t>
  </si>
  <si>
    <t>Chucula o chocolate, en bolas, con harina de cereales y leguminosas</t>
  </si>
  <si>
    <t>K012</t>
  </si>
  <si>
    <t>Chocolatina, o chocolate de leche</t>
  </si>
  <si>
    <t>K011</t>
  </si>
  <si>
    <t>Chocolate, en pastilla, con azúcar y leche</t>
  </si>
  <si>
    <t>K010</t>
  </si>
  <si>
    <t>Chocolate, en pastilla, con azúcar</t>
  </si>
  <si>
    <t>K009</t>
  </si>
  <si>
    <t>Chocolate, en bolas, con panela</t>
  </si>
  <si>
    <t>K008</t>
  </si>
  <si>
    <t>Caramelos o confites, duros</t>
  </si>
  <si>
    <t>K007</t>
  </si>
  <si>
    <t>Caramelos o confites, blandos</t>
  </si>
  <si>
    <t>K006</t>
  </si>
  <si>
    <t>Bocadillo o dulce de guayaba, veleño</t>
  </si>
  <si>
    <t>K005</t>
  </si>
  <si>
    <t>Bocadillo o dulce de guayaba, tradicional</t>
  </si>
  <si>
    <t>K004</t>
  </si>
  <si>
    <t>Azúcar morena, granulado</t>
  </si>
  <si>
    <t>K003</t>
  </si>
  <si>
    <t>Azúcar blanco, granulado</t>
  </si>
  <si>
    <t>K002</t>
  </si>
  <si>
    <t>Arroz con leche</t>
  </si>
  <si>
    <t>K001</t>
  </si>
  <si>
    <t>Arequipe o dulce de leche</t>
  </si>
  <si>
    <t>J013</t>
  </si>
  <si>
    <t>Clara y yema</t>
  </si>
  <si>
    <t>Huevo de tortuga, entero, crudo</t>
  </si>
  <si>
    <t>J012</t>
  </si>
  <si>
    <t>Huevo de pata, entero, crudo</t>
  </si>
  <si>
    <t>J011</t>
  </si>
  <si>
    <t>J010</t>
  </si>
  <si>
    <t>Huevo de iguana, entero, crudo</t>
  </si>
  <si>
    <t>J009</t>
  </si>
  <si>
    <t>Yema</t>
  </si>
  <si>
    <t>Huevo de gallina, yema, crudo</t>
  </si>
  <si>
    <t>J008</t>
  </si>
  <si>
    <t>Huevo de gallina, entero, tibio, sin sal</t>
  </si>
  <si>
    <t>J007</t>
  </si>
  <si>
    <t>Huevo de gallina, entero, revuelto, con sal</t>
  </si>
  <si>
    <t>J006</t>
  </si>
  <si>
    <t>Huevo de gallina, entero, frito, sin sal</t>
  </si>
  <si>
    <t>J005</t>
  </si>
  <si>
    <t>Huevo de gallina, entero, en polvo</t>
  </si>
  <si>
    <t>J004</t>
  </si>
  <si>
    <t>Huevo de gallina, entero, crudo</t>
  </si>
  <si>
    <t>J003</t>
  </si>
  <si>
    <t>Huevo de gallina, entero, cocido, sin sal</t>
  </si>
  <si>
    <t>J002</t>
  </si>
  <si>
    <t xml:space="preserve">Clara  </t>
  </si>
  <si>
    <t>Huevo de gallina, clara, crudo</t>
  </si>
  <si>
    <t>J001</t>
  </si>
  <si>
    <t>Huevo de codorniz, entero, crudo</t>
  </si>
  <si>
    <t>H018</t>
  </si>
  <si>
    <t>Té, infusiónal 2%, soin azúcar</t>
  </si>
  <si>
    <t>H017</t>
  </si>
  <si>
    <t>Sabajón de tomate de árbol rojo, 14% de alcohol</t>
  </si>
  <si>
    <t>H016</t>
  </si>
  <si>
    <t>Sabajón de tomate de árbol amarillo, 14% de alcohol</t>
  </si>
  <si>
    <t>H015</t>
  </si>
  <si>
    <t>Néctar de pera, con azúcar</t>
  </si>
  <si>
    <t>H014</t>
  </si>
  <si>
    <t>Néctar de manzana, con azúcar</t>
  </si>
  <si>
    <t>H013</t>
  </si>
  <si>
    <t>Néctar de mango, con azúcar</t>
  </si>
  <si>
    <t>H012</t>
  </si>
  <si>
    <t>Néctar de guayaba, con azúcar</t>
  </si>
  <si>
    <t>H011</t>
  </si>
  <si>
    <t>Néctar de durazno, con azúcar</t>
  </si>
  <si>
    <t>H010</t>
  </si>
  <si>
    <t>Néctar de albaricoque, con azúcar</t>
  </si>
  <si>
    <t>H009</t>
  </si>
  <si>
    <t>Guarapo de caña de azúcar, 3% de alcohol</t>
  </si>
  <si>
    <t>H008</t>
  </si>
  <si>
    <t>Gaseosa o bebida carbonatada, regular, con azúcar</t>
  </si>
  <si>
    <t>H007</t>
  </si>
  <si>
    <t>Chicha de maíz, 4% de alcohol</t>
  </si>
  <si>
    <t>H006</t>
  </si>
  <si>
    <t>Cerveza, regular, 4% de alcohol</t>
  </si>
  <si>
    <t>H005</t>
  </si>
  <si>
    <t>Café, tostado y molido, infusión al 6%, sin azúcar</t>
  </si>
  <si>
    <t>H004</t>
  </si>
  <si>
    <t>Bebida de harina de avena, en agua, sin azúcar</t>
  </si>
  <si>
    <t>H003</t>
  </si>
  <si>
    <t>Bebida de avena en hojuelas, en agua, sin azúcar</t>
  </si>
  <si>
    <t>H002</t>
  </si>
  <si>
    <t>Agua de coco, sin azúcar</t>
  </si>
  <si>
    <t>H001</t>
  </si>
  <si>
    <t>Agua de cebada perlada, sin azúcar</t>
  </si>
  <si>
    <t>G028</t>
  </si>
  <si>
    <t>yogurt, bebible, entero, con azúcar</t>
  </si>
  <si>
    <t>G027</t>
  </si>
  <si>
    <t>Queso madurado, semiduro, semigraso, tipo holandés</t>
  </si>
  <si>
    <t>G026</t>
  </si>
  <si>
    <t>Queso madurado, semiduro, semigraso, tipo camembert</t>
  </si>
  <si>
    <t>G025</t>
  </si>
  <si>
    <t>Queso madurado, duro, semigraso, tipo roquefort</t>
  </si>
  <si>
    <t>G024</t>
  </si>
  <si>
    <t>Queso madurado, duro, semigraso, tipo parmesano</t>
  </si>
  <si>
    <t>G023</t>
  </si>
  <si>
    <t>Queso madurado, blando, magro, tipo cottage, sin crema</t>
  </si>
  <si>
    <t>G022</t>
  </si>
  <si>
    <t>Queso madurado, blando, magro, tipo cottage, con crema</t>
  </si>
  <si>
    <t>G021</t>
  </si>
  <si>
    <t>Queso fresco, semiduro, semimagro, tipo doble crema</t>
  </si>
  <si>
    <t>G020</t>
  </si>
  <si>
    <t>Queso fresco, semiduro, semimagro, de pasta hilada</t>
  </si>
  <si>
    <t>G019</t>
  </si>
  <si>
    <t>Queso fresco, semiduro, semigraso, tipo mozzarella</t>
  </si>
  <si>
    <t>G018</t>
  </si>
  <si>
    <t>Queso fresco, semiduro, semigraso, tipo costeño</t>
  </si>
  <si>
    <t>G017</t>
  </si>
  <si>
    <t>Queso fresco, semiduro, semigraso, tipo campesino</t>
  </si>
  <si>
    <t>G016</t>
  </si>
  <si>
    <t>Queso fresco, semiblando, semimagro, tipo cuajada</t>
  </si>
  <si>
    <t>G015</t>
  </si>
  <si>
    <t>Queso fresco, blando, magro, tipo suero costeño</t>
  </si>
  <si>
    <t>G014</t>
  </si>
  <si>
    <t>Queso crema, amarillo</t>
  </si>
  <si>
    <t>G013</t>
  </si>
  <si>
    <t>Leche humana, madura, líquida</t>
  </si>
  <si>
    <t>G012</t>
  </si>
  <si>
    <t>Leche de vaca, entera, líquida, pasteurizada</t>
  </si>
  <si>
    <t>G011</t>
  </si>
  <si>
    <t>Leche de vaca, entera, líquida, hervida</t>
  </si>
  <si>
    <t>G010</t>
  </si>
  <si>
    <t>Leche de vaca, entera, líquida, cruda</t>
  </si>
  <si>
    <t>G009</t>
  </si>
  <si>
    <t>Leche de vaca, entera, evaporada</t>
  </si>
  <si>
    <t>G008</t>
  </si>
  <si>
    <t>Leche de vaca, entera, en polvo</t>
  </si>
  <si>
    <t>G007</t>
  </si>
  <si>
    <t>Leche de vaca, descremada, líquida, pasteurizada</t>
  </si>
  <si>
    <t>G006</t>
  </si>
  <si>
    <t>Leche de vaca, descremada, en polvo</t>
  </si>
  <si>
    <t>G005</t>
  </si>
  <si>
    <t>Leche de vaca, condensada, con azúcar</t>
  </si>
  <si>
    <t>G004</t>
  </si>
  <si>
    <t>Leche de cabra, entera, líquida, cruda</t>
  </si>
  <si>
    <t>G003</t>
  </si>
  <si>
    <t>Lactosuero</t>
  </si>
  <si>
    <t>G002</t>
  </si>
  <si>
    <t>Kumis, entero, con azúcar</t>
  </si>
  <si>
    <t>G001</t>
  </si>
  <si>
    <t>Crema de leche</t>
  </si>
  <si>
    <t>F132</t>
  </si>
  <si>
    <t>Tortuga, carne, cruda</t>
  </si>
  <si>
    <t>F131</t>
  </si>
  <si>
    <t>Ternera, carne magra, cruda</t>
  </si>
  <si>
    <t>F130</t>
  </si>
  <si>
    <t>Salchichón de cerdo y pollo, tradicional, precocido</t>
  </si>
  <si>
    <t>F129</t>
  </si>
  <si>
    <t>Salchichón de cerdo y pollo, cervecero, precocido</t>
  </si>
  <si>
    <t>F128</t>
  </si>
  <si>
    <t>Salchicha de ternera, precocida</t>
  </si>
  <si>
    <t>F127</t>
  </si>
  <si>
    <t>Salchicha de pollo, precocida</t>
  </si>
  <si>
    <t>F126</t>
  </si>
  <si>
    <t>Salchicha de cerdo, tipo frankfurt, precocida</t>
  </si>
  <si>
    <t>F125</t>
  </si>
  <si>
    <t>Salchicha de cerdo y res, precocida</t>
  </si>
  <si>
    <t>F124</t>
  </si>
  <si>
    <t>Ubre</t>
  </si>
  <si>
    <t>Res, ubre, cruda</t>
  </si>
  <si>
    <t>F123</t>
  </si>
  <si>
    <t>Sobrebarriga</t>
  </si>
  <si>
    <t>Res, sobrebarriga, cocida, sin sal</t>
  </si>
  <si>
    <t>F122</t>
  </si>
  <si>
    <t>Cerebro</t>
  </si>
  <si>
    <t>Res, sesos, crudos</t>
  </si>
  <si>
    <t>F121</t>
  </si>
  <si>
    <t>Res, sesos, cocidos, sin sal</t>
  </si>
  <si>
    <t>F120</t>
  </si>
  <si>
    <t>Riñón</t>
  </si>
  <si>
    <t>Res, riñón, dorado, sin sal</t>
  </si>
  <si>
    <t>F119</t>
  </si>
  <si>
    <t>Res, riñón, crudo</t>
  </si>
  <si>
    <t>F118</t>
  </si>
  <si>
    <t>Pierna</t>
  </si>
  <si>
    <t>Res, pierna, cruda</t>
  </si>
  <si>
    <t>F117</t>
  </si>
  <si>
    <t>Pata</t>
  </si>
  <si>
    <t>Res, pata, cruda</t>
  </si>
  <si>
    <t>F116</t>
  </si>
  <si>
    <t>Bazo</t>
  </si>
  <si>
    <t>Res, pajarrilla o bazo, dorada, sin sal</t>
  </si>
  <si>
    <t>F115</t>
  </si>
  <si>
    <t>Res, pajarilla o bazo, cruda</t>
  </si>
  <si>
    <t>F114</t>
  </si>
  <si>
    <t>Lomo</t>
  </si>
  <si>
    <t>Res, lomo, cocido, sin sal</t>
  </si>
  <si>
    <t>F113</t>
  </si>
  <si>
    <t>Lengua</t>
  </si>
  <si>
    <t>Res, Lengua, cruda</t>
  </si>
  <si>
    <t>F112</t>
  </si>
  <si>
    <t>Lomo de aguja</t>
  </si>
  <si>
    <t>Res, hueso carnudo, crudo</t>
  </si>
  <si>
    <t>F111</t>
  </si>
  <si>
    <t>Res, hígado, frito, sin sal</t>
  </si>
  <si>
    <t>F110</t>
  </si>
  <si>
    <t>Hígado</t>
  </si>
  <si>
    <t>Res, hígado, dorado, sin sal</t>
  </si>
  <si>
    <t>F109</t>
  </si>
  <si>
    <t>Res, hígado, crudo</t>
  </si>
  <si>
    <t>F108</t>
  </si>
  <si>
    <t>Res, hígado, asado, sin sal</t>
  </si>
  <si>
    <t>F107</t>
  </si>
  <si>
    <t>Costilla</t>
  </si>
  <si>
    <t>Res, costilla, cruda</t>
  </si>
  <si>
    <t>F106</t>
  </si>
  <si>
    <t>Corazón</t>
  </si>
  <si>
    <t>Res, corazón, dorado, sin sal</t>
  </si>
  <si>
    <t>F105</t>
  </si>
  <si>
    <t>Res, corazón, crudo</t>
  </si>
  <si>
    <t>F104</t>
  </si>
  <si>
    <t>Ojo de costilla</t>
  </si>
  <si>
    <t>Res, churrasco, asado, sin sal</t>
  </si>
  <si>
    <t>F103</t>
  </si>
  <si>
    <t>Intestino</t>
  </si>
  <si>
    <t>Res, chunchullo, dorado, sin sal</t>
  </si>
  <si>
    <t>F102</t>
  </si>
  <si>
    <t>F101</t>
  </si>
  <si>
    <t>Res, carne semigorda, molida, cruda</t>
  </si>
  <si>
    <t>F100</t>
  </si>
  <si>
    <t>Res, carne semigorda, cruda</t>
  </si>
  <si>
    <t>F099</t>
  </si>
  <si>
    <t>Res, carne magra, cruda</t>
  </si>
  <si>
    <t>F098</t>
  </si>
  <si>
    <t>Res, carne gorda, cruda</t>
  </si>
  <si>
    <t>F097</t>
  </si>
  <si>
    <t>Callo</t>
  </si>
  <si>
    <t>Res, callo o menudo, crudo</t>
  </si>
  <si>
    <t>F096</t>
  </si>
  <si>
    <t>Res, callo o menudo, cocido, sin sal</t>
  </si>
  <si>
    <t>F095</t>
  </si>
  <si>
    <t>Cadera</t>
  </si>
  <si>
    <t>Res, cadera, frita, sin sal</t>
  </si>
  <si>
    <t>F094</t>
  </si>
  <si>
    <t>Pulmón</t>
  </si>
  <si>
    <t>Res, bofe o pulmón, crudo</t>
  </si>
  <si>
    <t>F093</t>
  </si>
  <si>
    <t>Pierna sin piel</t>
  </si>
  <si>
    <t>Pollo, pierna o colombina sin piel, cocida, sin sal</t>
  </si>
  <si>
    <t>F092</t>
  </si>
  <si>
    <t>Pierna con piel</t>
  </si>
  <si>
    <t>Pollo, pierna o colombina con piel, frita, sin sal</t>
  </si>
  <si>
    <t>F091</t>
  </si>
  <si>
    <t>Pollo, pierna o colombina con piel, cruda</t>
  </si>
  <si>
    <t>F090</t>
  </si>
  <si>
    <t>Pollo, pierna o colombina con piel, cocida, sin sal</t>
  </si>
  <si>
    <t>F089</t>
  </si>
  <si>
    <t>Pollo, pierna o colombina con piel, asada, sin sal</t>
  </si>
  <si>
    <t>F088</t>
  </si>
  <si>
    <t>Pechuga sin piel</t>
  </si>
  <si>
    <t>Pollo, pechuga sin piel, frita sin sal</t>
  </si>
  <si>
    <t>F087</t>
  </si>
  <si>
    <t>Pollo, pechuga sin piel, cocida, sin sal</t>
  </si>
  <si>
    <t>F086</t>
  </si>
  <si>
    <t>Pollo, pechuga sin piel, asada sin sal</t>
  </si>
  <si>
    <t>F085</t>
  </si>
  <si>
    <t>Pechuga con piel</t>
  </si>
  <si>
    <t>Pollo, pechuga con piel, cruda</t>
  </si>
  <si>
    <t>F084</t>
  </si>
  <si>
    <t>Pollo, pechuga con piel, cocida, sin sal</t>
  </si>
  <si>
    <t>F083</t>
  </si>
  <si>
    <t>Molleja</t>
  </si>
  <si>
    <t>Pollo, molleja, cruda</t>
  </si>
  <si>
    <t>F082</t>
  </si>
  <si>
    <t>Pollo, molleja, cocida sin sal</t>
  </si>
  <si>
    <t>F081</t>
  </si>
  <si>
    <t>Vísceras blancas y rojas</t>
  </si>
  <si>
    <t>Pollo, Menudencias, crudas</t>
  </si>
  <si>
    <t>F080</t>
  </si>
  <si>
    <t>Pollo, menudencias, cocidas sin sal</t>
  </si>
  <si>
    <t>F079</t>
  </si>
  <si>
    <t>Pollo, hígado, crudo</t>
  </si>
  <si>
    <t>F078</t>
  </si>
  <si>
    <t>Pollo, hígado cocido, sin sal</t>
  </si>
  <si>
    <t>F077</t>
  </si>
  <si>
    <t>Pollo, entero con piel, crudo</t>
  </si>
  <si>
    <t>F076</t>
  </si>
  <si>
    <t>Pollo, corazón, crudo</t>
  </si>
  <si>
    <t>F075</t>
  </si>
  <si>
    <t>Contramuslo sin piel</t>
  </si>
  <si>
    <t>Pollo, contramuslo sin piel, crudo</t>
  </si>
  <si>
    <t>F074</t>
  </si>
  <si>
    <t>Pollo, contramuslo sin piel, cocido sin sal</t>
  </si>
  <si>
    <t>F073</t>
  </si>
  <si>
    <t>Contramuslo con piel</t>
  </si>
  <si>
    <t>Pollo, contramuslo con piel, crudo</t>
  </si>
  <si>
    <t>F072</t>
  </si>
  <si>
    <t>Pollo, contramuslo con piel, cocido, sin sal</t>
  </si>
  <si>
    <t>F071</t>
  </si>
  <si>
    <t>Ala sin piel</t>
  </si>
  <si>
    <t>Pollo, ala sin piel, cocida, sin sal</t>
  </si>
  <si>
    <t>F070</t>
  </si>
  <si>
    <t>Ala con piel</t>
  </si>
  <si>
    <t>Pollo, ala con piel, frita, con sal</t>
  </si>
  <si>
    <t>F069</t>
  </si>
  <si>
    <t>Pollo, ala con piel, cruda</t>
  </si>
  <si>
    <t>F068</t>
  </si>
  <si>
    <t>Pollo, ala con piel, cocida, sin sal</t>
  </si>
  <si>
    <t>F067</t>
  </si>
  <si>
    <t>Pollo, ala con piel, asada, sin sal</t>
  </si>
  <si>
    <t>F066</t>
  </si>
  <si>
    <t>Rabadilla</t>
  </si>
  <si>
    <t>Pavo, rabadilla con piel, cruda</t>
  </si>
  <si>
    <t>F065</t>
  </si>
  <si>
    <t>Pavo, pierna o pernil sin piel, horneada sin sal</t>
  </si>
  <si>
    <t>F064</t>
  </si>
  <si>
    <t>Pavo, pierna o pernil sin piel, cruda</t>
  </si>
  <si>
    <t>F063</t>
  </si>
  <si>
    <t>Pescuezo sin piel</t>
  </si>
  <si>
    <t>Pavo, pescuezo o cuello, sin piel, crudo</t>
  </si>
  <si>
    <t>F062</t>
  </si>
  <si>
    <t>Pavo, pechuga sin piel, horneada, sin sal</t>
  </si>
  <si>
    <t>F061</t>
  </si>
  <si>
    <t>Pavo, pechuga sin piel, cruda</t>
  </si>
  <si>
    <t>F060</t>
  </si>
  <si>
    <t>pavo, enterocon piel, horneado, sin sal</t>
  </si>
  <si>
    <t>F059</t>
  </si>
  <si>
    <t>Pavo, entero con piel, crudo</t>
  </si>
  <si>
    <t>F058</t>
  </si>
  <si>
    <t>Costillar</t>
  </si>
  <si>
    <t>Pavo, costillar con piel, crudo</t>
  </si>
  <si>
    <t>F057</t>
  </si>
  <si>
    <t>Paco, ala sin piel, cruda</t>
  </si>
  <si>
    <t>F056</t>
  </si>
  <si>
    <t>Pato, carne, cruda</t>
  </si>
  <si>
    <t>F055</t>
  </si>
  <si>
    <t>Mortadela de pollo, precocida</t>
  </si>
  <si>
    <t>F054</t>
  </si>
  <si>
    <t>Mortadela de cerdo y res, precocida</t>
  </si>
  <si>
    <t>F053</t>
  </si>
  <si>
    <t>Jamón tipo york, precocido</t>
  </si>
  <si>
    <t>F052</t>
  </si>
  <si>
    <t>Jamón de cerdo, crudo</t>
  </si>
  <si>
    <t>F051</t>
  </si>
  <si>
    <t>Jamón de cerdo y res, tipo sánduche, precocido</t>
  </si>
  <si>
    <t>F050</t>
  </si>
  <si>
    <t>Iguana, carne, cruda</t>
  </si>
  <si>
    <t>F049</t>
  </si>
  <si>
    <t>Hamurguesa de carne de res, cruda</t>
  </si>
  <si>
    <t>F048</t>
  </si>
  <si>
    <t>Gallina, entera con piel, cruda</t>
  </si>
  <si>
    <t>F047</t>
  </si>
  <si>
    <t>Cordero, riñón, crudo</t>
  </si>
  <si>
    <t>F046</t>
  </si>
  <si>
    <t>Cordero, hígado, crudo</t>
  </si>
  <si>
    <t>F045</t>
  </si>
  <si>
    <t>Cordero, corazón, crudo</t>
  </si>
  <si>
    <t>F044</t>
  </si>
  <si>
    <t>Cordero, carne semigorda, cruda</t>
  </si>
  <si>
    <t>F043</t>
  </si>
  <si>
    <t>Cordero, carne muy gorda, cruda</t>
  </si>
  <si>
    <t>F042</t>
  </si>
  <si>
    <t>Cordero, carne magra, cruda</t>
  </si>
  <si>
    <t>F041</t>
  </si>
  <si>
    <t>Cordero, carne gorda, cruda</t>
  </si>
  <si>
    <t>F040</t>
  </si>
  <si>
    <t>Conejo, riñón, crudo</t>
  </si>
  <si>
    <t>F039</t>
  </si>
  <si>
    <t>Conejo, hígado, crudo</t>
  </si>
  <si>
    <t>F038</t>
  </si>
  <si>
    <t>Conejo, carne, cruda</t>
  </si>
  <si>
    <t>F037</t>
  </si>
  <si>
    <t>Conejo, carne, cocida, sin sal</t>
  </si>
  <si>
    <t>F036</t>
  </si>
  <si>
    <t>Codorniz o perdiz, entera sin piel, cruda</t>
  </si>
  <si>
    <t>F035</t>
  </si>
  <si>
    <t>Chorizo de pollo, crudo</t>
  </si>
  <si>
    <t>F034</t>
  </si>
  <si>
    <t>Chorizo de cerdo y res, crudo</t>
  </si>
  <si>
    <t>F033</t>
  </si>
  <si>
    <t>Chiguiro, pierna o pernil, cruda</t>
  </si>
  <si>
    <t>F032</t>
  </si>
  <si>
    <t>Chiguiro, carne, salada, cruda</t>
  </si>
  <si>
    <t>F031</t>
  </si>
  <si>
    <t>Tocino</t>
  </si>
  <si>
    <t>Cerdo, tocino, salteado, sin sal</t>
  </si>
  <si>
    <t>F030</t>
  </si>
  <si>
    <t>Cerdo, tocino, frito en su propia grasa (chicharrón), con sal</t>
  </si>
  <si>
    <t>F029</t>
  </si>
  <si>
    <t>Cerdo, tocino, crudo</t>
  </si>
  <si>
    <t>F028</t>
  </si>
  <si>
    <t>Cerdo, tocino, cocido, sin sal</t>
  </si>
  <si>
    <t>F027</t>
  </si>
  <si>
    <t>Riñon</t>
  </si>
  <si>
    <t>Cerdo, riñon, crudo</t>
  </si>
  <si>
    <t>F026</t>
  </si>
  <si>
    <t>Cerdo, Pierna o pernil, horneada, sin sal</t>
  </si>
  <si>
    <t>F025</t>
  </si>
  <si>
    <t>Cerdo, Pierna o pernil, cruda</t>
  </si>
  <si>
    <t>F024</t>
  </si>
  <si>
    <t>Cerdo, Pierna o pernil, cocida, sin sal</t>
  </si>
  <si>
    <t>F023</t>
  </si>
  <si>
    <t>Panceta</t>
  </si>
  <si>
    <t>Cerdo, panceta o tocineta, salteada, sin sal</t>
  </si>
  <si>
    <t>F022</t>
  </si>
  <si>
    <t>Cerdo, panceta o tocineta, cruda</t>
  </si>
  <si>
    <t>F021</t>
  </si>
  <si>
    <t>Cerdo, panceta o tocineta, cocida sin sal</t>
  </si>
  <si>
    <t>F020</t>
  </si>
  <si>
    <t>Cerdo, lomo, horneado, sin sal</t>
  </si>
  <si>
    <t>F019</t>
  </si>
  <si>
    <t>Cerdo, lomo, crudo</t>
  </si>
  <si>
    <t>F018</t>
  </si>
  <si>
    <t>Cerdo, lomo, cocido, sin sal</t>
  </si>
  <si>
    <t>F017</t>
  </si>
  <si>
    <t>hígado</t>
  </si>
  <si>
    <t>Cerdo, hígado, crudo</t>
  </si>
  <si>
    <t>F016</t>
  </si>
  <si>
    <t>Cerdo, costilla, horneada, sin sal</t>
  </si>
  <si>
    <t>F015</t>
  </si>
  <si>
    <t>Cerdo, costilla, cruda</t>
  </si>
  <si>
    <t>F014</t>
  </si>
  <si>
    <t>Cerdo, costilla, cocida sin sal</t>
  </si>
  <si>
    <t>F013</t>
  </si>
  <si>
    <t>Cerdo, carne semigorda, cruda</t>
  </si>
  <si>
    <t>F012</t>
  </si>
  <si>
    <t>Cerdo, carne muy gorda, cruda</t>
  </si>
  <si>
    <t>F011</t>
  </si>
  <si>
    <t>Cerdo, carne magra, cruda</t>
  </si>
  <si>
    <t>F010</t>
  </si>
  <si>
    <t>Cerdo, carne gorda, cruda</t>
  </si>
  <si>
    <t>F009</t>
  </si>
  <si>
    <t>Brazo</t>
  </si>
  <si>
    <t>Cerdo, brazo, horneado, sin sal</t>
  </si>
  <si>
    <t>F008</t>
  </si>
  <si>
    <t>Cerdo, brazo, crudo</t>
  </si>
  <si>
    <t>F007</t>
  </si>
  <si>
    <t>Cerdo, brazom cocido, sin sal</t>
  </si>
  <si>
    <t>F006</t>
  </si>
  <si>
    <t>Caracol terrestre, carne, cruda</t>
  </si>
  <si>
    <t>F005</t>
  </si>
  <si>
    <t>Cabra o chivo, carne, cruda</t>
  </si>
  <si>
    <t>F004</t>
  </si>
  <si>
    <t>Cabra o chivo, carne, cocida, sin sal</t>
  </si>
  <si>
    <t>F003</t>
  </si>
  <si>
    <t>Butifarra, precocida</t>
  </si>
  <si>
    <t>F002</t>
  </si>
  <si>
    <t>Babilla, carne, cruda</t>
  </si>
  <si>
    <t>F001</t>
  </si>
  <si>
    <t>Armadillo, carne, cruda</t>
  </si>
  <si>
    <t>E048</t>
  </si>
  <si>
    <t>Recortes</t>
  </si>
  <si>
    <t>Trucha, recortes, crudos</t>
  </si>
  <si>
    <t>E047</t>
  </si>
  <si>
    <t>Trucha, entera, cruda</t>
  </si>
  <si>
    <t>E046</t>
  </si>
  <si>
    <t>Trucha, de mar, entera, cruda</t>
  </si>
  <si>
    <t>E045</t>
  </si>
  <si>
    <t>Tilapia o mojarra, recortes, crudos</t>
  </si>
  <si>
    <t>E044</t>
  </si>
  <si>
    <t>Tilapia o mojarra, frita, sin sal</t>
  </si>
  <si>
    <t>E043</t>
  </si>
  <si>
    <t>Tilapia o mojarra, entera, cruda</t>
  </si>
  <si>
    <t>E042</t>
  </si>
  <si>
    <t>Filete</t>
  </si>
  <si>
    <t>Tiburón, filete, crudo</t>
  </si>
  <si>
    <t>E041</t>
  </si>
  <si>
    <t>Sierra, entera, cruda</t>
  </si>
  <si>
    <t>E040</t>
  </si>
  <si>
    <t>Sardinas, enlatadas en salsa de tomate</t>
  </si>
  <si>
    <t>E039</t>
  </si>
  <si>
    <t>Sardinas, enlatadas en aceite</t>
  </si>
  <si>
    <t>E038</t>
  </si>
  <si>
    <t>Salmón, filete, crudo</t>
  </si>
  <si>
    <t>E037</t>
  </si>
  <si>
    <t>Salmón, enlatado en aceite</t>
  </si>
  <si>
    <t>E036</t>
  </si>
  <si>
    <t>Róbalo o gualajo, entero, crudo</t>
  </si>
  <si>
    <t>E035</t>
  </si>
  <si>
    <t>Raya, filete, asado</t>
  </si>
  <si>
    <t>E034</t>
  </si>
  <si>
    <t>Pulpo, crudo</t>
  </si>
  <si>
    <t>E033</t>
  </si>
  <si>
    <t>Pescado seco, crudo</t>
  </si>
  <si>
    <t>E032</t>
  </si>
  <si>
    <t>Ostra, cruda</t>
  </si>
  <si>
    <t>E031</t>
  </si>
  <si>
    <t>Mero, entero, crudo</t>
  </si>
  <si>
    <t>E030</t>
  </si>
  <si>
    <t>Merluza, filete, crudo</t>
  </si>
  <si>
    <t>E029</t>
  </si>
  <si>
    <t>Cuerpo sin Cabeza</t>
  </si>
  <si>
    <t>Machuelo o nomcholo, sin cabeza, crudo</t>
  </si>
  <si>
    <t>E028</t>
  </si>
  <si>
    <t>Macabí o machete, entero crudo</t>
  </si>
  <si>
    <t>E027</t>
  </si>
  <si>
    <t>Lisam sin cabeza, salada, cruda</t>
  </si>
  <si>
    <t>E026</t>
  </si>
  <si>
    <t>Lisa, sin cabeza, cruda</t>
  </si>
  <si>
    <t>E025</t>
  </si>
  <si>
    <t>Lenguado, entero, crudo</t>
  </si>
  <si>
    <t>E024</t>
  </si>
  <si>
    <t>Langostino, crudo</t>
  </si>
  <si>
    <t>E023</t>
  </si>
  <si>
    <t>Langosta, cruda</t>
  </si>
  <si>
    <t>E022</t>
  </si>
  <si>
    <t>Jaiba o cangrejo azul, cocida, sin sal</t>
  </si>
  <si>
    <t>E021</t>
  </si>
  <si>
    <t>Corvina, de mar, filete, crudo</t>
  </si>
  <si>
    <t>E020</t>
  </si>
  <si>
    <t>Carite, entero, crudo</t>
  </si>
  <si>
    <t>E019</t>
  </si>
  <si>
    <t>Caracol de mar, crudo</t>
  </si>
  <si>
    <t>E018</t>
  </si>
  <si>
    <t>Cangrejo, crudo</t>
  </si>
  <si>
    <t>E017</t>
  </si>
  <si>
    <t>Camarón, crudo</t>
  </si>
  <si>
    <t>E016</t>
  </si>
  <si>
    <t>Camarón, cocido, sin sal</t>
  </si>
  <si>
    <t>E015</t>
  </si>
  <si>
    <t>Calamar, crudo</t>
  </si>
  <si>
    <t>E014</t>
  </si>
  <si>
    <t>Cachama, sin cabeza, cruda</t>
  </si>
  <si>
    <t>E013</t>
  </si>
  <si>
    <t>Cachama, entera, frita, con sal</t>
  </si>
  <si>
    <t>E012</t>
  </si>
  <si>
    <t>Bonito, sin cabeza, crudo</t>
  </si>
  <si>
    <t>E011</t>
  </si>
  <si>
    <t>Bocachico, sin cabeza, salado, crudo</t>
  </si>
  <si>
    <t>E010</t>
  </si>
  <si>
    <t>Bocachico, sin cabeza, crudo</t>
  </si>
  <si>
    <t>E009</t>
  </si>
  <si>
    <t>Bocachico, entero, cocido, sin sal</t>
  </si>
  <si>
    <t>E008</t>
  </si>
  <si>
    <t>Bagre, semigraso, sin cabeza, crudo</t>
  </si>
  <si>
    <t>E007</t>
  </si>
  <si>
    <t>Bagre, magro, sin cabeza, crudo</t>
  </si>
  <si>
    <t>E006</t>
  </si>
  <si>
    <t>Bagre, magro, entero, cocido, sin sal</t>
  </si>
  <si>
    <t>E005</t>
  </si>
  <si>
    <t>Bagre, graso, sin cabeza, crudo</t>
  </si>
  <si>
    <t>E004</t>
  </si>
  <si>
    <t>Atún, enlatado en agua</t>
  </si>
  <si>
    <t>E003</t>
  </si>
  <si>
    <t>Atún, enlatado en aceite</t>
  </si>
  <si>
    <t>E002</t>
  </si>
  <si>
    <t>Arenque, entero, crudo</t>
  </si>
  <si>
    <t>E001</t>
  </si>
  <si>
    <t>Almeja, de agua dule, cruda</t>
  </si>
  <si>
    <t>D020</t>
  </si>
  <si>
    <t>Mayonesa, con sal</t>
  </si>
  <si>
    <t>D019</t>
  </si>
  <si>
    <t>Margarina, esparcible</t>
  </si>
  <si>
    <t>D018</t>
  </si>
  <si>
    <t>Margarina, con sal</t>
  </si>
  <si>
    <t>D017</t>
  </si>
  <si>
    <t>Margarina de canola</t>
  </si>
  <si>
    <t>D016</t>
  </si>
  <si>
    <t>Mantequilla de maní</t>
  </si>
  <si>
    <t>D015</t>
  </si>
  <si>
    <t>Mantequilla</t>
  </si>
  <si>
    <t>D014</t>
  </si>
  <si>
    <t>Manteca o grasa de cerdo</t>
  </si>
  <si>
    <t>D013</t>
  </si>
  <si>
    <t>Aceite, mezcla vegetal</t>
  </si>
  <si>
    <t>D012</t>
  </si>
  <si>
    <t>Aceite de soya</t>
  </si>
  <si>
    <t>D011</t>
  </si>
  <si>
    <t>Aceite de sacha inchi</t>
  </si>
  <si>
    <t>D010</t>
  </si>
  <si>
    <t>Aceite de palma africana</t>
  </si>
  <si>
    <t>D009</t>
  </si>
  <si>
    <t>Aceite de palma</t>
  </si>
  <si>
    <t>D008</t>
  </si>
  <si>
    <t>Aceite de oliva</t>
  </si>
  <si>
    <t>D007</t>
  </si>
  <si>
    <t>Aceite de maní</t>
  </si>
  <si>
    <t>D006</t>
  </si>
  <si>
    <t>Aceite de maíz</t>
  </si>
  <si>
    <t>D005</t>
  </si>
  <si>
    <t>Aceite de linaza o lino</t>
  </si>
  <si>
    <t>D004</t>
  </si>
  <si>
    <t>Aceite de girasol</t>
  </si>
  <si>
    <t>D003</t>
  </si>
  <si>
    <t>Aceite de canola o colza</t>
  </si>
  <si>
    <t>D002</t>
  </si>
  <si>
    <t>Aceite de algodón</t>
  </si>
  <si>
    <t>D001</t>
  </si>
  <si>
    <t>Aceite de ajonjolí o sésamo</t>
  </si>
  <si>
    <t>C089</t>
  </si>
  <si>
    <t>Zapote común, crudo</t>
  </si>
  <si>
    <t>C088</t>
  </si>
  <si>
    <t>Zapote blanco, crudo</t>
  </si>
  <si>
    <t>C087</t>
  </si>
  <si>
    <t>Uva, deshidratada</t>
  </si>
  <si>
    <t>C086</t>
  </si>
  <si>
    <t>Uva Isabella, cruda</t>
  </si>
  <si>
    <t>C085</t>
  </si>
  <si>
    <t>Uva blanca, cruda</t>
  </si>
  <si>
    <t>C084</t>
  </si>
  <si>
    <t>Uchuva, cruda</t>
  </si>
  <si>
    <t>C083</t>
  </si>
  <si>
    <t>Toronja, cruda</t>
  </si>
  <si>
    <t>C082</t>
  </si>
  <si>
    <t>Tomate de árbol rojo, crudo</t>
  </si>
  <si>
    <t>C081</t>
  </si>
  <si>
    <t>Tomate de árbol amarillo, crudo</t>
  </si>
  <si>
    <t>C080</t>
  </si>
  <si>
    <t>Tamarindo, crudo</t>
  </si>
  <si>
    <t>C079</t>
  </si>
  <si>
    <t>Sandía, cruda</t>
  </si>
  <si>
    <t>C078</t>
  </si>
  <si>
    <t xml:space="preserve">Tallo </t>
  </si>
  <si>
    <t>Ruibarbo, crudo</t>
  </si>
  <si>
    <t>C077</t>
  </si>
  <si>
    <t>Pomarrosa, cruda</t>
  </si>
  <si>
    <t>C076</t>
  </si>
  <si>
    <t>Pitahaya roja, cruda</t>
  </si>
  <si>
    <t>C075</t>
  </si>
  <si>
    <t>Pitahaya amarilla, cruda</t>
  </si>
  <si>
    <t>C074</t>
  </si>
  <si>
    <t>Pistacho, tostado, sin sal</t>
  </si>
  <si>
    <t>C073</t>
  </si>
  <si>
    <t>Piñuela, cruda</t>
  </si>
  <si>
    <t>C072</t>
  </si>
  <si>
    <t>Piña, cruda</t>
  </si>
  <si>
    <t>C071</t>
  </si>
  <si>
    <t>Pera, cruda</t>
  </si>
  <si>
    <t>C070</t>
  </si>
  <si>
    <t>Pepino dulce, verde, crudo</t>
  </si>
  <si>
    <t>C069</t>
  </si>
  <si>
    <t>Pepino dulce, pintón, crudo</t>
  </si>
  <si>
    <t>C068</t>
  </si>
  <si>
    <t>Pepino dulce, maduro, crudo</t>
  </si>
  <si>
    <t>C067</t>
  </si>
  <si>
    <t>Papayuela, cruda</t>
  </si>
  <si>
    <t>C066</t>
  </si>
  <si>
    <t>Papaya, pintona, cruda</t>
  </si>
  <si>
    <t>C065</t>
  </si>
  <si>
    <t>Papaya, madura, cruda</t>
  </si>
  <si>
    <t>C064</t>
  </si>
  <si>
    <t>Nuez de Brasil, seca</t>
  </si>
  <si>
    <t>C063</t>
  </si>
  <si>
    <t>Noni, crudo</t>
  </si>
  <si>
    <t>C062</t>
  </si>
  <si>
    <t>Naranja, cruda</t>
  </si>
  <si>
    <t>C061</t>
  </si>
  <si>
    <t>Mora de castilla, cruda</t>
  </si>
  <si>
    <t>C060</t>
  </si>
  <si>
    <t>Melón, crudo</t>
  </si>
  <si>
    <t>C059</t>
  </si>
  <si>
    <t>Marañón, tostado, sin sal</t>
  </si>
  <si>
    <t>C058</t>
  </si>
  <si>
    <t>Marañón, seco</t>
  </si>
  <si>
    <t>C057</t>
  </si>
  <si>
    <t>Marañón, frito, sin sal</t>
  </si>
  <si>
    <t>C056</t>
  </si>
  <si>
    <t>Maracuyá, cruda</t>
  </si>
  <si>
    <t>C055</t>
  </si>
  <si>
    <t>Manzana de agua, cruda</t>
  </si>
  <si>
    <t>C054</t>
  </si>
  <si>
    <t>Manzana común cruda</t>
  </si>
  <si>
    <t>C053</t>
  </si>
  <si>
    <t>Mangostino, crudo</t>
  </si>
  <si>
    <t>C052</t>
  </si>
  <si>
    <t>Mango Tommy Atkins, crudo</t>
  </si>
  <si>
    <t>C051</t>
  </si>
  <si>
    <t>Mango común, crudo</t>
  </si>
  <si>
    <t>C050</t>
  </si>
  <si>
    <t>Mandarina, cruda</t>
  </si>
  <si>
    <t>C049</t>
  </si>
  <si>
    <t>Mamoncillo, crudo</t>
  </si>
  <si>
    <t>C048</t>
  </si>
  <si>
    <t>Mamey, crudo</t>
  </si>
  <si>
    <t>C047</t>
  </si>
  <si>
    <t>Madroño, crudo</t>
  </si>
  <si>
    <t>C046</t>
  </si>
  <si>
    <t>Macadamia, seca</t>
  </si>
  <si>
    <t>C045</t>
  </si>
  <si>
    <t>Lulo, crudo</t>
  </si>
  <si>
    <t>C044</t>
  </si>
  <si>
    <t>Limón, crudo</t>
  </si>
  <si>
    <t>C043</t>
  </si>
  <si>
    <t>Lima, cruda</t>
  </si>
  <si>
    <t>C042</t>
  </si>
  <si>
    <t>Kiwi, crudo</t>
  </si>
  <si>
    <t>C041</t>
  </si>
  <si>
    <t>Icaco, crudo</t>
  </si>
  <si>
    <t>C040</t>
  </si>
  <si>
    <t>Higo, verde, crudo</t>
  </si>
  <si>
    <t>C039</t>
  </si>
  <si>
    <t>Higo, pintón, crudo</t>
  </si>
  <si>
    <t>C038</t>
  </si>
  <si>
    <t>Higo, maduro, crudo</t>
  </si>
  <si>
    <t>C037</t>
  </si>
  <si>
    <t>Harina de chontaduro, cruda</t>
  </si>
  <si>
    <t>C036</t>
  </si>
  <si>
    <t>Harina de banano, cruda</t>
  </si>
  <si>
    <t>C035</t>
  </si>
  <si>
    <t>Gulupa, verde, cruda</t>
  </si>
  <si>
    <t>C034</t>
  </si>
  <si>
    <t>Gulupa, pintona, cruda</t>
  </si>
  <si>
    <t>C033</t>
  </si>
  <si>
    <t>Gulupa, madura, cruda</t>
  </si>
  <si>
    <t>C032</t>
  </si>
  <si>
    <t>Guayaba, pintona, cruda</t>
  </si>
  <si>
    <t>C031</t>
  </si>
  <si>
    <t>Guayaba, madura, cruda</t>
  </si>
  <si>
    <t>C030</t>
  </si>
  <si>
    <t>Guanábana, cruda</t>
  </si>
  <si>
    <t>C029</t>
  </si>
  <si>
    <t>Guama, cruda</t>
  </si>
  <si>
    <t>C028</t>
  </si>
  <si>
    <t>Granadilla, cruda</t>
  </si>
  <si>
    <t>C027</t>
  </si>
  <si>
    <t>Granada, cruda</t>
  </si>
  <si>
    <t>C026</t>
  </si>
  <si>
    <t>Fresa, pintona, cruda</t>
  </si>
  <si>
    <t>C025</t>
  </si>
  <si>
    <t>Fresa, madura, cruda</t>
  </si>
  <si>
    <t>C024</t>
  </si>
  <si>
    <t>Pulpa sin semilla</t>
  </si>
  <si>
    <t>Feijoa, crudo</t>
  </si>
  <si>
    <t>C023</t>
  </si>
  <si>
    <t>Durazno, crudo</t>
  </si>
  <si>
    <t>C022</t>
  </si>
  <si>
    <t>Dátil, seco</t>
  </si>
  <si>
    <t>C021</t>
  </si>
  <si>
    <t>Curuba, cruda</t>
  </si>
  <si>
    <t>C020</t>
  </si>
  <si>
    <t>Coco, Deshidratado</t>
  </si>
  <si>
    <t>C019</t>
  </si>
  <si>
    <t>Coco, crudo</t>
  </si>
  <si>
    <t>C018</t>
  </si>
  <si>
    <t>Citrón, crudo</t>
  </si>
  <si>
    <t>C017</t>
  </si>
  <si>
    <t>Ciruela, común, cruda</t>
  </si>
  <si>
    <t>C016</t>
  </si>
  <si>
    <t>Chontaduro, crudo</t>
  </si>
  <si>
    <t>C015</t>
  </si>
  <si>
    <t>Chirimoya, cruda</t>
  </si>
  <si>
    <t>C014</t>
  </si>
  <si>
    <t>Cereza, cruda</t>
  </si>
  <si>
    <t>C013</t>
  </si>
  <si>
    <t>Breva, verde, cruda</t>
  </si>
  <si>
    <t>C012</t>
  </si>
  <si>
    <t>Breva, madura, cruda</t>
  </si>
  <si>
    <t>C011</t>
  </si>
  <si>
    <t>Banano manzano, crudo</t>
  </si>
  <si>
    <t>C010</t>
  </si>
  <si>
    <t>Banano común, crudo</t>
  </si>
  <si>
    <t>C009</t>
  </si>
  <si>
    <t>Banano bocadillo, crudo</t>
  </si>
  <si>
    <t>C008</t>
  </si>
  <si>
    <t>Badea, cruda</t>
  </si>
  <si>
    <t>C007</t>
  </si>
  <si>
    <t>Babaco, verde, crudo</t>
  </si>
  <si>
    <t>C006</t>
  </si>
  <si>
    <t>Babaco, pintón, crudo</t>
  </si>
  <si>
    <t>C005</t>
  </si>
  <si>
    <t>Babaco, maduro, crudo</t>
  </si>
  <si>
    <t>C004</t>
  </si>
  <si>
    <t>Anón, crudo</t>
  </si>
  <si>
    <t>C003</t>
  </si>
  <si>
    <t>Almendra, seca</t>
  </si>
  <si>
    <t>C002</t>
  </si>
  <si>
    <t>Aguacate Lorena, crudo</t>
  </si>
  <si>
    <t>C001</t>
  </si>
  <si>
    <t>Pulpa sin Semilla</t>
  </si>
  <si>
    <t>Aguacate Hass, Crudo</t>
  </si>
  <si>
    <t>B111</t>
  </si>
  <si>
    <t>Pulpa sin Semillas</t>
  </si>
  <si>
    <t>Zapallo, crudo</t>
  </si>
  <si>
    <t>B110</t>
  </si>
  <si>
    <t>Zanahoria, sin cáscara, cruda</t>
  </si>
  <si>
    <t>B109</t>
  </si>
  <si>
    <t>Zanahoria, sin cáscara, cocida sin sal</t>
  </si>
  <si>
    <t>B108</t>
  </si>
  <si>
    <t>Yuca blanca, sin cáscara, dorada, sin sal</t>
  </si>
  <si>
    <t>B107</t>
  </si>
  <si>
    <t>Yuca blanca, sin cáscara, cruda</t>
  </si>
  <si>
    <t>B106</t>
  </si>
  <si>
    <t>Yuca blanca, sin cáscara, cocida sin sal</t>
  </si>
  <si>
    <t>B105</t>
  </si>
  <si>
    <t>Extracto/jugo</t>
  </si>
  <si>
    <t>Tomate, extracto, fresco</t>
  </si>
  <si>
    <t>B104</t>
  </si>
  <si>
    <t>Tomate, escaldado, sin sal</t>
  </si>
  <si>
    <t>B103</t>
  </si>
  <si>
    <t>Tomate, crudo</t>
  </si>
  <si>
    <t>B102</t>
  </si>
  <si>
    <t>Salsifí, sin cáscara crudo</t>
  </si>
  <si>
    <t>B101</t>
  </si>
  <si>
    <t>Repollo morado, crudo</t>
  </si>
  <si>
    <t>B100</t>
  </si>
  <si>
    <t>Repollo morado, cocido, sin sal</t>
  </si>
  <si>
    <t>B099</t>
  </si>
  <si>
    <t>Repollo blanco, crudo</t>
  </si>
  <si>
    <t>B098</t>
  </si>
  <si>
    <t>Remolacha, sin cáscara, cruda</t>
  </si>
  <si>
    <t>B097</t>
  </si>
  <si>
    <t>Remolacha, sin cáscara, cocida, sin sal</t>
  </si>
  <si>
    <t>B096</t>
  </si>
  <si>
    <t>Rábano, sin cáscara, crudo</t>
  </si>
  <si>
    <t>B095</t>
  </si>
  <si>
    <t>Plátano popocho, verde, crudo</t>
  </si>
  <si>
    <t>B094</t>
  </si>
  <si>
    <t>Plátano, maritú, maduro, crudo</t>
  </si>
  <si>
    <t>B093</t>
  </si>
  <si>
    <t>plátano hartón, verde, frito, en patacón, sin sal</t>
  </si>
  <si>
    <t>B092</t>
  </si>
  <si>
    <t>Plátano hartón, verde, crudo</t>
  </si>
  <si>
    <t>B091</t>
  </si>
  <si>
    <t>Plátano hartón, verde, cocido, sin sal</t>
  </si>
  <si>
    <t>B090</t>
  </si>
  <si>
    <t>plátano hartón, maduro, frito, en tajadas, sin sal</t>
  </si>
  <si>
    <t>B089</t>
  </si>
  <si>
    <t>plátano hartón, maduro, crudo</t>
  </si>
  <si>
    <t>B088</t>
  </si>
  <si>
    <t>Plátano hartón, maduro, cocido, sin sal</t>
  </si>
  <si>
    <t>B087</t>
  </si>
  <si>
    <t>Plátano espermo, maduro, crudo</t>
  </si>
  <si>
    <t>B086</t>
  </si>
  <si>
    <t>Plátano dominico, verde, crudo</t>
  </si>
  <si>
    <t>B085</t>
  </si>
  <si>
    <t>Plátano dominico, maduro, crudo</t>
  </si>
  <si>
    <t>B084</t>
  </si>
  <si>
    <t>Plátano colí o guíneo, verde, crudo</t>
  </si>
  <si>
    <t>B083</t>
  </si>
  <si>
    <t>Plátano áfrica, verde, crudo</t>
  </si>
  <si>
    <t>B082</t>
  </si>
  <si>
    <t>Plátano áfrica, maduro, crudo</t>
  </si>
  <si>
    <t>B081</t>
  </si>
  <si>
    <t>Pimentón verde, crudo</t>
  </si>
  <si>
    <t>B080</t>
  </si>
  <si>
    <t>Pimentón rojo, crudo</t>
  </si>
  <si>
    <t>B079</t>
  </si>
  <si>
    <t>Perejil, crudo</t>
  </si>
  <si>
    <t>B078</t>
  </si>
  <si>
    <t>Pepino de rellenar, crudo</t>
  </si>
  <si>
    <t>B077</t>
  </si>
  <si>
    <t>Pepino Cohombro, crudo</t>
  </si>
  <si>
    <t>B076</t>
  </si>
  <si>
    <t>Papa, variedad harinosa, pastusa, sin cáscara, cruda</t>
  </si>
  <si>
    <t>B075</t>
  </si>
  <si>
    <t>Papa, variedad harinosa, pastusa, sin cáscara, cocida, sin sal</t>
  </si>
  <si>
    <t>B074</t>
  </si>
  <si>
    <t>Papa, variedad harinosa, pastusa, con cáscara, cruda</t>
  </si>
  <si>
    <t>B073</t>
  </si>
  <si>
    <t>Papa, variedad harinosa, pastusa, con cáscara, cocida, sin sal</t>
  </si>
  <si>
    <t>B072</t>
  </si>
  <si>
    <t>Papa, variedad harinosa, criolla, sin cáscara, cruda</t>
  </si>
  <si>
    <t>B071</t>
  </si>
  <si>
    <t>Papa variedad harinosa, criolla, con cáscara, cruda</t>
  </si>
  <si>
    <t>B070</t>
  </si>
  <si>
    <t>Papa, variedad harinosa, criolla, con cáscara, cocida, sin sal</t>
  </si>
  <si>
    <t>B069</t>
  </si>
  <si>
    <t>Papa, variedad cerosa, sabanera, sin cáscara, frita, tipo francesa, sin sal</t>
  </si>
  <si>
    <t>B068</t>
  </si>
  <si>
    <t>Papa, variedad cerosa, sabanera, sin cáscara, cruda</t>
  </si>
  <si>
    <t>B067</t>
  </si>
  <si>
    <t>Papa, variedad cerosa, sabanera, sin cáscara, cocida, sin sal</t>
  </si>
  <si>
    <t>B066</t>
  </si>
  <si>
    <t>Papa, variedad cerosa, sabanera, con cáscara, frita, sin sal</t>
  </si>
  <si>
    <t>B065</t>
  </si>
  <si>
    <t>Papa, variedad cerosa, sabanera, con cáscara, cruda</t>
  </si>
  <si>
    <t>B064</t>
  </si>
  <si>
    <t>Papa, variedad cerosa, sabanera, con cáscara, cocida, sin sal</t>
  </si>
  <si>
    <t>B063</t>
  </si>
  <si>
    <t>Tallos</t>
  </si>
  <si>
    <t>Palmito, crudo</t>
  </si>
  <si>
    <t>B062</t>
  </si>
  <si>
    <t>Ocra, cruda</t>
  </si>
  <si>
    <t>B061</t>
  </si>
  <si>
    <t>Nabo, sin cáscara, crudo</t>
  </si>
  <si>
    <t>B060</t>
  </si>
  <si>
    <t>Lechuga, romana, cruda</t>
  </si>
  <si>
    <t>B059</t>
  </si>
  <si>
    <t>Lechuga común, cruda</t>
  </si>
  <si>
    <t>B058</t>
  </si>
  <si>
    <t>Harina de yuca, cruda</t>
  </si>
  <si>
    <t>B057</t>
  </si>
  <si>
    <t>Harina de plátano, cruda</t>
  </si>
  <si>
    <t>B056</t>
  </si>
  <si>
    <t>Harina de papa criolla, cruda</t>
  </si>
  <si>
    <t>B055</t>
  </si>
  <si>
    <t>Harina de papa común, cruda</t>
  </si>
  <si>
    <t>B054</t>
  </si>
  <si>
    <t>Harina de arracacha, cruda</t>
  </si>
  <si>
    <t>B053</t>
  </si>
  <si>
    <t>Harina de Ahuyama, cruda</t>
  </si>
  <si>
    <t>B052</t>
  </si>
  <si>
    <t>Habichuela, cruda</t>
  </si>
  <si>
    <t>B051</t>
  </si>
  <si>
    <t>Habichuela, cocida, sin sal</t>
  </si>
  <si>
    <t>B050</t>
  </si>
  <si>
    <t>Haba verde, cruda</t>
  </si>
  <si>
    <t>B049</t>
  </si>
  <si>
    <t>Guisantes dulces, crudos</t>
  </si>
  <si>
    <t>B048</t>
  </si>
  <si>
    <t>Guatila, sin cáscara, cruda</t>
  </si>
  <si>
    <t>B047</t>
  </si>
  <si>
    <t>Guascas, crudas</t>
  </si>
  <si>
    <t>B046</t>
  </si>
  <si>
    <t>Fríjol verde, crudo</t>
  </si>
  <si>
    <t>B045</t>
  </si>
  <si>
    <t>Fríjol verde, cocido con sal</t>
  </si>
  <si>
    <t>B044</t>
  </si>
  <si>
    <t>Espinaca, cruda</t>
  </si>
  <si>
    <t>B043</t>
  </si>
  <si>
    <t>Espinaca, cocida, sin sal</t>
  </si>
  <si>
    <t>B042</t>
  </si>
  <si>
    <t>Espárrago, crudo</t>
  </si>
  <si>
    <t>B041</t>
  </si>
  <si>
    <t xml:space="preserve">Espárrago, cocido, sin sal </t>
  </si>
  <si>
    <t>B040</t>
  </si>
  <si>
    <t>Colinabo, sin cáscara, crudo</t>
  </si>
  <si>
    <t>B039</t>
  </si>
  <si>
    <t>Flor</t>
  </si>
  <si>
    <t>Coliflor, crudo</t>
  </si>
  <si>
    <t>B038</t>
  </si>
  <si>
    <t>Coliflor, cocido sin sal</t>
  </si>
  <si>
    <t>B037</t>
  </si>
  <si>
    <t>Col silvestre, cruda</t>
  </si>
  <si>
    <t>B036</t>
  </si>
  <si>
    <t xml:space="preserve">Col o repollitas de bruselas, cruda </t>
  </si>
  <si>
    <t>B035</t>
  </si>
  <si>
    <t>Cilantro, crudo</t>
  </si>
  <si>
    <t>B034</t>
  </si>
  <si>
    <t>Sombrero y Tallo</t>
  </si>
  <si>
    <t>Champiñón, en conserva</t>
  </si>
  <si>
    <t>B033</t>
  </si>
  <si>
    <t>Champiñón, crudo</t>
  </si>
  <si>
    <t>B032</t>
  </si>
  <si>
    <t xml:space="preserve">Cebolla, pasta escaldada </t>
  </si>
  <si>
    <t>B031</t>
  </si>
  <si>
    <t>Cebolla, deshidratada</t>
  </si>
  <si>
    <t>B030</t>
  </si>
  <si>
    <t xml:space="preserve">Cebolla puerro, cruda </t>
  </si>
  <si>
    <t>B029</t>
  </si>
  <si>
    <t>Cebolla junca, tallos, cruda</t>
  </si>
  <si>
    <t>B028</t>
  </si>
  <si>
    <t>Cebolla junca, hojas, cruda</t>
  </si>
  <si>
    <t>B027</t>
  </si>
  <si>
    <t>Cebolla cabezona, cruda</t>
  </si>
  <si>
    <t>B026</t>
  </si>
  <si>
    <t>Calabaza, sin cáscara, cruda</t>
  </si>
  <si>
    <t>B025</t>
  </si>
  <si>
    <t>Brócoli, crudo</t>
  </si>
  <si>
    <t>B024</t>
  </si>
  <si>
    <t>Berro, crudo</t>
  </si>
  <si>
    <t>B023</t>
  </si>
  <si>
    <t>Berenjena, con cáscara, cruda</t>
  </si>
  <si>
    <t>B022</t>
  </si>
  <si>
    <t>Berenjena, con cáscara, cocida, sin sal</t>
  </si>
  <si>
    <t>B021</t>
  </si>
  <si>
    <t>Batata, sin cáscara, cruda</t>
  </si>
  <si>
    <t>B020</t>
  </si>
  <si>
    <t>Balú o chachafruto verde, crudo</t>
  </si>
  <si>
    <t>B019</t>
  </si>
  <si>
    <t>Arveja verde, cruda</t>
  </si>
  <si>
    <t>B018</t>
  </si>
  <si>
    <t>Arveja verde, cocida, sin sal</t>
  </si>
  <si>
    <t>B017</t>
  </si>
  <si>
    <t>Arracacha morada, sin cáscara, cruda</t>
  </si>
  <si>
    <t>B016</t>
  </si>
  <si>
    <t>Arracacha blanca, sin cáscara, cruda</t>
  </si>
  <si>
    <t>B015</t>
  </si>
  <si>
    <t>Arracacha amarilla, sin cáscara, cruda</t>
  </si>
  <si>
    <t>B014</t>
  </si>
  <si>
    <t>Apio, crudo</t>
  </si>
  <si>
    <t>B013</t>
  </si>
  <si>
    <t>Almidón de yuca, crudo</t>
  </si>
  <si>
    <t>B012</t>
  </si>
  <si>
    <t>Almidón de achira, crudo</t>
  </si>
  <si>
    <t>B011</t>
  </si>
  <si>
    <t>Alcaparras, encurtidas</t>
  </si>
  <si>
    <t>B010</t>
  </si>
  <si>
    <t>Alcachofa, cruda</t>
  </si>
  <si>
    <t>B009</t>
  </si>
  <si>
    <t>Ajo, crudo</t>
  </si>
  <si>
    <t>B008</t>
  </si>
  <si>
    <t>Ají rojo, crudo</t>
  </si>
  <si>
    <t>B007</t>
  </si>
  <si>
    <t>Ají dulce, crudo</t>
  </si>
  <si>
    <t>B006</t>
  </si>
  <si>
    <t>Ahuyama, cruda</t>
  </si>
  <si>
    <t>B005</t>
  </si>
  <si>
    <t>Ahuyama, cocida, sin sal</t>
  </si>
  <si>
    <t>B004</t>
  </si>
  <si>
    <t>Acelga, tallos, cruda</t>
  </si>
  <si>
    <t>B003</t>
  </si>
  <si>
    <t>Acelga, hojas, cruda</t>
  </si>
  <si>
    <t>B002</t>
  </si>
  <si>
    <t>Aceitunas, encurtidas</t>
  </si>
  <si>
    <t>B001</t>
  </si>
  <si>
    <t>Aceituna, cruda</t>
  </si>
  <si>
    <t>A089</t>
  </si>
  <si>
    <t>Trigo duro, crudo</t>
  </si>
  <si>
    <t>A088</t>
  </si>
  <si>
    <t>Trigo blando, crudo</t>
  </si>
  <si>
    <t>A087</t>
  </si>
  <si>
    <t>Tostadas o calados, horneados</t>
  </si>
  <si>
    <t>A086</t>
  </si>
  <si>
    <t>Semolina, sin enriquecer, cruda</t>
  </si>
  <si>
    <t>A085</t>
  </si>
  <si>
    <t>Semolina, enriquecida, cruda</t>
  </si>
  <si>
    <t>A084</t>
  </si>
  <si>
    <t>Roscón, relleno de bocadillo, horneado</t>
  </si>
  <si>
    <t>A083</t>
  </si>
  <si>
    <t>Roscón, relleno de arequipe, horneado</t>
  </si>
  <si>
    <t>A082</t>
  </si>
  <si>
    <t>Roscas de harina de trigo, horneadas</t>
  </si>
  <si>
    <t>A081</t>
  </si>
  <si>
    <t>Roscas de harina de maíz, horneadas</t>
  </si>
  <si>
    <t>A080</t>
  </si>
  <si>
    <t>Roscas de harina de maíz y cuajada, horneadas</t>
  </si>
  <si>
    <t>A079</t>
  </si>
  <si>
    <t>Quinua, cruda</t>
  </si>
  <si>
    <t>A078</t>
  </si>
  <si>
    <t>Ponqué negro, cubierto de chocolate, horneado</t>
  </si>
  <si>
    <t>A077</t>
  </si>
  <si>
    <t>ponqué blanco, regular, sin cubierta, horneado</t>
  </si>
  <si>
    <t>A076</t>
  </si>
  <si>
    <t>ponqué blanco, cubierto de crema blanca y chocolate horneado</t>
  </si>
  <si>
    <t>A075</t>
  </si>
  <si>
    <t>Ponqué blanco, cubierto de chocolate, horneado</t>
  </si>
  <si>
    <t>A074</t>
  </si>
  <si>
    <t>pasta alimentacia, sin enriquecer, cruda</t>
  </si>
  <si>
    <t>A073</t>
  </si>
  <si>
    <t>pasta alimentacia, sin enriquecer, cocida, sin sal</t>
  </si>
  <si>
    <t>A072</t>
  </si>
  <si>
    <t>Pasta alimenticia, enriquecida, cruda</t>
  </si>
  <si>
    <t>A071</t>
  </si>
  <si>
    <t>Pasta alimenticia, con huevo, sin enriquecer, cocida, sin sal</t>
  </si>
  <si>
    <t>A070</t>
  </si>
  <si>
    <t>pandebono, horneado</t>
  </si>
  <si>
    <t>A069</t>
  </si>
  <si>
    <t>Pan integral, regular, horneado</t>
  </si>
  <si>
    <t>A068</t>
  </si>
  <si>
    <t>Pan francés, horneado</t>
  </si>
  <si>
    <t>A067</t>
  </si>
  <si>
    <t>Pan de yuca, horneado</t>
  </si>
  <si>
    <t>A066</t>
  </si>
  <si>
    <t>Pan de sal regular, horenado</t>
  </si>
  <si>
    <t>A065</t>
  </si>
  <si>
    <t>Pan de queso, horneado</t>
  </si>
  <si>
    <t>A064</t>
  </si>
  <si>
    <t>Pan de leche, horneado</t>
  </si>
  <si>
    <t>A063</t>
  </si>
  <si>
    <t>Pan de dulce, regular, horneado</t>
  </si>
  <si>
    <t>A062</t>
  </si>
  <si>
    <t>Pan de centeno, horneado</t>
  </si>
  <si>
    <t>A061</t>
  </si>
  <si>
    <t>Pan blanco, tipo molde, horneado</t>
  </si>
  <si>
    <t>A060</t>
  </si>
  <si>
    <t>Pan blanco, regular, horneado</t>
  </si>
  <si>
    <t>A059</t>
  </si>
  <si>
    <t>Muffins dulces, con chips de chocolate</t>
  </si>
  <si>
    <t>A058</t>
  </si>
  <si>
    <t>Mojicón, horneado</t>
  </si>
  <si>
    <t>A057</t>
  </si>
  <si>
    <t>Mogolla, integral, horneada</t>
  </si>
  <si>
    <t>A056</t>
  </si>
  <si>
    <t>Mijo, crudo</t>
  </si>
  <si>
    <t>A055</t>
  </si>
  <si>
    <t>Mezcla lista para preparar pancakes, en polvo</t>
  </si>
  <si>
    <t>A054</t>
  </si>
  <si>
    <t>Mantecada, horneada</t>
  </si>
  <si>
    <t>A053</t>
  </si>
  <si>
    <t>Maíz tierno, crudo</t>
  </si>
  <si>
    <t>A052</t>
  </si>
  <si>
    <t>Maíz porva, crudo</t>
  </si>
  <si>
    <t>A051</t>
  </si>
  <si>
    <t>Maíz pira o reventon, crudo</t>
  </si>
  <si>
    <t>A050</t>
  </si>
  <si>
    <t>Maíz opaco, crudo</t>
  </si>
  <si>
    <t>A049</t>
  </si>
  <si>
    <t>Maíz opaco 2, crudo</t>
  </si>
  <si>
    <t>A048</t>
  </si>
  <si>
    <t>Maíz mute, cocido, sin sal</t>
  </si>
  <si>
    <t>A047</t>
  </si>
  <si>
    <t>Maíz maravilla, crudo</t>
  </si>
  <si>
    <t>A046</t>
  </si>
  <si>
    <t>Maíz blanco, trillado</t>
  </si>
  <si>
    <t>A045</t>
  </si>
  <si>
    <t>Maíz blanco, crudo</t>
  </si>
  <si>
    <t>A044</t>
  </si>
  <si>
    <t>Maíz amarillo, trillado</t>
  </si>
  <si>
    <t>A043</t>
  </si>
  <si>
    <t>Maíz amarillo, crudo</t>
  </si>
  <si>
    <t>A042</t>
  </si>
  <si>
    <t>Hojaldre, regular, horneado</t>
  </si>
  <si>
    <t>A041</t>
  </si>
  <si>
    <t>Harina de trigo, integral, cruda</t>
  </si>
  <si>
    <t>A040</t>
  </si>
  <si>
    <t>Harina de trigo, fortificada, todo propósito, cruda</t>
  </si>
  <si>
    <t>A039</t>
  </si>
  <si>
    <t>Harina de trigo, fortificada, para reposteria, cruda</t>
  </si>
  <si>
    <t>A038</t>
  </si>
  <si>
    <t>Harina de trigo, fortificada, para panificación, cruda</t>
  </si>
  <si>
    <t>A037</t>
  </si>
  <si>
    <t>Harina de quinua, cruda</t>
  </si>
  <si>
    <t>A036</t>
  </si>
  <si>
    <t>Harina de maíz, extra tostada</t>
  </si>
  <si>
    <t>A035</t>
  </si>
  <si>
    <t>Harina de maíz, extra cruda</t>
  </si>
  <si>
    <t>A034</t>
  </si>
  <si>
    <t>Harina de maíz blanco, precocida</t>
  </si>
  <si>
    <t>A033</t>
  </si>
  <si>
    <t>Harina de maíz amarillo, precocida</t>
  </si>
  <si>
    <t>A032</t>
  </si>
  <si>
    <t>Harina de centeno, para reposteria, cruda</t>
  </si>
  <si>
    <t>A031</t>
  </si>
  <si>
    <t>Harina de centeno, para panificación cruda</t>
  </si>
  <si>
    <t>A030</t>
  </si>
  <si>
    <t>Harina de cebada, cruda</t>
  </si>
  <si>
    <t>A029</t>
  </si>
  <si>
    <t>Harina de avena, cruda</t>
  </si>
  <si>
    <t>A028</t>
  </si>
  <si>
    <t>Harina de arroz, cruda</t>
  </si>
  <si>
    <t>A027</t>
  </si>
  <si>
    <t>Galletas saladas, tipo soda</t>
  </si>
  <si>
    <t>A026</t>
  </si>
  <si>
    <t>Galletas saladas, tipo cracker</t>
  </si>
  <si>
    <t>A025</t>
  </si>
  <si>
    <t>Galletas ducles, tipo wafer</t>
  </si>
  <si>
    <t>A024</t>
  </si>
  <si>
    <t>Galletas Ducles, tipo Polvorosas</t>
  </si>
  <si>
    <t>A023</t>
  </si>
  <si>
    <t>Galletas dulces, sin relleno</t>
  </si>
  <si>
    <t>A022</t>
  </si>
  <si>
    <t xml:space="preserve">Galletas dulces, de avena, con uvas pasas </t>
  </si>
  <si>
    <t>A021</t>
  </si>
  <si>
    <t>Galletas ducles, cucas</t>
  </si>
  <si>
    <t>A020</t>
  </si>
  <si>
    <t>Galletas dulces, con relleno</t>
  </si>
  <si>
    <t>A019</t>
  </si>
  <si>
    <t>semilla</t>
  </si>
  <si>
    <t>Envuelto de mazorca, precocido</t>
  </si>
  <si>
    <t>A018</t>
  </si>
  <si>
    <t>Cuchuco de trigo, crudo</t>
  </si>
  <si>
    <t>A017</t>
  </si>
  <si>
    <t>Cuchuco de cebada, crudo</t>
  </si>
  <si>
    <t>A016</t>
  </si>
  <si>
    <t>Croissant, de queso, horneado</t>
  </si>
  <si>
    <t>A015</t>
  </si>
  <si>
    <t>Cereal para el desayuno, Hojuelas de maíz, sin azúcar</t>
  </si>
  <si>
    <t>A014</t>
  </si>
  <si>
    <t>Cebada, perlada, cruda</t>
  </si>
  <si>
    <t>A013</t>
  </si>
  <si>
    <t>Brownie, de chocolate, horneado</t>
  </si>
  <si>
    <t>A012</t>
  </si>
  <si>
    <t>Avena en Hojuelas, Precocida</t>
  </si>
  <si>
    <t>A011</t>
  </si>
  <si>
    <t>Arroz integral, cocido, sin sal</t>
  </si>
  <si>
    <t>A010</t>
  </si>
  <si>
    <t>Arroz blanco, pulido, crudo</t>
  </si>
  <si>
    <t>A009</t>
  </si>
  <si>
    <t>Arroz blanco, pulido, cocido, sin sal</t>
  </si>
  <si>
    <t>A008</t>
  </si>
  <si>
    <t>Arepa de maíz, frita</t>
  </si>
  <si>
    <t>A007</t>
  </si>
  <si>
    <t>Arepa de maíz, con queso, asada</t>
  </si>
  <si>
    <t>A006</t>
  </si>
  <si>
    <t>Arepa de maiz, asada</t>
  </si>
  <si>
    <t>A005</t>
  </si>
  <si>
    <t>Arepa de maíz precocido, sin sal</t>
  </si>
  <si>
    <t>A004</t>
  </si>
  <si>
    <t>Arepa de maíz precocido, con sal</t>
  </si>
  <si>
    <t>A003</t>
  </si>
  <si>
    <t xml:space="preserve">Almojabána, Vallecaucana, horneada </t>
  </si>
  <si>
    <t>A002</t>
  </si>
  <si>
    <t xml:space="preserve">Almojabána, bogotana, horneada </t>
  </si>
  <si>
    <t>A001</t>
  </si>
  <si>
    <t>Almidón de maíz, crudo</t>
  </si>
  <si>
    <t>Sello sodio</t>
  </si>
  <si>
    <t>Sello grasa saturada</t>
  </si>
  <si>
    <t>Parte comestible (%)</t>
  </si>
  <si>
    <t>Colesterol (mg)</t>
  </si>
  <si>
    <t>Grasa Poliinsaturada (g)</t>
  </si>
  <si>
    <t>Grasa Monoinsaturada (g)</t>
  </si>
  <si>
    <t>Grasa Saturada (g)</t>
  </si>
  <si>
    <t>Vitamina A (ER)</t>
  </si>
  <si>
    <t>Vitamina C (mg)</t>
  </si>
  <si>
    <t>Vitamina B12 (mcg)</t>
  </si>
  <si>
    <t>Folatos (mcg)</t>
  </si>
  <si>
    <t>Niacina (mg)</t>
  </si>
  <si>
    <t>Riboflavina (mg)</t>
  </si>
  <si>
    <t>Tiamina (mg)</t>
  </si>
  <si>
    <t>Potasio (mg)</t>
  </si>
  <si>
    <t>Magnesio (mg)</t>
  </si>
  <si>
    <t>Zinc (mg)</t>
  </si>
  <si>
    <t>Fosforo (mg)</t>
  </si>
  <si>
    <t>Sodio (mg)</t>
  </si>
  <si>
    <t>Hierro (mg)</t>
  </si>
  <si>
    <t>Calcio (mg)</t>
  </si>
  <si>
    <t>Cenizas (g)</t>
  </si>
  <si>
    <t>Fibra Dietaria (g)</t>
  </si>
  <si>
    <t>Carbohidratos disponibles (g)</t>
  </si>
  <si>
    <t>Carbohidratos Totales (g)</t>
  </si>
  <si>
    <t>Proteina (g)</t>
  </si>
  <si>
    <t>Energia (Kj)</t>
  </si>
  <si>
    <t>Parte analizada</t>
  </si>
  <si>
    <t>Nombre del Alimento</t>
  </si>
  <si>
    <t>Azúcares totales (g)</t>
  </si>
  <si>
    <t>Grasa trans (mg)</t>
  </si>
  <si>
    <t>Humedad (g)</t>
  </si>
  <si>
    <t>Energia (Kcal)</t>
  </si>
  <si>
    <t>Vitamina D (µg)</t>
  </si>
  <si>
    <t>Cantidad (g)</t>
  </si>
  <si>
    <t>Codigo</t>
  </si>
  <si>
    <t>Grasa total (g)</t>
  </si>
  <si>
    <t>Sello trans</t>
  </si>
  <si>
    <t>H019</t>
  </si>
  <si>
    <t>SGS</t>
  </si>
  <si>
    <t>Agua potable</t>
  </si>
  <si>
    <t>H020</t>
  </si>
  <si>
    <t>Jugo de naranja natural</t>
  </si>
  <si>
    <t>ING001</t>
  </si>
  <si>
    <t>Harina de almendras</t>
  </si>
  <si>
    <t>ING002</t>
  </si>
  <si>
    <t>Canela en polvo</t>
  </si>
  <si>
    <t>ING003</t>
  </si>
  <si>
    <t>Pimienta negra molida</t>
  </si>
  <si>
    <t>ING004</t>
  </si>
  <si>
    <t>Comino molido</t>
  </si>
  <si>
    <t>ING005</t>
  </si>
  <si>
    <t>Orégano seco</t>
  </si>
  <si>
    <t>ING006</t>
  </si>
  <si>
    <t>Ajo en polvo</t>
  </si>
  <si>
    <t>ING007</t>
  </si>
  <si>
    <t>Cebolla en polvo</t>
  </si>
  <si>
    <t>ING008</t>
  </si>
  <si>
    <t>Levadura nutricional</t>
  </si>
  <si>
    <t>ING009</t>
  </si>
  <si>
    <t>Semillas de chía</t>
  </si>
  <si>
    <t>ING010</t>
  </si>
  <si>
    <t>Linaza molida</t>
  </si>
  <si>
    <t>Bicarbonato de sodio</t>
  </si>
  <si>
    <t>Polvo de hornear</t>
  </si>
  <si>
    <t>Extracto de vainilla puro</t>
  </si>
  <si>
    <t>Gelatina sin sabor (polvo)</t>
  </si>
  <si>
    <t>Harina de coco</t>
  </si>
  <si>
    <t>Leche de coco en lata</t>
  </si>
  <si>
    <t>Crema de coco</t>
  </si>
  <si>
    <t>Miel de maple/sirope de arce</t>
  </si>
  <si>
    <t>Eritritol (endulzante)</t>
  </si>
  <si>
    <t>Stevia en polvo (extracto)</t>
  </si>
  <si>
    <t>ING011</t>
  </si>
  <si>
    <t>Proteína de suero (whey isolate)</t>
  </si>
  <si>
    <t>ING012</t>
  </si>
  <si>
    <t>Colágeno hidrolizado (polvo)</t>
  </si>
  <si>
    <t>ING013</t>
  </si>
  <si>
    <t>Semillas de calabaza (peladas)</t>
  </si>
  <si>
    <t>ING014</t>
  </si>
  <si>
    <t>Semillas de girasol (peladas)</t>
  </si>
  <si>
    <t>ING015</t>
  </si>
  <si>
    <t>Avellanas (peladas)</t>
  </si>
  <si>
    <t>ING016</t>
  </si>
  <si>
    <t>Nueces pecanas</t>
  </si>
  <si>
    <t>ING017</t>
  </si>
  <si>
    <t>Piñones</t>
  </si>
  <si>
    <t>ING018</t>
  </si>
  <si>
    <t>Mantequilla de almendra</t>
  </si>
  <si>
    <t>ING019</t>
  </si>
  <si>
    <t>Tahini (pasta de sésamo)</t>
  </si>
  <si>
    <t>ING020</t>
  </si>
  <si>
    <t>Salsa de soja (light)</t>
  </si>
  <si>
    <t>ING021</t>
  </si>
  <si>
    <t>Vinagre de manzana</t>
  </si>
  <si>
    <t>ING022</t>
  </si>
  <si>
    <t>Vinagre balsámico</t>
  </si>
  <si>
    <t>ING023</t>
  </si>
  <si>
    <t>Mostaza Dijon</t>
  </si>
  <si>
    <t>ING024</t>
  </si>
  <si>
    <t>Ketchup/tomate frito</t>
  </si>
  <si>
    <t>ING025</t>
  </si>
  <si>
    <t>Pesto básico (albahaca, aceite, queso)</t>
  </si>
  <si>
    <t>ING026</t>
  </si>
  <si>
    <t>Clavo de olor (molido)</t>
  </si>
  <si>
    <t>ING027</t>
  </si>
  <si>
    <t>Nuez moscada (molido)</t>
  </si>
  <si>
    <t>ING028</t>
  </si>
  <si>
    <t>Cardamomo (molido)</t>
  </si>
  <si>
    <t>ING029</t>
  </si>
  <si>
    <t>Pimentón dulce (paprika)</t>
  </si>
  <si>
    <t>ING030</t>
  </si>
  <si>
    <t>Goma xantana (espesante)</t>
  </si>
  <si>
    <t>ING031</t>
  </si>
  <si>
    <t>ING032</t>
  </si>
  <si>
    <t>ING033</t>
  </si>
  <si>
    <t>ING034</t>
  </si>
  <si>
    <t>ING035</t>
  </si>
  <si>
    <t>ING036</t>
  </si>
  <si>
    <t>ING037</t>
  </si>
  <si>
    <t>ING038</t>
  </si>
  <si>
    <t>ING039</t>
  </si>
  <si>
    <t>ING040</t>
  </si>
  <si>
    <t>Cacao en polvo sin azúcar</t>
  </si>
  <si>
    <t>Goma xantana</t>
  </si>
  <si>
    <t>Eritritol</t>
  </si>
  <si>
    <t>Colágeno hidrolizado</t>
  </si>
  <si>
    <t>ING041</t>
  </si>
  <si>
    <t>ING042</t>
  </si>
  <si>
    <t>ING043</t>
  </si>
  <si>
    <t>ING044</t>
  </si>
  <si>
    <t>Sirope de arce/maple</t>
  </si>
  <si>
    <t>ING045</t>
  </si>
  <si>
    <t>Semillas de calabaza peladas</t>
  </si>
  <si>
    <t>ING046</t>
  </si>
  <si>
    <t>Semillas de girasol peladas</t>
  </si>
  <si>
    <t>ING047</t>
  </si>
  <si>
    <t>Avellanas peladas</t>
  </si>
  <si>
    <t>Salsa de soja light</t>
  </si>
  <si>
    <t>Clavo de olor molido</t>
  </si>
  <si>
    <t>Cardamomo molido</t>
  </si>
  <si>
    <t>ADV001</t>
  </si>
  <si>
    <t>ADV002</t>
  </si>
  <si>
    <t>ADV003</t>
  </si>
  <si>
    <t>ADV004</t>
  </si>
  <si>
    <t>ADV005</t>
  </si>
  <si>
    <t>Benzoato de sodio</t>
  </si>
  <si>
    <t>ADV006</t>
  </si>
  <si>
    <t>Sorbato de potasio</t>
  </si>
  <si>
    <t>ADV007</t>
  </si>
  <si>
    <t>Nitrito de sodio</t>
  </si>
  <si>
    <t>ADV008</t>
  </si>
  <si>
    <t>Sulfito de sodio</t>
  </si>
  <si>
    <t>ADV009</t>
  </si>
  <si>
    <t>Ácido cítrico (anhidro)</t>
  </si>
  <si>
    <t>ADV010</t>
  </si>
  <si>
    <t>ADV011</t>
  </si>
  <si>
    <t>Lecitina de soya (emulsificante)</t>
  </si>
  <si>
    <t>ADV012</t>
  </si>
  <si>
    <t>Goma guar (espesante)</t>
  </si>
  <si>
    <t>ADV013</t>
  </si>
  <si>
    <t>Carragenina (espesante)</t>
  </si>
  <si>
    <t>ADV014</t>
  </si>
  <si>
    <t>Pectina (gelificante)</t>
  </si>
  <si>
    <t>ADV015</t>
  </si>
  <si>
    <t>Colorante caramelo (E150)</t>
  </si>
  <si>
    <t>ADV016</t>
  </si>
  <si>
    <t>Colorante annatto/bixina (E160b)</t>
  </si>
  <si>
    <t>ADV017</t>
  </si>
  <si>
    <t>Colorante cúrcuma/curcumina (E100)</t>
  </si>
  <si>
    <t>ADV018</t>
  </si>
  <si>
    <t>Colorante carmín/cochinilla (E120)</t>
  </si>
  <si>
    <t>ADV019</t>
  </si>
  <si>
    <t>Glutamato monosódico (MSG)</t>
  </si>
  <si>
    <t>ADV020</t>
  </si>
  <si>
    <t>Inosinato disódico (E631)</t>
  </si>
  <si>
    <t>ADV021</t>
  </si>
  <si>
    <t>Guanilato disódico (E627)</t>
  </si>
  <si>
    <t>ADV022</t>
  </si>
  <si>
    <t>Aspartamo (edulcorante)</t>
  </si>
  <si>
    <t>ADV023</t>
  </si>
  <si>
    <t>Sucralosa (edulcorante)</t>
  </si>
  <si>
    <t>ADV024</t>
  </si>
  <si>
    <t>Acesulfamo K (edulcorante)</t>
  </si>
  <si>
    <t>ADV025</t>
  </si>
  <si>
    <t>Sacarina sódica (edulcorante)</t>
  </si>
  <si>
    <t>ADV026</t>
  </si>
  <si>
    <t>BHA (antioxidante E320)</t>
  </si>
  <si>
    <t>ADV027</t>
  </si>
  <si>
    <t>BHT (antioxidante E321)</t>
  </si>
  <si>
    <t>ADV028</t>
  </si>
  <si>
    <t>TBHQ (antioxidante E319)</t>
  </si>
  <si>
    <t>ADV029</t>
  </si>
  <si>
    <t>Propionato de calcio (conservante)</t>
  </si>
  <si>
    <t>ADV030</t>
  </si>
  <si>
    <t>Dióxido de azufre (conservante E220)</t>
  </si>
  <si>
    <t>Nuez molida</t>
  </si>
  <si>
    <t>Corteza molida</t>
  </si>
  <si>
    <t>Fruto molido</t>
  </si>
  <si>
    <t>Semilla molida</t>
  </si>
  <si>
    <t>Hoja deshidratada</t>
  </si>
  <si>
    <t>Bulbo deshidratado</t>
  </si>
  <si>
    <t>Células inactivas</t>
  </si>
  <si>
    <t>Semilla entera</t>
  </si>
  <si>
    <t>Pulpa deshidratada</t>
  </si>
  <si>
    <t>Líquido emulsionado</t>
  </si>
  <si>
    <t>Líquido concentrado</t>
  </si>
  <si>
    <t>Savia concentrada</t>
  </si>
  <si>
    <t>Polialcohol cristalino</t>
  </si>
  <si>
    <t>Glucósido purificado</t>
  </si>
  <si>
    <t>Proteína aislada</t>
  </si>
  <si>
    <t>Péptidos hidrolizados</t>
  </si>
  <si>
    <t>Semilla sin cáscara</t>
  </si>
  <si>
    <t>Nuez sin cáscara</t>
  </si>
  <si>
    <t>Nuez entera</t>
  </si>
  <si>
    <t>Semilla de pino</t>
  </si>
  <si>
    <t>Nuez triturada</t>
  </si>
  <si>
    <t>Semilla triturada</t>
  </si>
  <si>
    <t>Fermentado líquido</t>
  </si>
  <si>
    <t>Fermentado ácido</t>
  </si>
  <si>
    <t>Fermentado envejecido</t>
  </si>
  <si>
    <t>Pasta condimentada</t>
  </si>
  <si>
    <t>Salsa concentrada</t>
  </si>
  <si>
    <t>Pasta herbácea</t>
  </si>
  <si>
    <t>Botón floral seco</t>
  </si>
  <si>
    <t>Semilla seca molida</t>
  </si>
  <si>
    <t>Cápsula seca molida</t>
  </si>
  <si>
    <t>Fruto seco molido</t>
  </si>
  <si>
    <t>Polisacárido fermentado</t>
  </si>
  <si>
    <t>Polvo</t>
  </si>
  <si>
    <t>Líquido</t>
  </si>
  <si>
    <t>Gas licuado</t>
  </si>
  <si>
    <t>Ácido ascórbico (Vit, C pura)</t>
  </si>
  <si>
    <t>Sal de mesa</t>
  </si>
  <si>
    <t>Polvo cristalino</t>
  </si>
  <si>
    <t>ADV031</t>
  </si>
  <si>
    <t>ADV032</t>
  </si>
  <si>
    <t>Propionato de sodio (conservante)</t>
  </si>
  <si>
    <t>K036</t>
  </si>
  <si>
    <t>Glucosa de repostería, jarabe, grado alimenticio</t>
  </si>
  <si>
    <t>Líquido viscoso</t>
  </si>
  <si>
    <t>12.80</t>
  </si>
  <si>
    <t>285.00</t>
  </si>
  <si>
    <t>1192.00</t>
  </si>
  <si>
    <t>0.20</t>
  </si>
  <si>
    <t>0.00</t>
  </si>
  <si>
    <t>70.50</t>
  </si>
  <si>
    <t>32.90</t>
  </si>
  <si>
    <t>0.50</t>
  </si>
  <si>
    <t>8.00</t>
  </si>
  <si>
    <t>149.00</t>
  </si>
  <si>
    <t>11.00</t>
  </si>
  <si>
    <t>Yodo (mg)</t>
  </si>
  <si>
    <t>2.00</t>
  </si>
  <si>
    <t>3.00</t>
  </si>
  <si>
    <t>100.00</t>
  </si>
  <si>
    <t>No tiene sello</t>
  </si>
  <si>
    <t>No tiene sello*</t>
  </si>
  <si>
    <t>Glicerina (glicerol), grado USP-NF, uso alimentario</t>
  </si>
  <si>
    <t>0.30</t>
  </si>
  <si>
    <t>399.00</t>
  </si>
  <si>
    <t>1670.00</t>
  </si>
  <si>
    <t>99.70</t>
  </si>
  <si>
    <t>Valor</t>
  </si>
  <si>
    <t>ADV033</t>
  </si>
  <si>
    <t>Acido sórbico (conservante)</t>
  </si>
  <si>
    <t>Res, chunchullo, dorado, con sal</t>
  </si>
  <si>
    <t>Huevo de pava, entero, crudo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</si>
</sst>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9"/>
      <color indexed="8"/>
      <name val="Calisto MT"/>
      <family val="1"/>
    </font>
    <font>
      <b/>
      <sz val="9"/>
      <color rgb="FF000000"/>
      <name val="Calibri"/>
      <family val="2"/>
    </font>
    <font>
      <b/>
      <sz val="9"/>
      <color indexed="8"/>
      <name val="Calibri"/>
      <family val="2"/>
    </font>
    <font>
      <sz val="12"/>
      <color rgb="FF1D1D1F"/>
      <name val="Arial"/>
      <family val="2"/>
    </font>
    <font>
      <sz val="12"/>
      <color rgb="FF1D1D1F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13"/>
        <bgColor auto="1"/>
      </patternFill>
    </fill>
    <fill>
      <patternFill patternType="solid">
        <fgColor indexed="20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1"/>
        <bgColor auto="1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 applyNumberFormat="0" applyFill="0" applyBorder="0" applyProtection="0"/>
  </cellStyleXfs>
  <cellXfs count="53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49" fontId="3" fillId="8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NumberFormat="1" applyFill="1" applyBorder="1" applyAlignment="1">
      <alignment horizontal="center" vertical="center" wrapText="1"/>
    </xf>
    <xf numFmtId="2" fontId="0" fillId="5" borderId="2" xfId="0" applyNumberForma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0" fillId="5" borderId="5" xfId="0" applyNumberForma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vertical="center" wrapText="1"/>
    </xf>
    <xf numFmtId="0" fontId="5" fillId="9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0" fillId="4" borderId="2" xfId="0" applyNumberForma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0" fontId="0" fillId="4" borderId="5" xfId="0" applyNumberFormat="1" applyFill="1" applyBorder="1" applyAlignment="1">
      <alignment horizontal="center" vertical="center" wrapText="1"/>
    </xf>
    <xf numFmtId="2" fontId="0" fillId="4" borderId="5" xfId="0" applyNumberFormat="1" applyFill="1" applyBorder="1" applyAlignment="1">
      <alignment horizontal="center" vertical="center" wrapText="1"/>
    </xf>
    <xf numFmtId="0" fontId="0" fillId="0" borderId="0" xfId="0" applyNumberFormat="1" applyBorder="1"/>
    <xf numFmtId="0" fontId="0" fillId="2" borderId="0" xfId="0" applyNumberFormat="1" applyFill="1" applyBorder="1"/>
    <xf numFmtId="0" fontId="0" fillId="3" borderId="0" xfId="0" applyNumberFormat="1" applyFill="1" applyBorder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8"/>
  <sheetViews>
    <sheetView showGridLines="0" tabSelected="1" zoomScale="80" zoomScaleNormal="80" workbookViewId="0">
      <pane ySplit="1" topLeftCell="A2" activePane="bottomLeft" state="frozen"/>
      <selection pane="bottomLeft" activeCell="B4" sqref="B4"/>
    </sheetView>
  </sheetViews>
  <sheetFormatPr baseColWidth="10" defaultColWidth="10.85546875" defaultRowHeight="15" customHeight="1" x14ac:dyDescent="0.25"/>
  <cols>
    <col min="1" max="1" width="14.28515625" style="1" bestFit="1" customWidth="1"/>
    <col min="2" max="2" width="70.140625" style="1" bestFit="1" customWidth="1"/>
    <col min="3" max="3" width="25.7109375" style="1" hidden="1" customWidth="1"/>
    <col min="4" max="4" width="19.42578125" style="1" hidden="1" customWidth="1"/>
    <col min="5" max="5" width="19.85546875" style="1" hidden="1" customWidth="1"/>
    <col min="6" max="6" width="21.28515625" style="2" bestFit="1" customWidth="1"/>
    <col min="7" max="7" width="15.140625" style="1" hidden="1" customWidth="1"/>
    <col min="8" max="8" width="14.7109375" style="2" bestFit="1" customWidth="1"/>
    <col min="9" max="9" width="14.140625" style="2" bestFit="1" customWidth="1"/>
    <col min="10" max="10" width="16.7109375" style="2" bestFit="1" customWidth="1"/>
    <col min="11" max="11" width="28.85546875" style="1" hidden="1" customWidth="1"/>
    <col min="12" max="12" width="20.7109375" style="1" bestFit="1" customWidth="1"/>
    <col min="13" max="13" width="19.140625" style="2" bestFit="1" customWidth="1"/>
    <col min="14" max="14" width="14.28515625" style="1" hidden="1" customWidth="1"/>
    <col min="15" max="16" width="14.7109375" style="3" bestFit="1" customWidth="1"/>
    <col min="17" max="17" width="14.140625" style="1" bestFit="1" customWidth="1"/>
    <col min="18" max="18" width="15.7109375" style="3" hidden="1" customWidth="1"/>
    <col min="19" max="19" width="13.140625" style="1" bestFit="1" customWidth="1"/>
    <col min="20" max="20" width="17.28515625" style="1" hidden="1" customWidth="1"/>
    <col min="21" max="21" width="15.42578125" style="1" hidden="1" customWidth="1"/>
    <col min="22" max="22" width="16" style="1" hidden="1" customWidth="1"/>
    <col min="23" max="23" width="18.85546875" style="1" hidden="1" customWidth="1"/>
    <col min="24" max="24" width="15.7109375" style="1" hidden="1" customWidth="1"/>
    <col min="25" max="25" width="16.140625" style="1" hidden="1" customWidth="1"/>
    <col min="26" max="26" width="21.140625" style="1" hidden="1" customWidth="1"/>
    <col min="27" max="27" width="18.5703125" style="3" hidden="1" customWidth="1"/>
    <col min="28" max="28" width="18.5703125" style="3" bestFit="1" customWidth="1"/>
    <col min="29" max="29" width="18.28515625" style="3" bestFit="1" customWidth="1"/>
    <col min="30" max="30" width="17.7109375" style="1" customWidth="1"/>
    <col min="31" max="31" width="23.7109375" style="1" hidden="1" customWidth="1"/>
    <col min="32" max="32" width="22.140625" style="1" hidden="1" customWidth="1"/>
    <col min="33" max="33" width="22.140625" style="1" customWidth="1"/>
    <col min="34" max="34" width="15.140625" style="2" hidden="1" customWidth="1"/>
    <col min="35" max="35" width="18.7109375" style="1" hidden="1" customWidth="1"/>
    <col min="36" max="36" width="30.5703125" style="1" hidden="1" customWidth="1"/>
    <col min="37" max="37" width="23.140625" style="1" customWidth="1"/>
    <col min="38" max="38" width="15.28515625" style="1" hidden="1" customWidth="1"/>
    <col min="39" max="39" width="0" style="1" hidden="1" customWidth="1"/>
    <col min="40" max="16384" width="10.85546875" style="1"/>
  </cols>
  <sheetData>
    <row r="1" spans="1:39" ht="24" x14ac:dyDescent="0.25">
      <c r="A1" s="7" t="s">
        <v>1640</v>
      </c>
      <c r="B1" s="7" t="s">
        <v>1633</v>
      </c>
      <c r="C1" s="7" t="s">
        <v>1632</v>
      </c>
      <c r="D1" s="6" t="s">
        <v>1639</v>
      </c>
      <c r="E1" s="8" t="s">
        <v>1636</v>
      </c>
      <c r="F1" s="9" t="s">
        <v>1637</v>
      </c>
      <c r="G1" s="8" t="s">
        <v>1631</v>
      </c>
      <c r="H1" s="9" t="s">
        <v>1630</v>
      </c>
      <c r="I1" s="9" t="s">
        <v>1641</v>
      </c>
      <c r="J1" s="9" t="s">
        <v>1629</v>
      </c>
      <c r="K1" s="8" t="s">
        <v>1628</v>
      </c>
      <c r="L1" s="10" t="s">
        <v>1634</v>
      </c>
      <c r="M1" s="11" t="s">
        <v>1627</v>
      </c>
      <c r="N1" s="10" t="s">
        <v>1626</v>
      </c>
      <c r="O1" s="12" t="s">
        <v>1625</v>
      </c>
      <c r="P1" s="12" t="s">
        <v>1624</v>
      </c>
      <c r="Q1" s="10" t="s">
        <v>1623</v>
      </c>
      <c r="R1" s="12" t="s">
        <v>1622</v>
      </c>
      <c r="S1" s="10" t="s">
        <v>1621</v>
      </c>
      <c r="T1" s="10" t="s">
        <v>1620</v>
      </c>
      <c r="U1" s="10" t="s">
        <v>1619</v>
      </c>
      <c r="V1" s="10" t="s">
        <v>1618</v>
      </c>
      <c r="W1" s="10" t="s">
        <v>1617</v>
      </c>
      <c r="X1" s="10" t="s">
        <v>1616</v>
      </c>
      <c r="Y1" s="10" t="s">
        <v>1615</v>
      </c>
      <c r="Z1" s="10" t="s">
        <v>1614</v>
      </c>
      <c r="AA1" s="12" t="s">
        <v>1613</v>
      </c>
      <c r="AB1" s="12" t="s">
        <v>1612</v>
      </c>
      <c r="AC1" s="12" t="s">
        <v>1638</v>
      </c>
      <c r="AD1" s="10" t="s">
        <v>1611</v>
      </c>
      <c r="AE1" s="10" t="s">
        <v>1610</v>
      </c>
      <c r="AF1" s="10" t="s">
        <v>1609</v>
      </c>
      <c r="AG1" s="10" t="s">
        <v>1635</v>
      </c>
      <c r="AH1" s="11" t="s">
        <v>1608</v>
      </c>
      <c r="AI1" s="10" t="s">
        <v>1607</v>
      </c>
      <c r="AJ1" s="13" t="s">
        <v>1606</v>
      </c>
      <c r="AK1" s="13" t="s">
        <v>1644</v>
      </c>
      <c r="AL1" s="13" t="s">
        <v>1605</v>
      </c>
      <c r="AM1" s="13" t="s">
        <v>1642</v>
      </c>
    </row>
    <row r="2" spans="1:39" ht="13.5" customHeight="1" x14ac:dyDescent="0.25">
      <c r="A2" s="14" t="s">
        <v>1603</v>
      </c>
      <c r="B2" s="14" t="s">
        <v>1604</v>
      </c>
      <c r="C2" s="15"/>
      <c r="D2" s="16">
        <v>100</v>
      </c>
      <c r="E2" s="17">
        <v>8</v>
      </c>
      <c r="F2" s="18">
        <v>370</v>
      </c>
      <c r="G2" s="17">
        <v>1571</v>
      </c>
      <c r="H2" s="18">
        <v>0.3</v>
      </c>
      <c r="I2" s="18">
        <v>0.1</v>
      </c>
      <c r="J2" s="18">
        <v>91.4</v>
      </c>
      <c r="K2" s="17">
        <v>90.5</v>
      </c>
      <c r="L2" s="17">
        <v>0.1</v>
      </c>
      <c r="M2" s="18">
        <v>0.9</v>
      </c>
      <c r="N2" s="17">
        <v>0.1</v>
      </c>
      <c r="O2" s="19">
        <v>2</v>
      </c>
      <c r="P2" s="19">
        <v>0.5</v>
      </c>
      <c r="Q2" s="17">
        <v>9</v>
      </c>
      <c r="R2" s="19">
        <v>14</v>
      </c>
      <c r="S2" s="17">
        <v>0.1</v>
      </c>
      <c r="T2" s="17">
        <v>3</v>
      </c>
      <c r="U2" s="17">
        <v>3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9">
        <v>0</v>
      </c>
      <c r="AB2" s="19">
        <v>0</v>
      </c>
      <c r="AC2" s="19">
        <v>0</v>
      </c>
      <c r="AD2" s="17">
        <v>0</v>
      </c>
      <c r="AE2" s="17">
        <v>0</v>
      </c>
      <c r="AF2" s="17">
        <v>0</v>
      </c>
      <c r="AG2" s="17">
        <v>0</v>
      </c>
      <c r="AH2" s="18">
        <v>0</v>
      </c>
      <c r="AI2" s="17">
        <v>100</v>
      </c>
      <c r="AJ2" s="13" t="str">
        <f xml:space="preserve"> IF(AD2&gt;F2,"Exceso en grasa saturada",IFERROR(IF(F2=0,"No tiene sello",IF((AD2*9)*100/F2&gt;10,"Exceso en grasa saturada","No tiene sello")),"No tiene sello"))</f>
        <v>No tiene sello</v>
      </c>
      <c r="AK2" s="13">
        <f>IF(AJ2="No tiene sello",0,1)</f>
        <v>0</v>
      </c>
      <c r="AL2" s="13" t="str">
        <f>IF(Q2&gt;=300,"Exceso en sodio",IFERROR(IF(AND(F2=0,Q2&gt;0),"No tiene sello",IF(Q2/F2&gt;1,"Exceso en sodio","No tiene sello")),"No tiene sello"))</f>
        <v>No tiene sello</v>
      </c>
      <c r="AM2" s="13" t="str">
        <f>IFERROR(IF(F2=0,"No tiene sello",IF(+(AG2/1000)*9*100/F2&gt;1,"Exceso en grasa trans", "No tiene sello")),"No tiene sello")</f>
        <v>No tiene sello</v>
      </c>
    </row>
    <row r="3" spans="1:39" ht="13.5" customHeight="1" x14ac:dyDescent="0.25">
      <c r="A3" s="20" t="s">
        <v>1601</v>
      </c>
      <c r="B3" s="20" t="s">
        <v>1602</v>
      </c>
      <c r="C3" s="21"/>
      <c r="D3" s="22">
        <v>100</v>
      </c>
      <c r="E3" s="23">
        <v>41.3</v>
      </c>
      <c r="F3" s="24">
        <v>285</v>
      </c>
      <c r="G3" s="23">
        <v>1196</v>
      </c>
      <c r="H3" s="24">
        <v>13</v>
      </c>
      <c r="I3" s="24">
        <v>12.3</v>
      </c>
      <c r="J3" s="24">
        <v>30.6</v>
      </c>
      <c r="K3" s="23">
        <v>0</v>
      </c>
      <c r="L3" s="23">
        <v>4.59</v>
      </c>
      <c r="M3" s="24">
        <v>0</v>
      </c>
      <c r="N3" s="23">
        <v>2.8</v>
      </c>
      <c r="O3" s="25">
        <v>320</v>
      </c>
      <c r="P3" s="25">
        <v>2.2000000000000002</v>
      </c>
      <c r="Q3" s="23">
        <v>0</v>
      </c>
      <c r="R3" s="25">
        <v>330</v>
      </c>
      <c r="S3" s="23">
        <v>0</v>
      </c>
      <c r="T3" s="23">
        <v>0</v>
      </c>
      <c r="U3" s="23">
        <v>0</v>
      </c>
      <c r="V3" s="23">
        <v>0.08</v>
      </c>
      <c r="W3" s="23">
        <v>0.4</v>
      </c>
      <c r="X3" s="23">
        <v>0.9</v>
      </c>
      <c r="Y3" s="23">
        <v>0</v>
      </c>
      <c r="Z3" s="23">
        <v>0</v>
      </c>
      <c r="AA3" s="25">
        <v>0</v>
      </c>
      <c r="AB3" s="25">
        <v>0</v>
      </c>
      <c r="AC3" s="25">
        <v>0</v>
      </c>
      <c r="AD3" s="23">
        <v>0</v>
      </c>
      <c r="AE3" s="23">
        <v>0</v>
      </c>
      <c r="AF3" s="23">
        <v>0</v>
      </c>
      <c r="AG3" s="23">
        <v>50</v>
      </c>
      <c r="AH3" s="24">
        <v>0</v>
      </c>
      <c r="AI3" s="23">
        <v>100</v>
      </c>
      <c r="AJ3" s="13" t="str">
        <f xml:space="preserve"> IF(AD3&gt;F3,"Exceso en grasa saturada",IFERROR(IF(F3=0,"No tiene sello",IF((AD3*9)*100/F3&gt;10,"Exceso en grasa saturada","No tiene sello")),"No tiene sello"))</f>
        <v>No tiene sello</v>
      </c>
      <c r="AK3" s="13">
        <f>IF(AJ3="No tiene sello",0,1)</f>
        <v>0</v>
      </c>
      <c r="AL3" s="13" t="str">
        <f>IF(Q3&gt;=300,"Exceso en sodio",IFERROR(IF(AND(F3=0,Q3&gt;0),"No tiene sello",IF(Q3/F3&gt;1,"Exceso en sodio","No tiene sello")),"No tiene sello"))</f>
        <v>No tiene sello</v>
      </c>
      <c r="AM3" s="13" t="str">
        <f>IFERROR(IF(F3=0,"No tiene sello",IF(+(AG3/1000)*9*100/F3&gt;1,"Exceso en grasa trans", "No tiene sello")),"No tiene sello")</f>
        <v>No tiene sello</v>
      </c>
    </row>
    <row r="4" spans="1:39" ht="13.5" customHeight="1" x14ac:dyDescent="0.25">
      <c r="A4" s="26" t="s">
        <v>1599</v>
      </c>
      <c r="B4" s="26" t="s">
        <v>1600</v>
      </c>
      <c r="C4" s="27"/>
      <c r="D4" s="16">
        <v>100</v>
      </c>
      <c r="E4" s="28">
        <v>29.1</v>
      </c>
      <c r="F4" s="24">
        <v>341</v>
      </c>
      <c r="G4" s="28">
        <v>1430</v>
      </c>
      <c r="H4" s="24">
        <v>17.5</v>
      </c>
      <c r="I4" s="24">
        <v>14.7</v>
      </c>
      <c r="J4" s="24">
        <v>34.6</v>
      </c>
      <c r="K4" s="28">
        <v>0</v>
      </c>
      <c r="L4" s="28">
        <v>5.19</v>
      </c>
      <c r="M4" s="24">
        <v>0</v>
      </c>
      <c r="N4" s="28">
        <v>4.0999999999999996</v>
      </c>
      <c r="O4" s="25">
        <v>500</v>
      </c>
      <c r="P4" s="25">
        <v>2.2000000000000002</v>
      </c>
      <c r="Q4" s="28">
        <v>0</v>
      </c>
      <c r="R4" s="25">
        <v>340</v>
      </c>
      <c r="S4" s="28">
        <v>0</v>
      </c>
      <c r="T4" s="28">
        <v>0</v>
      </c>
      <c r="U4" s="28">
        <v>0</v>
      </c>
      <c r="V4" s="28">
        <v>0.04</v>
      </c>
      <c r="W4" s="28">
        <v>0.4</v>
      </c>
      <c r="X4" s="28">
        <v>0.1</v>
      </c>
      <c r="Y4" s="28">
        <v>0</v>
      </c>
      <c r="Z4" s="28">
        <v>0</v>
      </c>
      <c r="AA4" s="25">
        <v>0</v>
      </c>
      <c r="AB4" s="25">
        <v>0</v>
      </c>
      <c r="AC4" s="25">
        <v>0</v>
      </c>
      <c r="AD4" s="28">
        <v>0</v>
      </c>
      <c r="AE4" s="28">
        <v>0</v>
      </c>
      <c r="AF4" s="28">
        <v>0</v>
      </c>
      <c r="AG4" s="28">
        <v>50</v>
      </c>
      <c r="AH4" s="24">
        <v>0</v>
      </c>
      <c r="AI4" s="28">
        <v>100</v>
      </c>
      <c r="AJ4" s="13" t="str">
        <f xml:space="preserve"> IF(AD4&gt;F4,"Exceso en grasa saturada",IFERROR(IF(F4=0,"No tiene sello",IF((AD4*9)*100/F4&gt;10,"Exceso en grasa saturada","No tiene sello")),"No tiene sello"))</f>
        <v>No tiene sello</v>
      </c>
      <c r="AK4" s="13">
        <f>IF(AJ4="No tiene sello",0,1)</f>
        <v>0</v>
      </c>
      <c r="AL4" s="13" t="str">
        <f>IF(Q4&gt;=300,"Exceso en sodio",IFERROR(IF(AND(F4=0,Q4&gt;0),"No tiene sello",IF(Q4/F4&gt;1,"Exceso en sodio","No tiene sello")),"No tiene sello"))</f>
        <v>No tiene sello</v>
      </c>
      <c r="AM4" s="13" t="str">
        <f>IFERROR(IF(F4=0,"No tiene sello",IF(+(AG4/1000)*9*100/F4&gt;1,"Exceso en grasa trans", "No tiene sello")),"No tiene sello")</f>
        <v>No tiene sello</v>
      </c>
    </row>
    <row r="5" spans="1:39" s="4" customFormat="1" ht="13.5" customHeight="1" x14ac:dyDescent="0.25">
      <c r="A5" s="29" t="s">
        <v>1597</v>
      </c>
      <c r="B5" s="29" t="s">
        <v>1598</v>
      </c>
      <c r="C5" s="30"/>
      <c r="D5" s="22">
        <v>100</v>
      </c>
      <c r="E5" s="31">
        <v>60.3</v>
      </c>
      <c r="F5" s="24">
        <v>163</v>
      </c>
      <c r="G5" s="31">
        <v>690</v>
      </c>
      <c r="H5" s="24">
        <v>3.3</v>
      </c>
      <c r="I5" s="24">
        <v>0.9</v>
      </c>
      <c r="J5" s="24">
        <v>35</v>
      </c>
      <c r="K5" s="31">
        <v>34.1</v>
      </c>
      <c r="L5" s="31">
        <v>5.25</v>
      </c>
      <c r="M5" s="24">
        <v>0.9</v>
      </c>
      <c r="N5" s="31">
        <v>0.6</v>
      </c>
      <c r="O5" s="31">
        <v>17</v>
      </c>
      <c r="P5" s="31">
        <v>0.7</v>
      </c>
      <c r="Q5" s="31">
        <v>188</v>
      </c>
      <c r="R5" s="31">
        <v>22</v>
      </c>
      <c r="S5" s="31">
        <v>0.2</v>
      </c>
      <c r="T5" s="31">
        <v>10</v>
      </c>
      <c r="U5" s="31">
        <v>55</v>
      </c>
      <c r="V5" s="31">
        <v>0.09</v>
      </c>
      <c r="W5" s="31">
        <v>0.09</v>
      </c>
      <c r="X5" s="31">
        <v>0.1</v>
      </c>
      <c r="Y5" s="31">
        <v>0</v>
      </c>
      <c r="Z5" s="31">
        <v>0</v>
      </c>
      <c r="AA5" s="31">
        <v>0</v>
      </c>
      <c r="AB5" s="31">
        <v>36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100</v>
      </c>
      <c r="AJ5" s="13" t="str">
        <f xml:space="preserve"> IF(AD5&gt;F5,"Exceso en grasa saturada",IFERROR(IF(F5=0,"No tiene sello",IF((AD5*9)*100/F5&gt;10,"Exceso en grasa saturada","No tiene sello")),"No tiene sello"))</f>
        <v>No tiene sello</v>
      </c>
      <c r="AK5" s="13">
        <f>IF(AJ5="No tiene sello",0,1)</f>
        <v>0</v>
      </c>
      <c r="AL5" s="13" t="str">
        <f>IF(Q5&gt;=300,"Exceso en sodio",IFERROR(IF(AND(F5=0,Q5&gt;0),"No tiene sello",IF(Q5/F5&gt;1,"Exceso en sodio","No tiene sello")),"No tiene sello"))</f>
        <v>Exceso en sodio</v>
      </c>
      <c r="AM5" s="13" t="str">
        <f>IFERROR(IF(F5=0,"No tiene sello",IF(+(AG5/1000)*9*100/F5&gt;1,"Exceso en grasa trans", "No tiene sello")),"No tiene sello")</f>
        <v>No tiene sello</v>
      </c>
    </row>
    <row r="6" spans="1:39" ht="13.5" customHeight="1" x14ac:dyDescent="0.25">
      <c r="A6" s="26" t="s">
        <v>1595</v>
      </c>
      <c r="B6" s="26" t="s">
        <v>1596</v>
      </c>
      <c r="C6" s="27"/>
      <c r="D6" s="47">
        <v>100</v>
      </c>
      <c r="E6" s="28">
        <v>61.3</v>
      </c>
      <c r="F6" s="24">
        <v>156</v>
      </c>
      <c r="G6" s="28">
        <v>664</v>
      </c>
      <c r="H6" s="24">
        <v>3.4</v>
      </c>
      <c r="I6" s="24">
        <v>0.5</v>
      </c>
      <c r="J6" s="24">
        <v>34.5</v>
      </c>
      <c r="K6" s="28">
        <v>0</v>
      </c>
      <c r="L6" s="28">
        <v>5.17</v>
      </c>
      <c r="M6" s="24">
        <v>0</v>
      </c>
      <c r="N6" s="28">
        <v>0.3</v>
      </c>
      <c r="O6" s="25">
        <v>19</v>
      </c>
      <c r="P6" s="25">
        <v>0.5</v>
      </c>
      <c r="Q6" s="28">
        <v>0</v>
      </c>
      <c r="R6" s="25">
        <v>163</v>
      </c>
      <c r="S6" s="28">
        <v>0.2</v>
      </c>
      <c r="T6" s="28">
        <v>10</v>
      </c>
      <c r="U6" s="28">
        <v>33</v>
      </c>
      <c r="V6" s="28">
        <v>0.35</v>
      </c>
      <c r="W6" s="28">
        <v>0.05</v>
      </c>
      <c r="X6" s="28">
        <v>1.4</v>
      </c>
      <c r="Y6" s="28">
        <v>0</v>
      </c>
      <c r="Z6" s="28">
        <v>0</v>
      </c>
      <c r="AA6" s="25">
        <v>0</v>
      </c>
      <c r="AB6" s="25">
        <v>0</v>
      </c>
      <c r="AC6" s="25">
        <v>0</v>
      </c>
      <c r="AD6" s="28">
        <v>0</v>
      </c>
      <c r="AE6" s="28">
        <v>0</v>
      </c>
      <c r="AF6" s="28">
        <v>0</v>
      </c>
      <c r="AG6" s="28">
        <v>0</v>
      </c>
      <c r="AH6" s="24">
        <v>0</v>
      </c>
      <c r="AI6" s="28">
        <v>100</v>
      </c>
      <c r="AJ6" s="13" t="str">
        <f xml:space="preserve"> IF(AD6&gt;F6,"Exceso en grasa saturada",IFERROR(IF(F6=0,"No tiene sello",IF((AD6*9)*100/F6&gt;10,"Exceso en grasa saturada","No tiene sello")),"No tiene sello"))</f>
        <v>No tiene sello</v>
      </c>
      <c r="AK6" s="13">
        <f>IF(AJ6="No tiene sello",0,1)</f>
        <v>0</v>
      </c>
      <c r="AL6" s="13" t="str">
        <f>IF(Q6&gt;=300,"Exceso en sodio",IFERROR(IF(AND(F6=0,Q6&gt;0),"No tiene sello",IF(Q6/F6&gt;1,"Exceso en sodio","No tiene sello")),"No tiene sello"))</f>
        <v>No tiene sello</v>
      </c>
      <c r="AM6" s="13" t="str">
        <f>IFERROR(IF(F6=0,"No tiene sello",IF(+(AG6/1000)*9*100/F6&gt;1,"Exceso en grasa trans", "No tiene sello")),"No tiene sello")</f>
        <v>No tiene sello</v>
      </c>
    </row>
    <row r="7" spans="1:39" s="5" customFormat="1" ht="13.5" customHeight="1" x14ac:dyDescent="0.25">
      <c r="A7" s="20" t="s">
        <v>1593</v>
      </c>
      <c r="B7" s="32" t="s">
        <v>1594</v>
      </c>
      <c r="C7" s="21"/>
      <c r="D7" s="46">
        <v>100</v>
      </c>
      <c r="E7" s="23">
        <v>59.5</v>
      </c>
      <c r="F7" s="24">
        <v>162</v>
      </c>
      <c r="G7" s="23">
        <v>688</v>
      </c>
      <c r="H7" s="24">
        <v>4.0999999999999996</v>
      </c>
      <c r="I7" s="24">
        <v>0</v>
      </c>
      <c r="J7" s="24">
        <v>36.299999999999997</v>
      </c>
      <c r="K7" s="23">
        <v>0</v>
      </c>
      <c r="L7" s="23">
        <v>5.44</v>
      </c>
      <c r="M7" s="24">
        <v>0</v>
      </c>
      <c r="N7" s="23">
        <v>0.1</v>
      </c>
      <c r="O7" s="25">
        <v>3</v>
      </c>
      <c r="P7" s="25">
        <v>1.5</v>
      </c>
      <c r="Q7" s="23">
        <v>0</v>
      </c>
      <c r="R7" s="25">
        <v>50</v>
      </c>
      <c r="S7" s="23">
        <v>0</v>
      </c>
      <c r="T7" s="23">
        <v>20</v>
      </c>
      <c r="U7" s="23">
        <v>220</v>
      </c>
      <c r="V7" s="23">
        <v>0.03</v>
      </c>
      <c r="W7" s="23">
        <v>0.01</v>
      </c>
      <c r="X7" s="23">
        <v>0.1</v>
      </c>
      <c r="Y7" s="23">
        <v>0</v>
      </c>
      <c r="Z7" s="23">
        <v>0</v>
      </c>
      <c r="AA7" s="25">
        <v>0</v>
      </c>
      <c r="AB7" s="25">
        <v>0</v>
      </c>
      <c r="AC7" s="25">
        <v>0</v>
      </c>
      <c r="AD7" s="23">
        <v>0</v>
      </c>
      <c r="AE7" s="23">
        <v>0</v>
      </c>
      <c r="AF7" s="23">
        <v>0</v>
      </c>
      <c r="AG7" s="23">
        <v>0</v>
      </c>
      <c r="AH7" s="24">
        <v>0</v>
      </c>
      <c r="AI7" s="23">
        <v>100</v>
      </c>
      <c r="AJ7" s="13" t="str">
        <f xml:space="preserve"> IF(AD7&gt;F7,"Exceso en grasa saturada",IFERROR(IF(F7=0,"No tiene sello",IF((AD7*9)*100/F7&gt;10,"Exceso en grasa saturada","No tiene sello")),"No tiene sello"))</f>
        <v>No tiene sello</v>
      </c>
      <c r="AK7" s="13">
        <f>IF(AJ7="No tiene sello",0,1)</f>
        <v>0</v>
      </c>
      <c r="AL7" s="13" t="str">
        <f>IF(Q7&gt;=300,"Exceso en sodio",IFERROR(IF(AND(F7=0,Q7&gt;0),"No tiene sello",IF(Q7/F7&gt;1,"Exceso en sodio","No tiene sello")),"No tiene sello"))</f>
        <v>No tiene sello</v>
      </c>
      <c r="AM7" s="13" t="str">
        <f>IFERROR(IF(F7=0,"No tiene sello",IF(+(AG7/1000)*9*100/F7&gt;1,"Exceso en grasa trans", "No tiene sello")),"No tiene sello")</f>
        <v>No tiene sello</v>
      </c>
    </row>
    <row r="8" spans="1:39" ht="13.5" customHeight="1" x14ac:dyDescent="0.25">
      <c r="A8" s="33" t="s">
        <v>1591</v>
      </c>
      <c r="B8" s="33" t="s">
        <v>1592</v>
      </c>
      <c r="C8" s="34"/>
      <c r="D8" s="47">
        <v>100</v>
      </c>
      <c r="E8" s="35">
        <v>57.3</v>
      </c>
      <c r="F8" s="24">
        <v>211</v>
      </c>
      <c r="G8" s="35">
        <v>884</v>
      </c>
      <c r="H8" s="24">
        <v>4.8</v>
      </c>
      <c r="I8" s="24">
        <v>8.4</v>
      </c>
      <c r="J8" s="24">
        <v>29</v>
      </c>
      <c r="K8" s="35">
        <v>0</v>
      </c>
      <c r="L8" s="35">
        <v>4.3499999999999996</v>
      </c>
      <c r="M8" s="24">
        <v>0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  <c r="X8" s="35">
        <v>0</v>
      </c>
      <c r="Y8" s="35">
        <v>0</v>
      </c>
      <c r="Z8" s="35">
        <v>0</v>
      </c>
      <c r="AA8" s="35">
        <v>0</v>
      </c>
      <c r="AB8" s="35">
        <v>0</v>
      </c>
      <c r="AC8" s="35">
        <v>0.5</v>
      </c>
      <c r="AD8" s="35">
        <v>0</v>
      </c>
      <c r="AE8" s="35">
        <v>0</v>
      </c>
      <c r="AF8" s="35">
        <v>0</v>
      </c>
      <c r="AG8" s="35">
        <v>30</v>
      </c>
      <c r="AH8" s="35">
        <v>0</v>
      </c>
      <c r="AI8" s="35">
        <v>100</v>
      </c>
      <c r="AJ8" s="13" t="str">
        <f xml:space="preserve"> IF(AD8&gt;F8,"Exceso en grasa saturada",IFERROR(IF(F8=0,"No tiene sello",IF((AD8*9)*100/F8&gt;10,"Exceso en grasa saturada","No tiene sello")),"No tiene sello"))</f>
        <v>No tiene sello</v>
      </c>
      <c r="AK8" s="13">
        <f>IF(AJ8="No tiene sello",0,1)</f>
        <v>0</v>
      </c>
      <c r="AL8" s="13" t="str">
        <f>IF(Q8&gt;=300,"Exceso en sodio",IFERROR(IF(AND(F8=0,Q8&gt;0),"No tiene sello",IF(Q8/F8&gt;1,"Exceso en sodio","No tiene sello")),"No tiene sello"))</f>
        <v>No tiene sello</v>
      </c>
      <c r="AM8" s="13" t="str">
        <f>IFERROR(IF(F8=0,"No tiene sello",IF(+(AG8/1000)*9*100/F8&gt;1,"Exceso en grasa trans", "No tiene sello")),"No tiene sello")</f>
        <v>No tiene sello</v>
      </c>
    </row>
    <row r="9" spans="1:39" s="5" customFormat="1" ht="13.5" customHeight="1" x14ac:dyDescent="0.25">
      <c r="A9" s="20" t="s">
        <v>1589</v>
      </c>
      <c r="B9" s="20" t="s">
        <v>1590</v>
      </c>
      <c r="C9" s="21"/>
      <c r="D9" s="46">
        <v>100</v>
      </c>
      <c r="E9" s="23">
        <v>44.1</v>
      </c>
      <c r="F9" s="24">
        <v>325</v>
      </c>
      <c r="G9" s="23">
        <v>1355</v>
      </c>
      <c r="H9" s="24">
        <v>3.4</v>
      </c>
      <c r="I9" s="24">
        <v>20.3</v>
      </c>
      <c r="J9" s="24">
        <v>32.1</v>
      </c>
      <c r="K9" s="23">
        <v>0</v>
      </c>
      <c r="L9" s="23">
        <v>4.82</v>
      </c>
      <c r="M9" s="24">
        <v>0</v>
      </c>
      <c r="N9" s="23">
        <v>0.1</v>
      </c>
      <c r="O9" s="25">
        <v>2</v>
      </c>
      <c r="P9" s="25">
        <v>0.4</v>
      </c>
      <c r="Q9" s="23">
        <v>0</v>
      </c>
      <c r="R9" s="25">
        <v>18</v>
      </c>
      <c r="S9" s="23">
        <v>0</v>
      </c>
      <c r="T9" s="23">
        <v>0</v>
      </c>
      <c r="U9" s="23">
        <v>0</v>
      </c>
      <c r="V9" s="23">
        <v>0.02</v>
      </c>
      <c r="W9" s="23">
        <v>0.01</v>
      </c>
      <c r="X9" s="23">
        <v>0.1</v>
      </c>
      <c r="Y9" s="23">
        <v>0</v>
      </c>
      <c r="Z9" s="23">
        <v>0</v>
      </c>
      <c r="AA9" s="25">
        <v>0</v>
      </c>
      <c r="AB9" s="25">
        <v>0</v>
      </c>
      <c r="AC9" s="25">
        <v>0</v>
      </c>
      <c r="AD9" s="23">
        <v>0</v>
      </c>
      <c r="AE9" s="23">
        <v>0</v>
      </c>
      <c r="AF9" s="23">
        <v>0</v>
      </c>
      <c r="AG9" s="23">
        <v>80</v>
      </c>
      <c r="AH9" s="24">
        <v>0</v>
      </c>
      <c r="AI9" s="23">
        <v>100</v>
      </c>
      <c r="AJ9" s="13" t="str">
        <f xml:space="preserve"> IF(AD9&gt;F9,"Exceso en grasa saturada",IFERROR(IF(F9=0,"No tiene sello",IF((AD9*9)*100/F9&gt;10,"Exceso en grasa saturada","No tiene sello")),"No tiene sello"))</f>
        <v>No tiene sello</v>
      </c>
      <c r="AK9" s="13">
        <f>IF(AJ9="No tiene sello",0,1)</f>
        <v>0</v>
      </c>
      <c r="AL9" s="13" t="str">
        <f>IF(Q9&gt;=300,"Exceso en sodio",IFERROR(IF(AND(F9=0,Q9&gt;0),"No tiene sello",IF(Q9/F9&gt;1,"Exceso en sodio","No tiene sello")),"No tiene sello"))</f>
        <v>No tiene sello</v>
      </c>
      <c r="AM9" s="13" t="str">
        <f>IFERROR(IF(F9=0,"No tiene sello",IF(+(AG9/1000)*9*100/F9&gt;1,"Exceso en grasa trans", "No tiene sello")),"No tiene sello")</f>
        <v>No tiene sello</v>
      </c>
    </row>
    <row r="10" spans="1:39" ht="13.5" customHeight="1" x14ac:dyDescent="0.25">
      <c r="A10" s="33" t="s">
        <v>1587</v>
      </c>
      <c r="B10" s="33" t="s">
        <v>1588</v>
      </c>
      <c r="C10" s="33" t="s">
        <v>1567</v>
      </c>
      <c r="D10" s="47">
        <v>100</v>
      </c>
      <c r="E10" s="35">
        <v>62.9</v>
      </c>
      <c r="F10" s="24">
        <v>161</v>
      </c>
      <c r="G10" s="35">
        <v>683</v>
      </c>
      <c r="H10" s="24">
        <v>2.2999999999999998</v>
      </c>
      <c r="I10" s="24">
        <v>2.1</v>
      </c>
      <c r="J10" s="24">
        <v>32.5</v>
      </c>
      <c r="K10" s="35">
        <v>30.9</v>
      </c>
      <c r="L10" s="35">
        <v>0.2</v>
      </c>
      <c r="M10" s="24">
        <v>1.6</v>
      </c>
      <c r="N10" s="35">
        <v>0.1</v>
      </c>
      <c r="O10" s="35">
        <v>10</v>
      </c>
      <c r="P10" s="25">
        <v>0.2</v>
      </c>
      <c r="Q10" s="35">
        <v>4</v>
      </c>
      <c r="R10" s="35">
        <v>37</v>
      </c>
      <c r="S10" s="35">
        <v>0.7</v>
      </c>
      <c r="T10" s="35">
        <v>9</v>
      </c>
      <c r="U10" s="35">
        <v>34</v>
      </c>
      <c r="V10" s="35">
        <v>0.01</v>
      </c>
      <c r="W10" s="35">
        <v>0.02</v>
      </c>
      <c r="X10" s="35">
        <v>0.3</v>
      </c>
      <c r="Y10" s="35">
        <v>2</v>
      </c>
      <c r="Z10" s="35">
        <v>0</v>
      </c>
      <c r="AA10" s="35">
        <v>0</v>
      </c>
      <c r="AB10" s="35">
        <v>0</v>
      </c>
      <c r="AC10" s="35">
        <v>0</v>
      </c>
      <c r="AD10" s="35">
        <v>0.7</v>
      </c>
      <c r="AE10" s="35">
        <v>1.1000000000000001</v>
      </c>
      <c r="AF10" s="35">
        <v>0</v>
      </c>
      <c r="AG10" s="35">
        <v>0</v>
      </c>
      <c r="AH10" s="24">
        <v>0</v>
      </c>
      <c r="AI10" s="35">
        <v>100</v>
      </c>
      <c r="AJ10" s="13" t="str">
        <f xml:space="preserve"> IF(AD10&gt;F10,"Exceso en grasa saturada",IFERROR(IF(F10=0,"No tiene sello",IF((AD10*9)*100/F10&gt;10,"Exceso en grasa saturada","No tiene sello")),"No tiene sello"))</f>
        <v>No tiene sello</v>
      </c>
      <c r="AK10" s="13">
        <f>IF(AJ10="No tiene sello",0,1)</f>
        <v>0</v>
      </c>
      <c r="AL10" s="13" t="str">
        <f>IF(Q10&gt;=300,"Exceso en sodio",IFERROR(IF(AND(F10=0,Q10&gt;0),"No tiene sello",IF(Q10/F10&gt;1,"Exceso en sodio","No tiene sello")),"No tiene sello"))</f>
        <v>No tiene sello</v>
      </c>
      <c r="AM10" s="13" t="str">
        <f>IFERROR(IF(F10=0,"No tiene sello",IF(+(AG10/1000)*9*100/F10&gt;1,"Exceso en grasa trans", "No tiene sello")),"No tiene sello")</f>
        <v>No tiene sello</v>
      </c>
    </row>
    <row r="11" spans="1:39" ht="13.5" customHeight="1" x14ac:dyDescent="0.25">
      <c r="A11" s="20" t="s">
        <v>1585</v>
      </c>
      <c r="B11" s="20" t="s">
        <v>1586</v>
      </c>
      <c r="C11" s="20" t="s">
        <v>3</v>
      </c>
      <c r="D11" s="46">
        <v>100</v>
      </c>
      <c r="E11" s="23">
        <v>12.3</v>
      </c>
      <c r="F11" s="24">
        <v>353</v>
      </c>
      <c r="G11" s="23">
        <v>1498</v>
      </c>
      <c r="H11" s="24">
        <v>6.7</v>
      </c>
      <c r="I11" s="24">
        <v>0.4</v>
      </c>
      <c r="J11" s="24">
        <v>80.099999999999994</v>
      </c>
      <c r="K11" s="23">
        <v>79</v>
      </c>
      <c r="L11" s="23">
        <v>0.3</v>
      </c>
      <c r="M11" s="24">
        <v>1</v>
      </c>
      <c r="N11" s="23">
        <v>0.5</v>
      </c>
      <c r="O11" s="25">
        <v>9</v>
      </c>
      <c r="P11" s="25">
        <v>0.8</v>
      </c>
      <c r="Q11" s="23">
        <v>2</v>
      </c>
      <c r="R11" s="25">
        <v>140</v>
      </c>
      <c r="S11" s="23">
        <v>1.2</v>
      </c>
      <c r="T11" s="23">
        <v>35</v>
      </c>
      <c r="U11" s="23">
        <v>85</v>
      </c>
      <c r="V11" s="23">
        <v>7.0000000000000007E-2</v>
      </c>
      <c r="W11" s="23">
        <v>0.03</v>
      </c>
      <c r="X11" s="23">
        <v>1.8</v>
      </c>
      <c r="Y11" s="23">
        <v>9</v>
      </c>
      <c r="Z11" s="23">
        <v>0</v>
      </c>
      <c r="AA11" s="25">
        <v>0</v>
      </c>
      <c r="AB11" s="25">
        <v>0</v>
      </c>
      <c r="AC11" s="25">
        <v>0</v>
      </c>
      <c r="AD11" s="23">
        <v>0.2</v>
      </c>
      <c r="AE11" s="23">
        <v>0.2</v>
      </c>
      <c r="AF11" s="23">
        <v>0.2</v>
      </c>
      <c r="AG11" s="23">
        <v>0</v>
      </c>
      <c r="AH11" s="24">
        <v>0</v>
      </c>
      <c r="AI11" s="23">
        <v>100</v>
      </c>
      <c r="AJ11" s="13" t="str">
        <f xml:space="preserve"> IF(AD11&gt;F11,"Exceso en grasa saturada",IFERROR(IF(F11=0,"No tiene sello",IF((AD11*9)*100/F11&gt;10,"Exceso en grasa saturada","No tiene sello")),"No tiene sello"))</f>
        <v>No tiene sello</v>
      </c>
      <c r="AK11" s="13">
        <f>IF(AJ11="No tiene sello",0,1)</f>
        <v>0</v>
      </c>
      <c r="AL11" s="13" t="str">
        <f>IF(Q11&gt;=300,"Exceso en sodio",IFERROR(IF(AND(F11=0,Q11&gt;0),"No tiene sello",IF(Q11/F11&gt;1,"Exceso en sodio","No tiene sello")),"No tiene sello"))</f>
        <v>No tiene sello</v>
      </c>
      <c r="AM11" s="13" t="str">
        <f>IFERROR(IF(F11=0,"No tiene sello",IF(+(AG11/1000)*9*100/F11&gt;1,"Exceso en grasa trans", "No tiene sello")),"No tiene sello")</f>
        <v>No tiene sello</v>
      </c>
    </row>
    <row r="12" spans="1:39" ht="13.5" customHeight="1" x14ac:dyDescent="0.25">
      <c r="A12" s="26" t="s">
        <v>1583</v>
      </c>
      <c r="B12" s="26" t="s">
        <v>1584</v>
      </c>
      <c r="C12" s="26" t="s">
        <v>1567</v>
      </c>
      <c r="D12" s="47">
        <v>100</v>
      </c>
      <c r="E12" s="28">
        <v>11.5</v>
      </c>
      <c r="F12" s="24">
        <v>370</v>
      </c>
      <c r="G12" s="28">
        <v>1567</v>
      </c>
      <c r="H12" s="24">
        <v>7.5</v>
      </c>
      <c r="I12" s="24">
        <v>2.6</v>
      </c>
      <c r="J12" s="24">
        <v>77.3</v>
      </c>
      <c r="K12" s="28">
        <v>73.7</v>
      </c>
      <c r="L12" s="28">
        <v>0.4</v>
      </c>
      <c r="M12" s="24">
        <v>3.6</v>
      </c>
      <c r="N12" s="28">
        <v>1.1000000000000001</v>
      </c>
      <c r="O12" s="25">
        <v>28</v>
      </c>
      <c r="P12" s="25">
        <v>1.8</v>
      </c>
      <c r="Q12" s="28">
        <v>4</v>
      </c>
      <c r="R12" s="25">
        <v>278</v>
      </c>
      <c r="S12" s="28">
        <v>2</v>
      </c>
      <c r="T12" s="28">
        <v>143</v>
      </c>
      <c r="U12" s="28">
        <v>268</v>
      </c>
      <c r="V12" s="28">
        <v>0.4</v>
      </c>
      <c r="W12" s="28">
        <v>0.06</v>
      </c>
      <c r="X12" s="28">
        <v>5.3</v>
      </c>
      <c r="Y12" s="28">
        <v>20</v>
      </c>
      <c r="Z12" s="28">
        <v>0</v>
      </c>
      <c r="AA12" s="25">
        <v>0</v>
      </c>
      <c r="AB12" s="25">
        <v>0</v>
      </c>
      <c r="AC12" s="25">
        <v>0</v>
      </c>
      <c r="AD12" s="28">
        <v>0.5</v>
      </c>
      <c r="AE12" s="28">
        <v>0.9</v>
      </c>
      <c r="AF12" s="28">
        <v>0.9</v>
      </c>
      <c r="AG12" s="28">
        <v>0</v>
      </c>
      <c r="AH12" s="24">
        <v>0</v>
      </c>
      <c r="AI12" s="28">
        <v>100</v>
      </c>
      <c r="AJ12" s="13" t="str">
        <f xml:space="preserve"> IF(AD12&gt;F12,"Exceso en grasa saturada",IFERROR(IF(F12=0,"No tiene sello",IF((AD12*9)*100/F12&gt;10,"Exceso en grasa saturada","No tiene sello")),"No tiene sello"))</f>
        <v>No tiene sello</v>
      </c>
      <c r="AK12" s="13">
        <f>IF(AJ12="No tiene sello",0,1)</f>
        <v>0</v>
      </c>
      <c r="AL12" s="13" t="str">
        <f>IF(Q12&gt;=300,"Exceso en sodio",IFERROR(IF(AND(F12=0,Q12&gt;0),"No tiene sello",IF(Q12/F12&gt;1,"Exceso en sodio","No tiene sello")),"No tiene sello"))</f>
        <v>No tiene sello</v>
      </c>
      <c r="AM12" s="13" t="str">
        <f>IFERROR(IF(F12=0,"No tiene sello",IF(+(AG12/1000)*9*100/F12&gt;1,"Exceso en grasa trans", "No tiene sello")),"No tiene sello")</f>
        <v>No tiene sello</v>
      </c>
    </row>
    <row r="13" spans="1:39" ht="13.5" customHeight="1" x14ac:dyDescent="0.25">
      <c r="A13" s="20" t="s">
        <v>1581</v>
      </c>
      <c r="B13" s="20" t="s">
        <v>1582</v>
      </c>
      <c r="C13" s="20" t="s">
        <v>1567</v>
      </c>
      <c r="D13" s="46">
        <v>100</v>
      </c>
      <c r="E13" s="23">
        <v>10</v>
      </c>
      <c r="F13" s="24">
        <v>411</v>
      </c>
      <c r="G13" s="23">
        <v>1733</v>
      </c>
      <c r="H13" s="24">
        <v>16.899999999999999</v>
      </c>
      <c r="I13" s="24">
        <v>7.5</v>
      </c>
      <c r="J13" s="24">
        <v>64.099999999999994</v>
      </c>
      <c r="K13" s="23">
        <v>54.3</v>
      </c>
      <c r="L13" s="23">
        <v>0.8</v>
      </c>
      <c r="M13" s="24">
        <v>9.8000000000000007</v>
      </c>
      <c r="N13" s="23">
        <v>1.5</v>
      </c>
      <c r="O13" s="25">
        <v>54</v>
      </c>
      <c r="P13" s="25">
        <v>4.5</v>
      </c>
      <c r="Q13" s="23">
        <v>3</v>
      </c>
      <c r="R13" s="25">
        <v>320</v>
      </c>
      <c r="S13" s="23">
        <v>4</v>
      </c>
      <c r="T13" s="23">
        <v>155</v>
      </c>
      <c r="U13" s="23">
        <v>434</v>
      </c>
      <c r="V13" s="23">
        <v>0.72</v>
      </c>
      <c r="W13" s="23">
        <v>0.13</v>
      </c>
      <c r="X13" s="23">
        <v>1.6</v>
      </c>
      <c r="Y13" s="23">
        <v>57</v>
      </c>
      <c r="Z13" s="23">
        <v>0</v>
      </c>
      <c r="AA13" s="25">
        <v>0</v>
      </c>
      <c r="AB13" s="25">
        <v>0</v>
      </c>
      <c r="AC13" s="25">
        <v>0</v>
      </c>
      <c r="AD13" s="23">
        <v>1.3</v>
      </c>
      <c r="AE13" s="23">
        <v>2.4</v>
      </c>
      <c r="AF13" s="23">
        <v>2.6</v>
      </c>
      <c r="AG13" s="23">
        <v>0</v>
      </c>
      <c r="AH13" s="24">
        <v>0</v>
      </c>
      <c r="AI13" s="23">
        <v>100</v>
      </c>
      <c r="AJ13" s="13" t="str">
        <f xml:space="preserve"> IF(AD13&gt;F13,"Exceso en grasa saturada",IFERROR(IF(F13=0,"No tiene sello",IF((AD13*9)*100/F13&gt;10,"Exceso en grasa saturada","No tiene sello")),"No tiene sello"))</f>
        <v>No tiene sello</v>
      </c>
      <c r="AK13" s="13">
        <f>IF(AJ13="No tiene sello",0,1)</f>
        <v>0</v>
      </c>
      <c r="AL13" s="13" t="str">
        <f>IF(Q13&gt;=300,"Exceso en sodio",IFERROR(IF(AND(F13=0,Q13&gt;0),"No tiene sello",IF(Q13/F13&gt;1,"Exceso en sodio","No tiene sello")),"No tiene sello"))</f>
        <v>No tiene sello</v>
      </c>
      <c r="AM13" s="13" t="str">
        <f>IFERROR(IF(F13=0,"No tiene sello",IF(+(AG13/1000)*9*100/F13&gt;1,"Exceso en grasa trans", "No tiene sello")),"No tiene sello")</f>
        <v>No tiene sello</v>
      </c>
    </row>
    <row r="14" spans="1:39" ht="13.5" customHeight="1" x14ac:dyDescent="0.25">
      <c r="A14" s="26" t="s">
        <v>1579</v>
      </c>
      <c r="B14" s="26" t="s">
        <v>1580</v>
      </c>
      <c r="C14" s="27"/>
      <c r="D14" s="47">
        <v>100</v>
      </c>
      <c r="E14" s="28">
        <v>13.6</v>
      </c>
      <c r="F14" s="24">
        <v>427</v>
      </c>
      <c r="G14" s="28">
        <v>1792</v>
      </c>
      <c r="H14" s="24">
        <v>4.8</v>
      </c>
      <c r="I14" s="24">
        <v>16.3</v>
      </c>
      <c r="J14" s="24">
        <v>64.2</v>
      </c>
      <c r="K14" s="28">
        <v>62.1</v>
      </c>
      <c r="L14" s="28">
        <v>38.5</v>
      </c>
      <c r="M14" s="24">
        <v>2.1</v>
      </c>
      <c r="N14" s="28">
        <v>1.1000000000000001</v>
      </c>
      <c r="O14" s="25">
        <v>29</v>
      </c>
      <c r="P14" s="25">
        <v>2.2000000000000002</v>
      </c>
      <c r="Q14" s="28">
        <v>286</v>
      </c>
      <c r="R14" s="25">
        <v>101</v>
      </c>
      <c r="S14" s="28">
        <v>0.7</v>
      </c>
      <c r="T14" s="28">
        <v>31</v>
      </c>
      <c r="U14" s="28">
        <v>149</v>
      </c>
      <c r="V14" s="28">
        <v>0.26</v>
      </c>
      <c r="W14" s="28">
        <v>0.21</v>
      </c>
      <c r="X14" s="28">
        <v>1.7</v>
      </c>
      <c r="Y14" s="28">
        <v>47</v>
      </c>
      <c r="Z14" s="28">
        <v>7.0000000000000007E-2</v>
      </c>
      <c r="AA14" s="25">
        <v>0</v>
      </c>
      <c r="AB14" s="25">
        <v>20</v>
      </c>
      <c r="AC14" s="25">
        <v>0</v>
      </c>
      <c r="AD14" s="28">
        <v>4.2</v>
      </c>
      <c r="AE14" s="28">
        <v>9</v>
      </c>
      <c r="AF14" s="28">
        <v>2.2999999999999998</v>
      </c>
      <c r="AG14" s="28">
        <v>95</v>
      </c>
      <c r="AH14" s="24">
        <v>17</v>
      </c>
      <c r="AI14" s="28">
        <v>100</v>
      </c>
      <c r="AJ14" s="13" t="str">
        <f xml:space="preserve"> IF(AD14&gt;F14,"Exceso en grasa saturada",IFERROR(IF(F14=0,"No tiene sello",IF((AD14*9)*100/F14&gt;10,"Exceso en grasa saturada","No tiene sello")),"No tiene sello"))</f>
        <v>No tiene sello</v>
      </c>
      <c r="AK14" s="13">
        <f>IF(AJ14="No tiene sello",0,1)</f>
        <v>0</v>
      </c>
      <c r="AL14" s="13" t="str">
        <f>IF(Q14&gt;=300,"Exceso en sodio",IFERROR(IF(AND(F14=0,Q14&gt;0),"No tiene sello",IF(Q14/F14&gt;1,"Exceso en sodio","No tiene sello")),"No tiene sello"))</f>
        <v>No tiene sello</v>
      </c>
      <c r="AM14" s="13" t="str">
        <f>IFERROR(IF(F14=0,"No tiene sello",IF(+(AG14/1000)*9*100/F14&gt;1,"Exceso en grasa trans", "No tiene sello")),"No tiene sello")</f>
        <v>No tiene sello</v>
      </c>
    </row>
    <row r="15" spans="1:39" s="5" customFormat="1" ht="13.5" customHeight="1" x14ac:dyDescent="0.25">
      <c r="A15" s="20" t="s">
        <v>1577</v>
      </c>
      <c r="B15" s="20" t="s">
        <v>1578</v>
      </c>
      <c r="C15" s="21"/>
      <c r="D15" s="46">
        <v>100</v>
      </c>
      <c r="E15" s="23">
        <v>12.4</v>
      </c>
      <c r="F15" s="24">
        <v>385</v>
      </c>
      <c r="G15" s="23">
        <v>1627</v>
      </c>
      <c r="H15" s="24">
        <v>12.5</v>
      </c>
      <c r="I15" s="24">
        <v>1.8</v>
      </c>
      <c r="J15" s="24">
        <v>72.099999999999994</v>
      </c>
      <c r="K15" s="23">
        <v>56.7</v>
      </c>
      <c r="L15" s="23">
        <v>0.5</v>
      </c>
      <c r="M15" s="24">
        <v>15.4</v>
      </c>
      <c r="N15" s="23">
        <v>1.2</v>
      </c>
      <c r="O15" s="25">
        <v>36</v>
      </c>
      <c r="P15" s="25">
        <v>2.7</v>
      </c>
      <c r="Q15" s="23">
        <v>7</v>
      </c>
      <c r="R15" s="25">
        <v>214</v>
      </c>
      <c r="S15" s="23">
        <v>2.1</v>
      </c>
      <c r="T15" s="23">
        <v>79</v>
      </c>
      <c r="U15" s="23">
        <v>278</v>
      </c>
      <c r="V15" s="23">
        <v>0.37</v>
      </c>
      <c r="W15" s="23">
        <v>0.08</v>
      </c>
      <c r="X15" s="23">
        <v>5.3</v>
      </c>
      <c r="Y15" s="23">
        <v>23</v>
      </c>
      <c r="Z15" s="23">
        <v>0</v>
      </c>
      <c r="AA15" s="25">
        <v>0</v>
      </c>
      <c r="AB15" s="25">
        <v>0</v>
      </c>
      <c r="AC15" s="25">
        <v>0</v>
      </c>
      <c r="AD15" s="23">
        <v>0.3</v>
      </c>
      <c r="AE15" s="23">
        <v>0.2</v>
      </c>
      <c r="AF15" s="23">
        <v>0.6</v>
      </c>
      <c r="AG15" s="23">
        <v>0</v>
      </c>
      <c r="AH15" s="24">
        <v>0</v>
      </c>
      <c r="AI15" s="23">
        <v>100</v>
      </c>
      <c r="AJ15" s="13" t="str">
        <f xml:space="preserve"> IF(AD15&gt;F15,"Exceso en grasa saturada",IFERROR(IF(F15=0,"No tiene sello",IF((AD15*9)*100/F15&gt;10,"Exceso en grasa saturada","No tiene sello")),"No tiene sello"))</f>
        <v>No tiene sello</v>
      </c>
      <c r="AK15" s="13">
        <f>IF(AJ15="No tiene sello",0,1)</f>
        <v>0</v>
      </c>
      <c r="AL15" s="13" t="str">
        <f>IF(Q15&gt;=300,"Exceso en sodio",IFERROR(IF(AND(F15=0,Q15&gt;0),"No tiene sello",IF(Q15/F15&gt;1,"Exceso en sodio","No tiene sello")),"No tiene sello"))</f>
        <v>No tiene sello</v>
      </c>
      <c r="AM15" s="13" t="str">
        <f>IFERROR(IF(F15=0,"No tiene sello",IF(+(AG15/1000)*9*100/F15&gt;1,"Exceso en grasa trans", "No tiene sello")),"No tiene sello")</f>
        <v>No tiene sello</v>
      </c>
    </row>
    <row r="16" spans="1:39" ht="13.5" customHeight="1" x14ac:dyDescent="0.25">
      <c r="A16" s="33" t="s">
        <v>1575</v>
      </c>
      <c r="B16" s="33" t="s">
        <v>1576</v>
      </c>
      <c r="C16" s="34"/>
      <c r="D16" s="47">
        <v>100</v>
      </c>
      <c r="E16" s="35">
        <v>3.6</v>
      </c>
      <c r="F16" s="24">
        <v>383</v>
      </c>
      <c r="G16" s="35">
        <v>1624</v>
      </c>
      <c r="H16" s="24">
        <v>8.1</v>
      </c>
      <c r="I16" s="24">
        <v>0.4</v>
      </c>
      <c r="J16" s="24">
        <v>85</v>
      </c>
      <c r="K16" s="35">
        <v>81.7</v>
      </c>
      <c r="L16" s="35">
        <v>1</v>
      </c>
      <c r="M16" s="24">
        <v>3.3</v>
      </c>
      <c r="N16" s="35">
        <v>2.9</v>
      </c>
      <c r="O16" s="25">
        <v>5</v>
      </c>
      <c r="P16" s="25">
        <v>7.9</v>
      </c>
      <c r="Q16" s="35">
        <v>680</v>
      </c>
      <c r="R16" s="25">
        <v>58</v>
      </c>
      <c r="S16" s="35">
        <v>0.4</v>
      </c>
      <c r="T16" s="35">
        <v>10</v>
      </c>
      <c r="U16" s="35">
        <v>92</v>
      </c>
      <c r="V16" s="35">
        <v>1.76</v>
      </c>
      <c r="W16" s="35">
        <v>1.78</v>
      </c>
      <c r="X16" s="35">
        <v>14.1</v>
      </c>
      <c r="Y16" s="35">
        <v>333</v>
      </c>
      <c r="Z16" s="35">
        <v>3.84</v>
      </c>
      <c r="AA16" s="25">
        <v>0</v>
      </c>
      <c r="AB16" s="25">
        <v>0</v>
      </c>
      <c r="AC16" s="25">
        <v>2</v>
      </c>
      <c r="AD16" s="35">
        <v>0.2</v>
      </c>
      <c r="AE16" s="35">
        <v>0.2</v>
      </c>
      <c r="AF16" s="35">
        <v>0.3</v>
      </c>
      <c r="AG16" s="35">
        <v>0</v>
      </c>
      <c r="AH16" s="24">
        <v>0</v>
      </c>
      <c r="AI16" s="35">
        <v>100</v>
      </c>
      <c r="AJ16" s="13" t="str">
        <f xml:space="preserve"> IF(AD16&gt;F16,"Exceso en grasa saturada",IFERROR(IF(F16=0,"No tiene sello",IF((AD16*9)*100/F16&gt;10,"Exceso en grasa saturada","No tiene sello")),"No tiene sello"))</f>
        <v>No tiene sello</v>
      </c>
      <c r="AK16" s="13">
        <f>IF(AJ16="No tiene sello",0,1)</f>
        <v>0</v>
      </c>
      <c r="AL16" s="13" t="str">
        <f>IF(Q16&gt;=300,"Exceso en sodio",IFERROR(IF(AND(F16=0,Q16&gt;0),"No tiene sello",IF(Q16/F16&gt;1,"Exceso en sodio","No tiene sello")),"No tiene sello"))</f>
        <v>Exceso en sodio</v>
      </c>
      <c r="AM16" s="13" t="str">
        <f>IFERROR(IF(F16=0,"No tiene sello",IF(+(AG16/1000)*9*100/F16&gt;1,"Exceso en grasa trans", "No tiene sello")),"No tiene sello")</f>
        <v>No tiene sello</v>
      </c>
    </row>
    <row r="17" spans="1:39" ht="13.5" customHeight="1" x14ac:dyDescent="0.25">
      <c r="A17" s="20" t="s">
        <v>1573</v>
      </c>
      <c r="B17" s="20" t="s">
        <v>1574</v>
      </c>
      <c r="C17" s="21"/>
      <c r="D17" s="46">
        <v>100</v>
      </c>
      <c r="E17" s="23">
        <v>17</v>
      </c>
      <c r="F17" s="24">
        <v>445</v>
      </c>
      <c r="G17" s="23">
        <v>1860</v>
      </c>
      <c r="H17" s="24">
        <v>9.1999999999999993</v>
      </c>
      <c r="I17" s="24">
        <v>23</v>
      </c>
      <c r="J17" s="24">
        <v>48.9</v>
      </c>
      <c r="K17" s="23">
        <v>46.3</v>
      </c>
      <c r="L17" s="23">
        <v>4.8899999999999997</v>
      </c>
      <c r="M17" s="24">
        <v>2.6</v>
      </c>
      <c r="N17" s="23">
        <v>1.9</v>
      </c>
      <c r="O17" s="25">
        <v>48</v>
      </c>
      <c r="P17" s="25">
        <v>1.6</v>
      </c>
      <c r="Q17" s="23">
        <v>423</v>
      </c>
      <c r="R17" s="25">
        <v>111</v>
      </c>
      <c r="S17" s="23">
        <v>0.8</v>
      </c>
      <c r="T17" s="23">
        <v>20</v>
      </c>
      <c r="U17" s="23">
        <v>134</v>
      </c>
      <c r="V17" s="23">
        <v>0.52</v>
      </c>
      <c r="W17" s="23">
        <v>0.21</v>
      </c>
      <c r="X17" s="23">
        <v>2</v>
      </c>
      <c r="Y17" s="23">
        <v>68</v>
      </c>
      <c r="Z17" s="23">
        <v>0.32</v>
      </c>
      <c r="AA17" s="25">
        <v>0</v>
      </c>
      <c r="AB17" s="25">
        <v>227</v>
      </c>
      <c r="AC17" s="25">
        <v>0</v>
      </c>
      <c r="AD17" s="23">
        <v>10.199999999999999</v>
      </c>
      <c r="AE17" s="23">
        <v>5.9</v>
      </c>
      <c r="AF17" s="23">
        <v>1.6</v>
      </c>
      <c r="AG17" s="23">
        <v>120</v>
      </c>
      <c r="AH17" s="24">
        <v>53</v>
      </c>
      <c r="AI17" s="23">
        <v>100</v>
      </c>
      <c r="AJ17" s="13" t="str">
        <f xml:space="preserve"> IF(AD17&gt;F17,"Exceso en grasa saturada",IFERROR(IF(F17=0,"No tiene sello",IF((AD17*9)*100/F17&gt;10,"Exceso en grasa saturada","No tiene sello")),"No tiene sello"))</f>
        <v>Exceso en grasa saturada</v>
      </c>
      <c r="AK17" s="13">
        <f>IF(AJ17="No tiene sello",0,1)</f>
        <v>1</v>
      </c>
      <c r="AL17" s="13" t="str">
        <f>IF(Q17&gt;=300,"Exceso en sodio",IFERROR(IF(AND(F17=0,Q17&gt;0),"No tiene sello",IF(Q17/F17&gt;1,"Exceso en sodio","No tiene sello")),"No tiene sello"))</f>
        <v>Exceso en sodio</v>
      </c>
      <c r="AM17" s="13" t="str">
        <f>IFERROR(IF(F17=0,"No tiene sello",IF(+(AG17/1000)*9*100/F17&gt;1,"Exceso en grasa trans", "No tiene sello")),"No tiene sello")</f>
        <v>No tiene sello</v>
      </c>
    </row>
    <row r="18" spans="1:39" ht="13.5" customHeight="1" x14ac:dyDescent="0.25">
      <c r="A18" s="26" t="s">
        <v>1571</v>
      </c>
      <c r="B18" s="26" t="s">
        <v>1572</v>
      </c>
      <c r="C18" s="27"/>
      <c r="D18" s="47">
        <v>100</v>
      </c>
      <c r="E18" s="28">
        <v>10.199999999999999</v>
      </c>
      <c r="F18" s="24">
        <v>358</v>
      </c>
      <c r="G18" s="28">
        <v>1518</v>
      </c>
      <c r="H18" s="24">
        <v>8.4</v>
      </c>
      <c r="I18" s="24">
        <v>0.7</v>
      </c>
      <c r="J18" s="24">
        <v>79.400000000000006</v>
      </c>
      <c r="K18" s="28">
        <v>0</v>
      </c>
      <c r="L18" s="28">
        <v>0.5</v>
      </c>
      <c r="M18" s="24">
        <v>0</v>
      </c>
      <c r="N18" s="28">
        <v>1.3</v>
      </c>
      <c r="O18" s="25">
        <v>36</v>
      </c>
      <c r="P18" s="25">
        <v>1.7</v>
      </c>
      <c r="Q18" s="28">
        <v>0</v>
      </c>
      <c r="R18" s="25">
        <v>480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5">
        <v>0</v>
      </c>
      <c r="AB18" s="25">
        <v>0</v>
      </c>
      <c r="AC18" s="25">
        <v>0</v>
      </c>
      <c r="AD18" s="28">
        <v>0</v>
      </c>
      <c r="AE18" s="28">
        <v>0</v>
      </c>
      <c r="AF18" s="28">
        <v>0</v>
      </c>
      <c r="AG18" s="28">
        <v>0</v>
      </c>
      <c r="AH18" s="24">
        <v>0</v>
      </c>
      <c r="AI18" s="28">
        <v>100</v>
      </c>
      <c r="AJ18" s="13" t="str">
        <f xml:space="preserve"> IF(AD18&gt;F18,"Exceso en grasa saturada",IFERROR(IF(F18=0,"No tiene sello",IF((AD18*9)*100/F18&gt;10,"Exceso en grasa saturada","No tiene sello")),"No tiene sello"))</f>
        <v>No tiene sello</v>
      </c>
      <c r="AK18" s="13">
        <f>IF(AJ18="No tiene sello",0,1)</f>
        <v>0</v>
      </c>
      <c r="AL18" s="13" t="str">
        <f>IF(Q18&gt;=300,"Exceso en sodio",IFERROR(IF(AND(F18=0,Q18&gt;0),"No tiene sello",IF(Q18/F18&gt;1,"Exceso en sodio","No tiene sello")),"No tiene sello"))</f>
        <v>No tiene sello</v>
      </c>
      <c r="AM18" s="13" t="str">
        <f>IFERROR(IF(F18=0,"No tiene sello",IF(+(AG18/1000)*9*100/F18&gt;1,"Exceso en grasa trans", "No tiene sello")),"No tiene sello")</f>
        <v>No tiene sello</v>
      </c>
    </row>
    <row r="19" spans="1:39" ht="13.5" customHeight="1" x14ac:dyDescent="0.25">
      <c r="A19" s="20" t="s">
        <v>1569</v>
      </c>
      <c r="B19" s="20" t="s">
        <v>1570</v>
      </c>
      <c r="C19" s="20" t="s">
        <v>1567</v>
      </c>
      <c r="D19" s="46">
        <v>100</v>
      </c>
      <c r="E19" s="23">
        <v>10.5</v>
      </c>
      <c r="F19" s="24">
        <v>358</v>
      </c>
      <c r="G19" s="23">
        <v>1520</v>
      </c>
      <c r="H19" s="24">
        <v>12.8</v>
      </c>
      <c r="I19" s="24">
        <v>1.2</v>
      </c>
      <c r="J19" s="24">
        <v>74</v>
      </c>
      <c r="K19" s="23">
        <v>0</v>
      </c>
      <c r="L19" s="23">
        <v>0.5</v>
      </c>
      <c r="M19" s="24">
        <v>0</v>
      </c>
      <c r="N19" s="23">
        <v>1.5</v>
      </c>
      <c r="O19" s="25">
        <v>50</v>
      </c>
      <c r="P19" s="25">
        <v>4.3</v>
      </c>
      <c r="Q19" s="23">
        <v>0</v>
      </c>
      <c r="R19" s="25">
        <v>330</v>
      </c>
      <c r="S19" s="23">
        <v>0</v>
      </c>
      <c r="T19" s="23">
        <v>0</v>
      </c>
      <c r="U19" s="23">
        <v>0</v>
      </c>
      <c r="V19" s="23">
        <v>0.98</v>
      </c>
      <c r="W19" s="23">
        <v>0.21</v>
      </c>
      <c r="X19" s="23">
        <v>2.5</v>
      </c>
      <c r="Y19" s="23">
        <v>0</v>
      </c>
      <c r="Z19" s="23">
        <v>0</v>
      </c>
      <c r="AA19" s="25">
        <v>0</v>
      </c>
      <c r="AB19" s="25">
        <v>0</v>
      </c>
      <c r="AC19" s="25">
        <v>0</v>
      </c>
      <c r="AD19" s="23">
        <v>0</v>
      </c>
      <c r="AE19" s="23">
        <v>0</v>
      </c>
      <c r="AF19" s="23">
        <v>0</v>
      </c>
      <c r="AG19" s="23">
        <v>0</v>
      </c>
      <c r="AH19" s="24">
        <v>0</v>
      </c>
      <c r="AI19" s="23">
        <v>100</v>
      </c>
      <c r="AJ19" s="13" t="str">
        <f xml:space="preserve"> IF(AD19&gt;F19,"Exceso en grasa saturada",IFERROR(IF(F19=0,"No tiene sello",IF((AD19*9)*100/F19&gt;10,"Exceso en grasa saturada","No tiene sello")),"No tiene sello"))</f>
        <v>No tiene sello</v>
      </c>
      <c r="AK19" s="13">
        <f>IF(AJ19="No tiene sello",0,1)</f>
        <v>0</v>
      </c>
      <c r="AL19" s="13" t="str">
        <f>IF(Q19&gt;=300,"Exceso en sodio",IFERROR(IF(AND(F19=0,Q19&gt;0),"No tiene sello",IF(Q19/F19&gt;1,"Exceso en sodio","No tiene sello")),"No tiene sello"))</f>
        <v>No tiene sello</v>
      </c>
      <c r="AM19" s="13" t="str">
        <f>IFERROR(IF(F19=0,"No tiene sello",IF(+(AG19/1000)*9*100/F19&gt;1,"Exceso en grasa trans", "No tiene sello")),"No tiene sello")</f>
        <v>No tiene sello</v>
      </c>
    </row>
    <row r="20" spans="1:39" ht="13.5" customHeight="1" x14ac:dyDescent="0.25">
      <c r="A20" s="26" t="s">
        <v>1566</v>
      </c>
      <c r="B20" s="26" t="s">
        <v>1568</v>
      </c>
      <c r="C20" s="26" t="s">
        <v>1567</v>
      </c>
      <c r="D20" s="47">
        <v>100</v>
      </c>
      <c r="E20" s="28">
        <v>63</v>
      </c>
      <c r="F20" s="24">
        <v>185</v>
      </c>
      <c r="G20" s="28">
        <v>780</v>
      </c>
      <c r="H20" s="24">
        <v>4.8</v>
      </c>
      <c r="I20" s="24">
        <v>7.9</v>
      </c>
      <c r="J20" s="24">
        <v>23.5</v>
      </c>
      <c r="K20" s="28">
        <v>22.7</v>
      </c>
      <c r="L20" s="28">
        <v>2.35</v>
      </c>
      <c r="M20" s="24">
        <v>0.8</v>
      </c>
      <c r="N20" s="28">
        <v>0.8</v>
      </c>
      <c r="O20" s="25">
        <v>104</v>
      </c>
      <c r="P20" s="25">
        <v>0.2</v>
      </c>
      <c r="Q20" s="28">
        <v>132</v>
      </c>
      <c r="R20" s="25">
        <v>70</v>
      </c>
      <c r="S20" s="28">
        <v>0.4</v>
      </c>
      <c r="T20" s="28">
        <v>15</v>
      </c>
      <c r="U20" s="28">
        <v>125</v>
      </c>
      <c r="V20" s="28">
        <v>0.12</v>
      </c>
      <c r="W20" s="28">
        <v>0.05</v>
      </c>
      <c r="X20" s="28">
        <v>1</v>
      </c>
      <c r="Y20" s="28">
        <v>0</v>
      </c>
      <c r="Z20" s="28">
        <v>0</v>
      </c>
      <c r="AA20" s="25">
        <v>5</v>
      </c>
      <c r="AB20" s="25">
        <v>5</v>
      </c>
      <c r="AC20" s="25">
        <v>0</v>
      </c>
      <c r="AD20" s="28">
        <v>0.5</v>
      </c>
      <c r="AE20" s="28">
        <v>0.7</v>
      </c>
      <c r="AF20" s="28">
        <v>1.4</v>
      </c>
      <c r="AG20" s="28">
        <v>0</v>
      </c>
      <c r="AH20" s="24">
        <v>0</v>
      </c>
      <c r="AI20" s="28">
        <v>100</v>
      </c>
      <c r="AJ20" s="13" t="str">
        <f xml:space="preserve"> IF(AD20&gt;F20,"Exceso en grasa saturada",IFERROR(IF(F20=0,"No tiene sello",IF((AD20*9)*100/F20&gt;10,"Exceso en grasa saturada","No tiene sello")),"No tiene sello"))</f>
        <v>No tiene sello</v>
      </c>
      <c r="AK20" s="13">
        <f>IF(AJ20="No tiene sello",0,1)</f>
        <v>0</v>
      </c>
      <c r="AL20" s="13" t="str">
        <f>IF(Q20&gt;=300,"Exceso en sodio",IFERROR(IF(AND(F20=0,Q20&gt;0),"No tiene sello",IF(Q20/F20&gt;1,"Exceso en sodio","No tiene sello")),"No tiene sello"))</f>
        <v>No tiene sello</v>
      </c>
      <c r="AM20" s="13" t="str">
        <f>IFERROR(IF(F20=0,"No tiene sello",IF(+(AG20/1000)*9*100/F20&gt;1,"Exceso en grasa trans", "No tiene sello")),"No tiene sello")</f>
        <v>No tiene sello</v>
      </c>
    </row>
    <row r="21" spans="1:39" s="5" customFormat="1" ht="13.5" customHeight="1" x14ac:dyDescent="0.25">
      <c r="A21" s="20" t="s">
        <v>1564</v>
      </c>
      <c r="B21" s="20" t="s">
        <v>1565</v>
      </c>
      <c r="C21" s="21"/>
      <c r="D21" s="46">
        <v>100</v>
      </c>
      <c r="E21" s="23">
        <v>1.2</v>
      </c>
      <c r="F21" s="24">
        <v>516</v>
      </c>
      <c r="G21" s="23">
        <v>2161</v>
      </c>
      <c r="H21" s="24">
        <v>3.8</v>
      </c>
      <c r="I21" s="24">
        <v>24.1</v>
      </c>
      <c r="J21" s="24">
        <v>70.099999999999994</v>
      </c>
      <c r="K21" s="23">
        <v>68.599999999999994</v>
      </c>
      <c r="L21" s="23">
        <v>56.08</v>
      </c>
      <c r="M21" s="24">
        <v>1.6</v>
      </c>
      <c r="N21" s="23">
        <v>0.8</v>
      </c>
      <c r="O21" s="25">
        <v>36</v>
      </c>
      <c r="P21" s="25">
        <v>3.6</v>
      </c>
      <c r="Q21" s="23">
        <v>103</v>
      </c>
      <c r="R21" s="25">
        <v>74</v>
      </c>
      <c r="S21" s="23">
        <v>0.4</v>
      </c>
      <c r="T21" s="23">
        <v>16</v>
      </c>
      <c r="U21" s="23">
        <v>126</v>
      </c>
      <c r="V21" s="23">
        <v>0.08</v>
      </c>
      <c r="W21" s="23">
        <v>0.13</v>
      </c>
      <c r="X21" s="23">
        <v>2.2999999999999998</v>
      </c>
      <c r="Y21" s="23">
        <v>78</v>
      </c>
      <c r="Z21" s="23">
        <v>0</v>
      </c>
      <c r="AA21" s="25">
        <v>0</v>
      </c>
      <c r="AB21" s="25">
        <v>0</v>
      </c>
      <c r="AC21" s="25">
        <v>0</v>
      </c>
      <c r="AD21" s="23">
        <v>12.3</v>
      </c>
      <c r="AE21" s="23">
        <v>7.6</v>
      </c>
      <c r="AF21" s="23">
        <v>3</v>
      </c>
      <c r="AG21" s="23">
        <v>110</v>
      </c>
      <c r="AH21" s="24">
        <v>0</v>
      </c>
      <c r="AI21" s="23">
        <v>100</v>
      </c>
      <c r="AJ21" s="13" t="str">
        <f xml:space="preserve"> IF(AD21&gt;F21,"Exceso en grasa saturada",IFERROR(IF(F21=0,"No tiene sello",IF((AD21*9)*100/F21&gt;10,"Exceso en grasa saturada","No tiene sello")),"No tiene sello"))</f>
        <v>Exceso en grasa saturada</v>
      </c>
      <c r="AK21" s="13">
        <f>IF(AJ21="No tiene sello",0,1)</f>
        <v>1</v>
      </c>
      <c r="AL21" s="13" t="str">
        <f>IF(Q21&gt;=300,"Exceso en sodio",IFERROR(IF(AND(F21=0,Q21&gt;0),"No tiene sello",IF(Q21/F21&gt;1,"Exceso en sodio","No tiene sello")),"No tiene sello"))</f>
        <v>No tiene sello</v>
      </c>
      <c r="AM21" s="13" t="str">
        <f>IFERROR(IF(F21=0,"No tiene sello",IF(+(AG21/1000)*9*100/F21&gt;1,"Exceso en grasa trans", "No tiene sello")),"No tiene sello")</f>
        <v>No tiene sello</v>
      </c>
    </row>
    <row r="22" spans="1:39" ht="13.5" customHeight="1" x14ac:dyDescent="0.25">
      <c r="A22" s="33" t="s">
        <v>1562</v>
      </c>
      <c r="B22" s="33" t="s">
        <v>1563</v>
      </c>
      <c r="C22" s="34"/>
      <c r="D22" s="47">
        <v>100</v>
      </c>
      <c r="E22" s="35">
        <v>5.4</v>
      </c>
      <c r="F22" s="24">
        <v>390</v>
      </c>
      <c r="G22" s="35">
        <v>1655</v>
      </c>
      <c r="H22" s="24">
        <v>7.6</v>
      </c>
      <c r="I22" s="24">
        <v>3</v>
      </c>
      <c r="J22" s="24">
        <v>83.2</v>
      </c>
      <c r="K22" s="35">
        <v>0</v>
      </c>
      <c r="L22" s="35">
        <v>12.48</v>
      </c>
      <c r="M22" s="24">
        <v>0</v>
      </c>
      <c r="N22" s="35">
        <v>0.8</v>
      </c>
      <c r="O22" s="35">
        <v>8</v>
      </c>
      <c r="P22" s="35">
        <v>0.4</v>
      </c>
      <c r="Q22" s="35">
        <v>0</v>
      </c>
      <c r="R22" s="35">
        <v>54</v>
      </c>
      <c r="S22" s="35">
        <v>0</v>
      </c>
      <c r="T22" s="35">
        <v>0</v>
      </c>
      <c r="U22" s="35">
        <v>0</v>
      </c>
      <c r="V22" s="35">
        <v>0.04</v>
      </c>
      <c r="W22" s="35">
        <v>0.03</v>
      </c>
      <c r="X22" s="35">
        <v>0.3</v>
      </c>
      <c r="Y22" s="35">
        <v>0</v>
      </c>
      <c r="Z22" s="35">
        <v>0</v>
      </c>
      <c r="AA22" s="35">
        <v>0</v>
      </c>
      <c r="AB22" s="35">
        <v>0</v>
      </c>
      <c r="AC22" s="35">
        <v>0</v>
      </c>
      <c r="AD22" s="35">
        <v>0</v>
      </c>
      <c r="AE22" s="35">
        <v>0</v>
      </c>
      <c r="AF22" s="35">
        <v>0</v>
      </c>
      <c r="AG22" s="35">
        <v>75</v>
      </c>
      <c r="AH22" s="35">
        <v>0</v>
      </c>
      <c r="AI22" s="35">
        <v>100</v>
      </c>
      <c r="AJ22" s="13" t="str">
        <f xml:space="preserve"> IF(AD22&gt;F22,"Exceso en grasa saturada",IFERROR(IF(F22=0,"No tiene sello",IF((AD22*9)*100/F22&gt;10,"Exceso en grasa saturada","No tiene sello")),"No tiene sello"))</f>
        <v>No tiene sello</v>
      </c>
      <c r="AK22" s="13">
        <f>IF(AJ22="No tiene sello",0,1)</f>
        <v>0</v>
      </c>
      <c r="AL22" s="13" t="str">
        <f>IF(Q22&gt;=300,"Exceso en sodio",IFERROR(IF(AND(F22=0,Q22&gt;0),"No tiene sello",IF(Q22/F22&gt;1,"Exceso en sodio","No tiene sello")),"No tiene sello"))</f>
        <v>No tiene sello</v>
      </c>
      <c r="AM22" s="13" t="str">
        <f>IFERROR(IF(F22=0,"No tiene sello",IF(+(AG22/1000)*9*100/F22&gt;1,"Exceso en grasa trans", "No tiene sello")),"No tiene sello")</f>
        <v>No tiene sello</v>
      </c>
    </row>
    <row r="23" spans="1:39" ht="13.5" customHeight="1" x14ac:dyDescent="0.25">
      <c r="A23" s="20" t="s">
        <v>1560</v>
      </c>
      <c r="B23" s="20" t="s">
        <v>1561</v>
      </c>
      <c r="C23" s="21"/>
      <c r="D23" s="46">
        <v>100</v>
      </c>
      <c r="E23" s="23">
        <v>6.4</v>
      </c>
      <c r="F23" s="24">
        <v>451</v>
      </c>
      <c r="G23" s="23">
        <v>1897</v>
      </c>
      <c r="H23" s="24">
        <v>6.5</v>
      </c>
      <c r="I23" s="24">
        <v>16.2</v>
      </c>
      <c r="J23" s="24">
        <v>68.599999999999994</v>
      </c>
      <c r="K23" s="23">
        <v>66.099999999999994</v>
      </c>
      <c r="L23" s="23">
        <v>54.88</v>
      </c>
      <c r="M23" s="24">
        <v>2.6</v>
      </c>
      <c r="N23" s="23">
        <v>2.2999999999999998</v>
      </c>
      <c r="O23" s="25">
        <v>100</v>
      </c>
      <c r="P23" s="25">
        <v>2.6</v>
      </c>
      <c r="Q23" s="23">
        <v>538</v>
      </c>
      <c r="R23" s="25">
        <v>161</v>
      </c>
      <c r="S23" s="23">
        <v>0.9</v>
      </c>
      <c r="T23" s="23">
        <v>42</v>
      </c>
      <c r="U23" s="23">
        <v>238</v>
      </c>
      <c r="V23" s="23">
        <v>0.26</v>
      </c>
      <c r="W23" s="23">
        <v>0.16</v>
      </c>
      <c r="X23" s="23">
        <v>1.3</v>
      </c>
      <c r="Y23" s="23">
        <v>30</v>
      </c>
      <c r="Z23" s="23">
        <v>0.08</v>
      </c>
      <c r="AA23" s="25">
        <v>0</v>
      </c>
      <c r="AB23" s="25">
        <v>143</v>
      </c>
      <c r="AC23" s="25">
        <v>0</v>
      </c>
      <c r="AD23" s="23">
        <v>3.2</v>
      </c>
      <c r="AE23" s="23">
        <v>6.9</v>
      </c>
      <c r="AF23" s="23">
        <v>5</v>
      </c>
      <c r="AG23" s="23">
        <v>70</v>
      </c>
      <c r="AH23" s="24">
        <v>33</v>
      </c>
      <c r="AI23" s="23">
        <v>100</v>
      </c>
      <c r="AJ23" s="13" t="str">
        <f xml:space="preserve"> IF(AD23&gt;F23,"Exceso en grasa saturada",IFERROR(IF(F23=0,"No tiene sello",IF((AD23*9)*100/F23&gt;10,"Exceso en grasa saturada","No tiene sello")),"No tiene sello"))</f>
        <v>No tiene sello</v>
      </c>
      <c r="AK23" s="13">
        <f>IF(AJ23="No tiene sello",0,1)</f>
        <v>0</v>
      </c>
      <c r="AL23" s="13" t="str">
        <f>IF(Q23&gt;=300,"Exceso en sodio",IFERROR(IF(AND(F23=0,Q23&gt;0),"No tiene sello",IF(Q23/F23&gt;1,"Exceso en sodio","No tiene sello")),"No tiene sello"))</f>
        <v>Exceso en sodio</v>
      </c>
      <c r="AM23" s="13" t="str">
        <f>IFERROR(IF(F23=0,"No tiene sello",IF(+(AG23/1000)*9*100/F23&gt;1,"Exceso en grasa trans", "No tiene sello")),"No tiene sello")</f>
        <v>No tiene sello</v>
      </c>
    </row>
    <row r="24" spans="1:39" ht="13.5" customHeight="1" x14ac:dyDescent="0.25">
      <c r="A24" s="26" t="s">
        <v>1558</v>
      </c>
      <c r="B24" s="26" t="s">
        <v>1559</v>
      </c>
      <c r="C24" s="27"/>
      <c r="D24" s="47">
        <v>100</v>
      </c>
      <c r="E24" s="28">
        <v>5.4</v>
      </c>
      <c r="F24" s="24">
        <v>472</v>
      </c>
      <c r="G24" s="28">
        <v>1982</v>
      </c>
      <c r="H24" s="24">
        <v>6.4</v>
      </c>
      <c r="I24" s="24">
        <v>19.600000000000001</v>
      </c>
      <c r="J24" s="24">
        <v>67.099999999999994</v>
      </c>
      <c r="K24" s="28">
        <v>65.8</v>
      </c>
      <c r="L24" s="28">
        <v>53.68</v>
      </c>
      <c r="M24" s="24">
        <v>1.2</v>
      </c>
      <c r="N24" s="28">
        <v>1.5</v>
      </c>
      <c r="O24" s="25">
        <v>38</v>
      </c>
      <c r="P24" s="25">
        <v>2</v>
      </c>
      <c r="Q24" s="28">
        <v>306</v>
      </c>
      <c r="R24" s="25">
        <v>122</v>
      </c>
      <c r="S24" s="28">
        <v>0.7</v>
      </c>
      <c r="T24" s="28">
        <v>17</v>
      </c>
      <c r="U24" s="28">
        <v>105</v>
      </c>
      <c r="V24" s="28">
        <v>0.13</v>
      </c>
      <c r="W24" s="28">
        <v>0.06</v>
      </c>
      <c r="X24" s="28">
        <v>1.7</v>
      </c>
      <c r="Y24" s="28">
        <v>13</v>
      </c>
      <c r="Z24" s="28">
        <v>0.04</v>
      </c>
      <c r="AA24" s="25">
        <v>0</v>
      </c>
      <c r="AB24" s="25">
        <v>0</v>
      </c>
      <c r="AC24" s="25">
        <v>0</v>
      </c>
      <c r="AD24" s="28">
        <v>7.7</v>
      </c>
      <c r="AE24" s="28">
        <v>7</v>
      </c>
      <c r="AF24" s="28">
        <v>3.7</v>
      </c>
      <c r="AG24" s="28">
        <v>80</v>
      </c>
      <c r="AH24" s="24">
        <v>12</v>
      </c>
      <c r="AI24" s="28">
        <v>100</v>
      </c>
      <c r="AJ24" s="13" t="str">
        <f xml:space="preserve"> IF(AD24&gt;F24,"Exceso en grasa saturada",IFERROR(IF(F24=0,"No tiene sello",IF((AD24*9)*100/F24&gt;10,"Exceso en grasa saturada","No tiene sello")),"No tiene sello"))</f>
        <v>Exceso en grasa saturada</v>
      </c>
      <c r="AK24" s="13">
        <f>IF(AJ24="No tiene sello",0,1)</f>
        <v>1</v>
      </c>
      <c r="AL24" s="13" t="str">
        <f>IF(Q24&gt;=300,"Exceso en sodio",IFERROR(IF(AND(F24=0,Q24&gt;0),"No tiene sello",IF(Q24/F24&gt;1,"Exceso en sodio","No tiene sello")),"No tiene sello"))</f>
        <v>Exceso en sodio</v>
      </c>
      <c r="AM24" s="13" t="str">
        <f>IFERROR(IF(F24=0,"No tiene sello",IF(+(AG24/1000)*9*100/F24&gt;1,"Exceso en grasa trans", "No tiene sello")),"No tiene sello")</f>
        <v>No tiene sello</v>
      </c>
    </row>
    <row r="25" spans="1:39" ht="13.5" customHeight="1" x14ac:dyDescent="0.25">
      <c r="A25" s="20" t="s">
        <v>1556</v>
      </c>
      <c r="B25" s="20" t="s">
        <v>1557</v>
      </c>
      <c r="C25" s="21"/>
      <c r="D25" s="46">
        <v>100</v>
      </c>
      <c r="E25" s="23">
        <v>3.2</v>
      </c>
      <c r="F25" s="24">
        <v>448</v>
      </c>
      <c r="G25" s="23">
        <v>1889</v>
      </c>
      <c r="H25" s="24">
        <v>7.6</v>
      </c>
      <c r="I25" s="24">
        <v>12</v>
      </c>
      <c r="J25" s="24">
        <v>76.400000000000006</v>
      </c>
      <c r="K25" s="23">
        <v>74.3</v>
      </c>
      <c r="L25" s="23">
        <v>11.46</v>
      </c>
      <c r="M25" s="24">
        <v>2.1</v>
      </c>
      <c r="N25" s="23">
        <v>0.8</v>
      </c>
      <c r="O25" s="25">
        <v>54</v>
      </c>
      <c r="P25" s="25">
        <v>1.8</v>
      </c>
      <c r="Q25" s="23">
        <v>352</v>
      </c>
      <c r="R25" s="25">
        <v>166</v>
      </c>
      <c r="S25" s="23">
        <v>1</v>
      </c>
      <c r="T25" s="23">
        <v>37</v>
      </c>
      <c r="U25" s="23">
        <v>142</v>
      </c>
      <c r="V25" s="23">
        <v>1.01</v>
      </c>
      <c r="W25" s="23">
        <v>0.42</v>
      </c>
      <c r="X25" s="23">
        <v>3.9</v>
      </c>
      <c r="Y25" s="23">
        <v>0</v>
      </c>
      <c r="Z25" s="23">
        <v>0</v>
      </c>
      <c r="AA25" s="25">
        <v>6</v>
      </c>
      <c r="AB25" s="25">
        <v>0</v>
      </c>
      <c r="AC25" s="25">
        <v>0</v>
      </c>
      <c r="AD25" s="23">
        <v>3.9</v>
      </c>
      <c r="AE25" s="23">
        <v>3.7</v>
      </c>
      <c r="AF25" s="23">
        <v>2.2000000000000002</v>
      </c>
      <c r="AG25" s="23">
        <v>300</v>
      </c>
      <c r="AH25" s="24">
        <v>0</v>
      </c>
      <c r="AI25" s="23">
        <v>100</v>
      </c>
      <c r="AJ25" s="13" t="str">
        <f xml:space="preserve"> IF(AD25&gt;F25,"Exceso en grasa saturada",IFERROR(IF(F25=0,"No tiene sello",IF((AD25*9)*100/F25&gt;10,"Exceso en grasa saturada","No tiene sello")),"No tiene sello"))</f>
        <v>No tiene sello</v>
      </c>
      <c r="AK25" s="13">
        <f>IF(AJ25="No tiene sello",0,1)</f>
        <v>0</v>
      </c>
      <c r="AL25" s="13" t="str">
        <f>IF(Q25&gt;=300,"Exceso en sodio",IFERROR(IF(AND(F25=0,Q25&gt;0),"No tiene sello",IF(Q25/F25&gt;1,"Exceso en sodio","No tiene sello")),"No tiene sello"))</f>
        <v>Exceso en sodio</v>
      </c>
      <c r="AM25" s="13" t="str">
        <f>IFERROR(IF(F25=0,"No tiene sello",IF(+(AG25/1000)*9*100/F25&gt;1,"Exceso en grasa trans", "No tiene sello")),"No tiene sello")</f>
        <v>No tiene sello</v>
      </c>
    </row>
    <row r="26" spans="1:39" s="5" customFormat="1" ht="13.5" customHeight="1" x14ac:dyDescent="0.25">
      <c r="A26" s="26" t="s">
        <v>1554</v>
      </c>
      <c r="B26" s="26" t="s">
        <v>1555</v>
      </c>
      <c r="C26" s="27"/>
      <c r="D26" s="16">
        <v>100</v>
      </c>
      <c r="E26" s="28">
        <v>5.0999999999999996</v>
      </c>
      <c r="F26" s="24">
        <v>455</v>
      </c>
      <c r="G26" s="28">
        <v>1913</v>
      </c>
      <c r="H26" s="24">
        <v>5.4</v>
      </c>
      <c r="I26" s="24">
        <v>15.2</v>
      </c>
      <c r="J26" s="24">
        <v>73.2</v>
      </c>
      <c r="K26" s="28">
        <v>71.3</v>
      </c>
      <c r="L26" s="28">
        <v>10.98</v>
      </c>
      <c r="M26" s="24">
        <v>1.9</v>
      </c>
      <c r="N26" s="28">
        <v>1.1000000000000001</v>
      </c>
      <c r="O26" s="25">
        <v>48</v>
      </c>
      <c r="P26" s="25">
        <v>3</v>
      </c>
      <c r="Q26" s="28">
        <v>388</v>
      </c>
      <c r="R26" s="25">
        <v>104</v>
      </c>
      <c r="S26" s="28">
        <v>0.4</v>
      </c>
      <c r="T26" s="28">
        <v>14</v>
      </c>
      <c r="U26" s="28">
        <v>97</v>
      </c>
      <c r="V26" s="28">
        <v>0.27</v>
      </c>
      <c r="W26" s="28">
        <v>0.32</v>
      </c>
      <c r="X26" s="28">
        <v>3.1</v>
      </c>
      <c r="Y26" s="28">
        <v>60</v>
      </c>
      <c r="Z26" s="28">
        <v>0.13</v>
      </c>
      <c r="AA26" s="25">
        <v>0</v>
      </c>
      <c r="AB26" s="25">
        <v>8</v>
      </c>
      <c r="AC26" s="25">
        <v>0</v>
      </c>
      <c r="AD26" s="28">
        <v>3.8</v>
      </c>
      <c r="AE26" s="28">
        <v>6.5</v>
      </c>
      <c r="AF26" s="28">
        <v>3.9</v>
      </c>
      <c r="AG26" s="28">
        <v>90</v>
      </c>
      <c r="AH26" s="24">
        <v>51</v>
      </c>
      <c r="AI26" s="28">
        <v>100</v>
      </c>
      <c r="AJ26" s="13" t="str">
        <f xml:space="preserve"> IF(AD26&gt;F26,"Exceso en grasa saturada",IFERROR(IF(F26=0,"No tiene sello",IF((AD26*9)*100/F26&gt;10,"Exceso en grasa saturada","No tiene sello")),"No tiene sello"))</f>
        <v>No tiene sello</v>
      </c>
      <c r="AK26" s="13">
        <f>IF(AJ26="No tiene sello",0,1)</f>
        <v>0</v>
      </c>
      <c r="AL26" s="13" t="str">
        <f>IF(Q26&gt;=300,"Exceso en sodio",IFERROR(IF(AND(F26=0,Q26&gt;0),"No tiene sello",IF(Q26/F26&gt;1,"Exceso en sodio","No tiene sello")),"No tiene sello"))</f>
        <v>Exceso en sodio</v>
      </c>
      <c r="AM26" s="13" t="str">
        <f>IFERROR(IF(F26=0,"No tiene sello",IF(+(AG26/1000)*9*100/F26&gt;1,"Exceso en grasa trans", "No tiene sello")),"No tiene sello")</f>
        <v>No tiene sello</v>
      </c>
    </row>
    <row r="27" spans="1:39" ht="13.5" customHeight="1" x14ac:dyDescent="0.25">
      <c r="A27" s="20" t="s">
        <v>1552</v>
      </c>
      <c r="B27" s="20" t="s">
        <v>1553</v>
      </c>
      <c r="C27" s="21"/>
      <c r="D27" s="22">
        <v>100</v>
      </c>
      <c r="E27" s="23">
        <v>3.6</v>
      </c>
      <c r="F27" s="24">
        <v>466</v>
      </c>
      <c r="G27" s="23">
        <v>1956</v>
      </c>
      <c r="H27" s="24">
        <v>8.4</v>
      </c>
      <c r="I27" s="24">
        <v>17.2</v>
      </c>
      <c r="J27" s="24">
        <v>68.2</v>
      </c>
      <c r="K27" s="23">
        <v>65.900000000000006</v>
      </c>
      <c r="L27" s="23">
        <v>10.23</v>
      </c>
      <c r="M27" s="24">
        <v>2.2999999999999998</v>
      </c>
      <c r="N27" s="23">
        <v>2.7</v>
      </c>
      <c r="O27" s="25">
        <v>107</v>
      </c>
      <c r="P27" s="25">
        <v>2.6</v>
      </c>
      <c r="Q27" s="23">
        <v>708</v>
      </c>
      <c r="R27" s="25">
        <v>196</v>
      </c>
      <c r="S27" s="23">
        <v>1</v>
      </c>
      <c r="T27" s="23">
        <v>38</v>
      </c>
      <c r="U27" s="23">
        <v>173</v>
      </c>
      <c r="V27" s="23">
        <v>0.41</v>
      </c>
      <c r="W27" s="23">
        <v>0.15</v>
      </c>
      <c r="X27" s="23">
        <v>4</v>
      </c>
      <c r="Y27" s="23">
        <v>22</v>
      </c>
      <c r="Z27" s="23">
        <v>0</v>
      </c>
      <c r="AA27" s="25">
        <v>0</v>
      </c>
      <c r="AB27" s="25">
        <v>0</v>
      </c>
      <c r="AC27" s="25">
        <v>0</v>
      </c>
      <c r="AD27" s="23">
        <v>4.7</v>
      </c>
      <c r="AE27" s="23">
        <v>5.0999999999999996</v>
      </c>
      <c r="AF27" s="23">
        <v>6.1</v>
      </c>
      <c r="AG27" s="23">
        <v>70</v>
      </c>
      <c r="AH27" s="24">
        <v>0</v>
      </c>
      <c r="AI27" s="23">
        <v>100</v>
      </c>
      <c r="AJ27" s="13" t="str">
        <f xml:space="preserve"> IF(AD27&gt;F27,"Exceso en grasa saturada",IFERROR(IF(F27=0,"No tiene sello",IF((AD27*9)*100/F27&gt;10,"Exceso en grasa saturada","No tiene sello")),"No tiene sello"))</f>
        <v>No tiene sello</v>
      </c>
      <c r="AK27" s="13">
        <f>IF(AJ27="No tiene sello",0,1)</f>
        <v>0</v>
      </c>
      <c r="AL27" s="13" t="str">
        <f>IF(Q27&gt;=300,"Exceso en sodio",IFERROR(IF(AND(F27=0,Q27&gt;0),"No tiene sello",IF(Q27/F27&gt;1,"Exceso en sodio","No tiene sello")),"No tiene sello"))</f>
        <v>Exceso en sodio</v>
      </c>
      <c r="AM27" s="13" t="str">
        <f>IFERROR(IF(F27=0,"No tiene sello",IF(+(AG27/1000)*9*100/F27&gt;1,"Exceso en grasa trans", "No tiene sello")),"No tiene sello")</f>
        <v>No tiene sello</v>
      </c>
    </row>
    <row r="28" spans="1:39" ht="13.5" customHeight="1" x14ac:dyDescent="0.25">
      <c r="A28" s="33" t="s">
        <v>1550</v>
      </c>
      <c r="B28" s="36" t="s">
        <v>1551</v>
      </c>
      <c r="C28" s="34"/>
      <c r="D28" s="16">
        <v>100</v>
      </c>
      <c r="E28" s="35">
        <v>5</v>
      </c>
      <c r="F28" s="24">
        <v>424</v>
      </c>
      <c r="G28" s="35">
        <v>1786</v>
      </c>
      <c r="H28" s="24">
        <v>9.6</v>
      </c>
      <c r="I28" s="24">
        <v>9.6999999999999993</v>
      </c>
      <c r="J28" s="24">
        <v>72.900000000000006</v>
      </c>
      <c r="K28" s="35">
        <v>70</v>
      </c>
      <c r="L28" s="35">
        <v>10.94</v>
      </c>
      <c r="M28" s="24">
        <v>3</v>
      </c>
      <c r="N28" s="35">
        <v>2.7</v>
      </c>
      <c r="O28" s="35">
        <v>38</v>
      </c>
      <c r="P28" s="35">
        <v>5.6</v>
      </c>
      <c r="Q28" s="35">
        <v>944</v>
      </c>
      <c r="R28" s="35">
        <v>145</v>
      </c>
      <c r="S28" s="35">
        <v>0.7</v>
      </c>
      <c r="T28" s="35">
        <v>23</v>
      </c>
      <c r="U28" s="35">
        <v>152</v>
      </c>
      <c r="V28" s="35">
        <v>0.12</v>
      </c>
      <c r="W28" s="35">
        <v>0.37</v>
      </c>
      <c r="X28" s="35">
        <v>6.2</v>
      </c>
      <c r="Y28" s="35">
        <v>134</v>
      </c>
      <c r="Z28" s="35">
        <v>0.06</v>
      </c>
      <c r="AA28" s="35">
        <v>0</v>
      </c>
      <c r="AB28" s="35">
        <v>1</v>
      </c>
      <c r="AC28" s="35">
        <v>0</v>
      </c>
      <c r="AD28" s="35">
        <v>1.7</v>
      </c>
      <c r="AE28" s="35">
        <v>3.2</v>
      </c>
      <c r="AF28" s="35">
        <v>4</v>
      </c>
      <c r="AG28" s="35">
        <v>70</v>
      </c>
      <c r="AH28" s="35">
        <v>0</v>
      </c>
      <c r="AI28" s="35">
        <v>100</v>
      </c>
      <c r="AJ28" s="13" t="str">
        <f xml:space="preserve"> IF(AD28&gt;F28,"Exceso en grasa saturada",IFERROR(IF(F28=0,"No tiene sello",IF((AD28*9)*100/F28&gt;10,"Exceso en grasa saturada","No tiene sello")),"No tiene sello"))</f>
        <v>No tiene sello</v>
      </c>
      <c r="AK28" s="13">
        <f>IF(AJ28="No tiene sello",0,1)</f>
        <v>0</v>
      </c>
      <c r="AL28" s="13" t="str">
        <f>IF(Q28&gt;=300,"Exceso en sodio",IFERROR(IF(AND(F28=0,Q28&gt;0),"No tiene sello",IF(Q28/F28&gt;1,"Exceso en sodio","No tiene sello")),"No tiene sello"))</f>
        <v>Exceso en sodio</v>
      </c>
      <c r="AM28" s="13" t="str">
        <f>IFERROR(IF(F28=0,"No tiene sello",IF(+(AG28/1000)*9*100/F28&gt;1,"Exceso en grasa trans", "No tiene sello")),"No tiene sello")</f>
        <v>No tiene sello</v>
      </c>
    </row>
    <row r="29" spans="1:39" ht="13.5" customHeight="1" x14ac:dyDescent="0.25">
      <c r="A29" s="20" t="s">
        <v>1548</v>
      </c>
      <c r="B29" s="20" t="s">
        <v>1549</v>
      </c>
      <c r="C29" s="21"/>
      <c r="D29" s="22">
        <v>100</v>
      </c>
      <c r="E29" s="23">
        <v>12</v>
      </c>
      <c r="F29" s="24">
        <v>361</v>
      </c>
      <c r="G29" s="23">
        <v>1533</v>
      </c>
      <c r="H29" s="24">
        <v>6</v>
      </c>
      <c r="I29" s="24">
        <v>1.4</v>
      </c>
      <c r="J29" s="24">
        <v>80</v>
      </c>
      <c r="K29" s="23">
        <v>77.599999999999994</v>
      </c>
      <c r="L29" s="23">
        <v>0.4</v>
      </c>
      <c r="M29" s="24">
        <v>2.4</v>
      </c>
      <c r="N29" s="23">
        <v>0.6</v>
      </c>
      <c r="O29" s="25">
        <v>8</v>
      </c>
      <c r="P29" s="25">
        <v>0.4</v>
      </c>
      <c r="Q29" s="23">
        <v>0</v>
      </c>
      <c r="R29" s="25">
        <v>98</v>
      </c>
      <c r="S29" s="23">
        <v>0.8</v>
      </c>
      <c r="T29" s="23">
        <v>35</v>
      </c>
      <c r="U29" s="23">
        <v>76</v>
      </c>
      <c r="V29" s="23">
        <v>0.14000000000000001</v>
      </c>
      <c r="W29" s="23">
        <v>0.04</v>
      </c>
      <c r="X29" s="23">
        <v>2.6</v>
      </c>
      <c r="Y29" s="23">
        <v>4</v>
      </c>
      <c r="Z29" s="23">
        <v>0</v>
      </c>
      <c r="AA29" s="25">
        <v>0</v>
      </c>
      <c r="AB29" s="25">
        <v>0</v>
      </c>
      <c r="AC29" s="25">
        <v>0</v>
      </c>
      <c r="AD29" s="23">
        <v>0.4</v>
      </c>
      <c r="AE29" s="23">
        <v>0.4</v>
      </c>
      <c r="AF29" s="23">
        <v>0.3</v>
      </c>
      <c r="AG29" s="23">
        <v>0</v>
      </c>
      <c r="AH29" s="24">
        <v>0</v>
      </c>
      <c r="AI29" s="23">
        <v>100</v>
      </c>
      <c r="AJ29" s="13" t="str">
        <f xml:space="preserve"> IF(AD29&gt;F29,"Exceso en grasa saturada",IFERROR(IF(F29=0,"No tiene sello",IF((AD29*9)*100/F29&gt;10,"Exceso en grasa saturada","No tiene sello")),"No tiene sello"))</f>
        <v>No tiene sello</v>
      </c>
      <c r="AK29" s="13">
        <f>IF(AJ29="No tiene sello",0,1)</f>
        <v>0</v>
      </c>
      <c r="AL29" s="13" t="str">
        <f>IF(Q29&gt;=300,"Exceso en sodio",IFERROR(IF(AND(F29=0,Q29&gt;0),"No tiene sello",IF(Q29/F29&gt;1,"Exceso en sodio","No tiene sello")),"No tiene sello"))</f>
        <v>No tiene sello</v>
      </c>
      <c r="AM29" s="13" t="str">
        <f>IFERROR(IF(F29=0,"No tiene sello",IF(+(AG29/1000)*9*100/F29&gt;1,"Exceso en grasa trans", "No tiene sello")),"No tiene sello")</f>
        <v>No tiene sello</v>
      </c>
    </row>
    <row r="30" spans="1:39" ht="13.5" customHeight="1" x14ac:dyDescent="0.25">
      <c r="A30" s="26" t="s">
        <v>1546</v>
      </c>
      <c r="B30" s="26" t="s">
        <v>1547</v>
      </c>
      <c r="C30" s="27"/>
      <c r="D30" s="16">
        <v>100</v>
      </c>
      <c r="E30" s="28">
        <v>8.6</v>
      </c>
      <c r="F30" s="24">
        <v>414</v>
      </c>
      <c r="G30" s="28">
        <v>1745</v>
      </c>
      <c r="H30" s="24">
        <v>14.7</v>
      </c>
      <c r="I30" s="24">
        <v>8.6</v>
      </c>
      <c r="J30" s="24">
        <v>66.2</v>
      </c>
      <c r="K30" s="28">
        <v>59.7</v>
      </c>
      <c r="L30" s="28">
        <v>0.6</v>
      </c>
      <c r="M30" s="24">
        <v>6.5</v>
      </c>
      <c r="N30" s="28">
        <v>2</v>
      </c>
      <c r="O30" s="25">
        <v>54</v>
      </c>
      <c r="P30" s="25">
        <v>4</v>
      </c>
      <c r="Q30" s="28">
        <v>19</v>
      </c>
      <c r="R30" s="25">
        <v>440</v>
      </c>
      <c r="S30" s="28">
        <v>3.2</v>
      </c>
      <c r="T30" s="28">
        <v>132</v>
      </c>
      <c r="U30" s="28">
        <v>371</v>
      </c>
      <c r="V30" s="28">
        <v>0.63</v>
      </c>
      <c r="W30" s="28">
        <v>0.13</v>
      </c>
      <c r="X30" s="28">
        <v>1.5</v>
      </c>
      <c r="Y30" s="28">
        <v>32</v>
      </c>
      <c r="Z30" s="28">
        <v>0</v>
      </c>
      <c r="AA30" s="25">
        <v>0</v>
      </c>
      <c r="AB30" s="25">
        <v>0</v>
      </c>
      <c r="AC30" s="25">
        <v>0</v>
      </c>
      <c r="AD30" s="28">
        <v>1.5</v>
      </c>
      <c r="AE30" s="28">
        <v>2.7</v>
      </c>
      <c r="AF30" s="28">
        <v>3.1</v>
      </c>
      <c r="AG30" s="28">
        <v>0</v>
      </c>
      <c r="AH30" s="24">
        <v>0</v>
      </c>
      <c r="AI30" s="28">
        <v>100</v>
      </c>
      <c r="AJ30" s="13" t="str">
        <f xml:space="preserve"> IF(AD30&gt;F30,"Exceso en grasa saturada",IFERROR(IF(F30=0,"No tiene sello",IF((AD30*9)*100/F30&gt;10,"Exceso en grasa saturada","No tiene sello")),"No tiene sello"))</f>
        <v>No tiene sello</v>
      </c>
      <c r="AK30" s="13">
        <f>IF(AJ30="No tiene sello",0,1)</f>
        <v>0</v>
      </c>
      <c r="AL30" s="13" t="str">
        <f>IF(Q30&gt;=300,"Exceso en sodio",IFERROR(IF(AND(F30=0,Q30&gt;0),"No tiene sello",IF(Q30/F30&gt;1,"Exceso en sodio","No tiene sello")),"No tiene sello"))</f>
        <v>No tiene sello</v>
      </c>
      <c r="AM30" s="13" t="str">
        <f>IFERROR(IF(F30=0,"No tiene sello",IF(+(AG30/1000)*9*100/F30&gt;1,"Exceso en grasa trans", "No tiene sello")),"No tiene sello")</f>
        <v>No tiene sello</v>
      </c>
    </row>
    <row r="31" spans="1:39" ht="13.5" customHeight="1" x14ac:dyDescent="0.25">
      <c r="A31" s="20" t="s">
        <v>1544</v>
      </c>
      <c r="B31" s="20" t="s">
        <v>1545</v>
      </c>
      <c r="C31" s="21"/>
      <c r="D31" s="22">
        <v>100</v>
      </c>
      <c r="E31" s="23">
        <v>11.4</v>
      </c>
      <c r="F31" s="24">
        <v>378</v>
      </c>
      <c r="G31" s="23">
        <v>1600</v>
      </c>
      <c r="H31" s="24">
        <v>10.5</v>
      </c>
      <c r="I31" s="24">
        <v>1.6</v>
      </c>
      <c r="J31" s="24">
        <v>75.400000000000006</v>
      </c>
      <c r="K31" s="23">
        <v>65.3</v>
      </c>
      <c r="L31" s="23">
        <v>0.5</v>
      </c>
      <c r="M31" s="24">
        <v>10.1</v>
      </c>
      <c r="N31" s="23">
        <v>1.1000000000000001</v>
      </c>
      <c r="O31" s="25">
        <v>32</v>
      </c>
      <c r="P31" s="25">
        <v>2.7</v>
      </c>
      <c r="Q31" s="23">
        <v>4</v>
      </c>
      <c r="R31" s="25">
        <v>296</v>
      </c>
      <c r="S31" s="23">
        <v>2</v>
      </c>
      <c r="T31" s="23">
        <v>96</v>
      </c>
      <c r="U31" s="23">
        <v>309</v>
      </c>
      <c r="V31" s="23">
        <v>0.37</v>
      </c>
      <c r="W31" s="23">
        <v>0.11</v>
      </c>
      <c r="X31" s="23">
        <v>6.3</v>
      </c>
      <c r="Y31" s="23">
        <v>8</v>
      </c>
      <c r="Z31" s="23">
        <v>0</v>
      </c>
      <c r="AA31" s="25">
        <v>0</v>
      </c>
      <c r="AB31" s="25">
        <v>0</v>
      </c>
      <c r="AC31" s="25">
        <v>0</v>
      </c>
      <c r="AD31" s="23">
        <v>0.3</v>
      </c>
      <c r="AE31" s="23">
        <v>0.2</v>
      </c>
      <c r="AF31" s="23">
        <v>0.8</v>
      </c>
      <c r="AG31" s="23">
        <v>0</v>
      </c>
      <c r="AH31" s="24">
        <v>0</v>
      </c>
      <c r="AI31" s="23">
        <v>100</v>
      </c>
      <c r="AJ31" s="13" t="str">
        <f xml:space="preserve"> IF(AD31&gt;F31,"Exceso en grasa saturada",IFERROR(IF(F31=0,"No tiene sello",IF((AD31*9)*100/F31&gt;10,"Exceso en grasa saturada","No tiene sello")),"No tiene sello"))</f>
        <v>No tiene sello</v>
      </c>
      <c r="AK31" s="13">
        <f>IF(AJ31="No tiene sello",0,1)</f>
        <v>0</v>
      </c>
      <c r="AL31" s="13" t="str">
        <f>IF(Q31&gt;=300,"Exceso en sodio",IFERROR(IF(AND(F31=0,Q31&gt;0),"No tiene sello",IF(Q31/F31&gt;1,"Exceso en sodio","No tiene sello")),"No tiene sello"))</f>
        <v>No tiene sello</v>
      </c>
      <c r="AM31" s="13" t="str">
        <f>IFERROR(IF(F31=0,"No tiene sello",IF(+(AG31/1000)*9*100/F31&gt;1,"Exceso en grasa trans", "No tiene sello")),"No tiene sello")</f>
        <v>No tiene sello</v>
      </c>
    </row>
    <row r="32" spans="1:39" ht="13.5" customHeight="1" x14ac:dyDescent="0.25">
      <c r="A32" s="26" t="s">
        <v>1542</v>
      </c>
      <c r="B32" s="26" t="s">
        <v>1543</v>
      </c>
      <c r="C32" s="27"/>
      <c r="D32" s="16">
        <v>100</v>
      </c>
      <c r="E32" s="28">
        <v>10.7</v>
      </c>
      <c r="F32" s="24">
        <v>390</v>
      </c>
      <c r="G32" s="28">
        <v>1646</v>
      </c>
      <c r="H32" s="24">
        <v>15.9</v>
      </c>
      <c r="I32" s="24">
        <v>2.9</v>
      </c>
      <c r="J32" s="24">
        <v>68.3</v>
      </c>
      <c r="K32" s="28">
        <v>54.9</v>
      </c>
      <c r="L32" s="28">
        <v>0.6</v>
      </c>
      <c r="M32" s="24">
        <v>13.4</v>
      </c>
      <c r="N32" s="28">
        <v>2.2000000000000002</v>
      </c>
      <c r="O32" s="25">
        <v>37</v>
      </c>
      <c r="P32" s="25">
        <v>5</v>
      </c>
      <c r="Q32" s="28">
        <v>2</v>
      </c>
      <c r="R32" s="25">
        <v>499</v>
      </c>
      <c r="S32" s="28">
        <v>5</v>
      </c>
      <c r="T32" s="28">
        <v>160</v>
      </c>
      <c r="U32" s="28">
        <v>717</v>
      </c>
      <c r="V32" s="28">
        <v>0.32</v>
      </c>
      <c r="W32" s="28">
        <v>0.25</v>
      </c>
      <c r="X32" s="28">
        <v>4.3</v>
      </c>
      <c r="Y32" s="28">
        <v>33</v>
      </c>
      <c r="Z32" s="28">
        <v>0</v>
      </c>
      <c r="AA32" s="25">
        <v>0</v>
      </c>
      <c r="AB32" s="25">
        <v>1</v>
      </c>
      <c r="AC32" s="25">
        <v>0</v>
      </c>
      <c r="AD32" s="28">
        <v>0.3</v>
      </c>
      <c r="AE32" s="28">
        <v>0.3</v>
      </c>
      <c r="AF32" s="28">
        <v>1</v>
      </c>
      <c r="AG32" s="28">
        <v>0</v>
      </c>
      <c r="AH32" s="24">
        <v>0</v>
      </c>
      <c r="AI32" s="28">
        <v>100</v>
      </c>
      <c r="AJ32" s="13" t="str">
        <f xml:space="preserve"> IF(AD32&gt;F32,"Exceso en grasa saturada",IFERROR(IF(F32=0,"No tiene sello",IF((AD32*9)*100/F32&gt;10,"Exceso en grasa saturada","No tiene sello")),"No tiene sello"))</f>
        <v>No tiene sello</v>
      </c>
      <c r="AK32" s="13">
        <f>IF(AJ32="No tiene sello",0,1)</f>
        <v>0</v>
      </c>
      <c r="AL32" s="13" t="str">
        <f>IF(Q32&gt;=300,"Exceso en sodio",IFERROR(IF(AND(F32=0,Q32&gt;0),"No tiene sello",IF(Q32/F32&gt;1,"Exceso en sodio","No tiene sello")),"No tiene sello"))</f>
        <v>No tiene sello</v>
      </c>
      <c r="AM32" s="13" t="str">
        <f>IFERROR(IF(F32=0,"No tiene sello",IF(+(AG32/1000)*9*100/F32&gt;1,"Exceso en grasa trans", "No tiene sello")),"No tiene sello")</f>
        <v>No tiene sello</v>
      </c>
    </row>
    <row r="33" spans="1:39" ht="13.5" customHeight="1" x14ac:dyDescent="0.25">
      <c r="A33" s="20" t="s">
        <v>1540</v>
      </c>
      <c r="B33" s="20" t="s">
        <v>1541</v>
      </c>
      <c r="C33" s="21"/>
      <c r="D33" s="22">
        <v>100</v>
      </c>
      <c r="E33" s="23">
        <v>11.5</v>
      </c>
      <c r="F33" s="24">
        <v>370</v>
      </c>
      <c r="G33" s="23">
        <v>1567</v>
      </c>
      <c r="H33" s="24">
        <v>9.1</v>
      </c>
      <c r="I33" s="24">
        <v>1.6</v>
      </c>
      <c r="J33" s="24">
        <v>76.599999999999994</v>
      </c>
      <c r="K33" s="23">
        <v>70.3</v>
      </c>
      <c r="L33" s="23">
        <v>0.5</v>
      </c>
      <c r="M33" s="24">
        <v>6.3</v>
      </c>
      <c r="N33" s="23">
        <v>1.2</v>
      </c>
      <c r="O33" s="25">
        <v>25</v>
      </c>
      <c r="P33" s="25">
        <v>1.5</v>
      </c>
      <c r="Q33" s="23">
        <v>2</v>
      </c>
      <c r="R33" s="25">
        <v>180</v>
      </c>
      <c r="S33" s="23">
        <v>1.7</v>
      </c>
      <c r="T33" s="23">
        <v>78</v>
      </c>
      <c r="U33" s="23">
        <v>305</v>
      </c>
      <c r="V33" s="23">
        <v>0.2</v>
      </c>
      <c r="W33" s="23">
        <v>0.1</v>
      </c>
      <c r="X33" s="23">
        <v>1.2</v>
      </c>
      <c r="Y33" s="23">
        <v>21</v>
      </c>
      <c r="Z33" s="23">
        <v>0</v>
      </c>
      <c r="AA33" s="25">
        <v>0</v>
      </c>
      <c r="AB33" s="25">
        <v>0</v>
      </c>
      <c r="AC33" s="25">
        <v>0</v>
      </c>
      <c r="AD33" s="23">
        <v>0.2</v>
      </c>
      <c r="AE33" s="23">
        <v>0.2</v>
      </c>
      <c r="AF33" s="23">
        <v>0.7</v>
      </c>
      <c r="AG33" s="23">
        <v>0</v>
      </c>
      <c r="AH33" s="24">
        <v>0</v>
      </c>
      <c r="AI33" s="23">
        <v>100</v>
      </c>
      <c r="AJ33" s="13" t="str">
        <f xml:space="preserve"> IF(AD33&gt;F33,"Exceso en grasa saturada",IFERROR(IF(F33=0,"No tiene sello",IF((AD33*9)*100/F33&gt;10,"Exceso en grasa saturada","No tiene sello")),"No tiene sello"))</f>
        <v>No tiene sello</v>
      </c>
      <c r="AK33" s="13">
        <f>IF(AJ33="No tiene sello",0,1)</f>
        <v>0</v>
      </c>
      <c r="AL33" s="13" t="str">
        <f>IF(Q33&gt;=300,"Exceso en sodio",IFERROR(IF(AND(F33=0,Q33&gt;0),"No tiene sello",IF(Q33/F33&gt;1,"Exceso en sodio","No tiene sello")),"No tiene sello"))</f>
        <v>No tiene sello</v>
      </c>
      <c r="AM33" s="13" t="str">
        <f>IFERROR(IF(F33=0,"No tiene sello",IF(+(AG33/1000)*9*100/F33&gt;1,"Exceso en grasa trans", "No tiene sello")),"No tiene sello")</f>
        <v>No tiene sello</v>
      </c>
    </row>
    <row r="34" spans="1:39" ht="13.5" customHeight="1" x14ac:dyDescent="0.25">
      <c r="A34" s="26" t="s">
        <v>1538</v>
      </c>
      <c r="B34" s="26" t="s">
        <v>1539</v>
      </c>
      <c r="C34" s="27"/>
      <c r="D34" s="16">
        <v>100</v>
      </c>
      <c r="E34" s="28">
        <v>10.1</v>
      </c>
      <c r="F34" s="24">
        <v>386</v>
      </c>
      <c r="G34" s="28">
        <v>1632</v>
      </c>
      <c r="H34" s="24">
        <v>7.7</v>
      </c>
      <c r="I34" s="24">
        <v>3.3</v>
      </c>
      <c r="J34" s="24">
        <v>77.599999999999994</v>
      </c>
      <c r="K34" s="28">
        <v>70.3</v>
      </c>
      <c r="L34" s="28">
        <v>0.5</v>
      </c>
      <c r="M34" s="24">
        <v>7.3</v>
      </c>
      <c r="N34" s="28">
        <v>1.2</v>
      </c>
      <c r="O34" s="25">
        <v>6</v>
      </c>
      <c r="P34" s="25">
        <v>2.7</v>
      </c>
      <c r="Q34" s="28">
        <v>22</v>
      </c>
      <c r="R34" s="25">
        <v>276</v>
      </c>
      <c r="S34" s="28">
        <v>1.4</v>
      </c>
      <c r="T34" s="28">
        <v>39</v>
      </c>
      <c r="U34" s="28">
        <v>242</v>
      </c>
      <c r="V34" s="28">
        <v>0.3</v>
      </c>
      <c r="W34" s="28">
        <v>0.13</v>
      </c>
      <c r="X34" s="28">
        <v>2.1</v>
      </c>
      <c r="Y34" s="28">
        <v>30</v>
      </c>
      <c r="Z34" s="28">
        <v>0</v>
      </c>
      <c r="AA34" s="25">
        <v>0</v>
      </c>
      <c r="AB34" s="25">
        <v>13</v>
      </c>
      <c r="AC34" s="25">
        <v>0</v>
      </c>
      <c r="AD34" s="28">
        <v>0.4</v>
      </c>
      <c r="AE34" s="28">
        <v>0.8</v>
      </c>
      <c r="AF34" s="28">
        <v>1.4</v>
      </c>
      <c r="AG34" s="28">
        <v>0</v>
      </c>
      <c r="AH34" s="24">
        <v>0</v>
      </c>
      <c r="AI34" s="28">
        <v>100</v>
      </c>
      <c r="AJ34" s="13" t="str">
        <f xml:space="preserve"> IF(AD34&gt;F34,"Exceso en grasa saturada",IFERROR(IF(F34=0,"No tiene sello",IF((AD34*9)*100/F34&gt;10,"Exceso en grasa saturada","No tiene sello")),"No tiene sello"))</f>
        <v>No tiene sello</v>
      </c>
      <c r="AK34" s="13">
        <f>IF(AJ34="No tiene sello",0,1)</f>
        <v>0</v>
      </c>
      <c r="AL34" s="13" t="str">
        <f>IF(Q34&gt;=300,"Exceso en sodio",IFERROR(IF(AND(F34=0,Q34&gt;0),"No tiene sello",IF(Q34/F34&gt;1,"Exceso en sodio","No tiene sello")),"No tiene sello"))</f>
        <v>No tiene sello</v>
      </c>
      <c r="AM34" s="13" t="str">
        <f>IFERROR(IF(F34=0,"No tiene sello",IF(+(AG34/1000)*9*100/F34&gt;1,"Exceso en grasa trans", "No tiene sello")),"No tiene sello")</f>
        <v>No tiene sello</v>
      </c>
    </row>
    <row r="35" spans="1:39" ht="13.5" customHeight="1" x14ac:dyDescent="0.25">
      <c r="A35" s="20" t="s">
        <v>1536</v>
      </c>
      <c r="B35" s="20" t="s">
        <v>1537</v>
      </c>
      <c r="C35" s="21"/>
      <c r="D35" s="22">
        <v>100</v>
      </c>
      <c r="E35" s="23">
        <v>12</v>
      </c>
      <c r="F35" s="24">
        <v>380</v>
      </c>
      <c r="G35" s="23">
        <v>1608</v>
      </c>
      <c r="H35" s="24">
        <v>9.1</v>
      </c>
      <c r="I35" s="24">
        <v>3.7</v>
      </c>
      <c r="J35" s="24">
        <v>73.900000000000006</v>
      </c>
      <c r="K35" s="23">
        <v>66.400000000000006</v>
      </c>
      <c r="L35" s="23">
        <v>0.5</v>
      </c>
      <c r="M35" s="24">
        <v>7.5</v>
      </c>
      <c r="N35" s="23">
        <v>1.3</v>
      </c>
      <c r="O35" s="25">
        <v>4</v>
      </c>
      <c r="P35" s="25">
        <v>2.7</v>
      </c>
      <c r="Q35" s="23">
        <v>1</v>
      </c>
      <c r="R35" s="25">
        <v>248</v>
      </c>
      <c r="S35" s="23">
        <v>1.3</v>
      </c>
      <c r="T35" s="23">
        <v>44</v>
      </c>
      <c r="U35" s="23">
        <v>170</v>
      </c>
      <c r="V35" s="23">
        <v>0.3</v>
      </c>
      <c r="W35" s="23">
        <v>0.12</v>
      </c>
      <c r="X35" s="23">
        <v>2.7</v>
      </c>
      <c r="Y35" s="23">
        <v>35</v>
      </c>
      <c r="Z35" s="23">
        <v>0</v>
      </c>
      <c r="AA35" s="25">
        <v>0</v>
      </c>
      <c r="AB35" s="25">
        <v>0</v>
      </c>
      <c r="AC35" s="25">
        <v>0</v>
      </c>
      <c r="AD35" s="23">
        <v>0.4</v>
      </c>
      <c r="AE35" s="23">
        <v>0.8</v>
      </c>
      <c r="AF35" s="23">
        <v>1.3</v>
      </c>
      <c r="AG35" s="23">
        <v>0</v>
      </c>
      <c r="AH35" s="24">
        <v>0</v>
      </c>
      <c r="AI35" s="23">
        <v>100</v>
      </c>
      <c r="AJ35" s="13" t="str">
        <f xml:space="preserve"> IF(AD35&gt;F35,"Exceso en grasa saturada",IFERROR(IF(F35=0,"No tiene sello",IF((AD35*9)*100/F35&gt;10,"Exceso en grasa saturada","No tiene sello")),"No tiene sello"))</f>
        <v>No tiene sello</v>
      </c>
      <c r="AK35" s="13">
        <f>IF(AJ35="No tiene sello",0,1)</f>
        <v>0</v>
      </c>
      <c r="AL35" s="13" t="str">
        <f>IF(Q35&gt;=300,"Exceso en sodio",IFERROR(IF(AND(F35=0,Q35&gt;0),"No tiene sello",IF(Q35/F35&gt;1,"Exceso en sodio","No tiene sello")),"No tiene sello"))</f>
        <v>No tiene sello</v>
      </c>
      <c r="AM35" s="13" t="str">
        <f>IFERROR(IF(F35=0,"No tiene sello",IF(+(AG35/1000)*9*100/F35&gt;1,"Exceso en grasa trans", "No tiene sello")),"No tiene sello")</f>
        <v>No tiene sello</v>
      </c>
    </row>
    <row r="36" spans="1:39" ht="13.5" customHeight="1" x14ac:dyDescent="0.25">
      <c r="A36" s="26" t="s">
        <v>1534</v>
      </c>
      <c r="B36" s="26" t="s">
        <v>1535</v>
      </c>
      <c r="C36" s="27"/>
      <c r="D36" s="16">
        <v>100</v>
      </c>
      <c r="E36" s="28">
        <v>10.6</v>
      </c>
      <c r="F36" s="24">
        <v>396</v>
      </c>
      <c r="G36" s="28">
        <v>1671</v>
      </c>
      <c r="H36" s="24">
        <v>8.8000000000000007</v>
      </c>
      <c r="I36" s="24">
        <v>4.9000000000000004</v>
      </c>
      <c r="J36" s="24">
        <v>74.3</v>
      </c>
      <c r="K36" s="28">
        <v>64.7</v>
      </c>
      <c r="L36" s="28">
        <v>0.5</v>
      </c>
      <c r="M36" s="24">
        <v>9.6</v>
      </c>
      <c r="N36" s="28">
        <v>1.4</v>
      </c>
      <c r="O36" s="25">
        <v>11</v>
      </c>
      <c r="P36" s="25">
        <v>2.4</v>
      </c>
      <c r="Q36" s="28">
        <v>5</v>
      </c>
      <c r="R36" s="25">
        <v>272</v>
      </c>
      <c r="S36" s="28">
        <v>1.7</v>
      </c>
      <c r="T36" s="28">
        <v>93</v>
      </c>
      <c r="U36" s="28">
        <v>315</v>
      </c>
      <c r="V36" s="28">
        <v>0.35</v>
      </c>
      <c r="W36" s="28">
        <v>0.08</v>
      </c>
      <c r="X36" s="28">
        <v>2</v>
      </c>
      <c r="Y36" s="28">
        <v>25</v>
      </c>
      <c r="Z36" s="28">
        <v>0</v>
      </c>
      <c r="AA36" s="25">
        <v>0</v>
      </c>
      <c r="AB36" s="25">
        <v>0</v>
      </c>
      <c r="AC36" s="25">
        <v>0</v>
      </c>
      <c r="AD36" s="28">
        <v>0.5</v>
      </c>
      <c r="AE36" s="28">
        <v>1</v>
      </c>
      <c r="AF36" s="28">
        <v>1.8</v>
      </c>
      <c r="AG36" s="28">
        <v>0</v>
      </c>
      <c r="AH36" s="24">
        <v>0</v>
      </c>
      <c r="AI36" s="28">
        <v>100</v>
      </c>
      <c r="AJ36" s="13" t="str">
        <f xml:space="preserve"> IF(AD36&gt;F36,"Exceso en grasa saturada",IFERROR(IF(F36=0,"No tiene sello",IF((AD36*9)*100/F36&gt;10,"Exceso en grasa saturada","No tiene sello")),"No tiene sello"))</f>
        <v>No tiene sello</v>
      </c>
      <c r="AK36" s="13">
        <f>IF(AJ36="No tiene sello",0,1)</f>
        <v>0</v>
      </c>
      <c r="AL36" s="13" t="str">
        <f>IF(Q36&gt;=300,"Exceso en sodio",IFERROR(IF(AND(F36=0,Q36&gt;0),"No tiene sello",IF(Q36/F36&gt;1,"Exceso en sodio","No tiene sello")),"No tiene sello"))</f>
        <v>No tiene sello</v>
      </c>
      <c r="AM36" s="13" t="str">
        <f>IFERROR(IF(F36=0,"No tiene sello",IF(+(AG36/1000)*9*100/F36&gt;1,"Exceso en grasa trans", "No tiene sello")),"No tiene sello")</f>
        <v>No tiene sello</v>
      </c>
    </row>
    <row r="37" spans="1:39" ht="13.5" customHeight="1" x14ac:dyDescent="0.25">
      <c r="A37" s="20" t="s">
        <v>1532</v>
      </c>
      <c r="B37" s="20" t="s">
        <v>1533</v>
      </c>
      <c r="C37" s="21"/>
      <c r="D37" s="22">
        <v>100</v>
      </c>
      <c r="E37" s="23">
        <v>7.5</v>
      </c>
      <c r="F37" s="24">
        <v>385</v>
      </c>
      <c r="G37" s="23">
        <v>1630</v>
      </c>
      <c r="H37" s="24">
        <v>9.9</v>
      </c>
      <c r="I37" s="24">
        <v>3.4</v>
      </c>
      <c r="J37" s="24">
        <v>77.900000000000006</v>
      </c>
      <c r="K37" s="23">
        <v>76.5</v>
      </c>
      <c r="L37" s="23">
        <v>0.5</v>
      </c>
      <c r="M37" s="24">
        <v>1.4</v>
      </c>
      <c r="N37" s="23">
        <v>1.3</v>
      </c>
      <c r="O37" s="25">
        <v>9</v>
      </c>
      <c r="P37" s="25">
        <v>4.0999999999999996</v>
      </c>
      <c r="Q37" s="23">
        <v>420</v>
      </c>
      <c r="R37" s="25">
        <v>194</v>
      </c>
      <c r="S37" s="23">
        <v>3.2</v>
      </c>
      <c r="T37" s="23">
        <v>28</v>
      </c>
      <c r="U37" s="23">
        <v>340</v>
      </c>
      <c r="V37" s="23">
        <v>0.2</v>
      </c>
      <c r="W37" s="23">
        <v>0.17</v>
      </c>
      <c r="X37" s="23">
        <v>2</v>
      </c>
      <c r="Y37" s="23">
        <v>0</v>
      </c>
      <c r="Z37" s="23">
        <v>0</v>
      </c>
      <c r="AA37" s="25">
        <v>0</v>
      </c>
      <c r="AB37" s="25">
        <v>0</v>
      </c>
      <c r="AC37" s="25">
        <v>0</v>
      </c>
      <c r="AD37" s="23">
        <v>0</v>
      </c>
      <c r="AE37" s="23">
        <v>0</v>
      </c>
      <c r="AF37" s="23">
        <v>0</v>
      </c>
      <c r="AG37" s="23">
        <v>0</v>
      </c>
      <c r="AH37" s="24">
        <v>0</v>
      </c>
      <c r="AI37" s="23">
        <v>100</v>
      </c>
      <c r="AJ37" s="13" t="str">
        <f xml:space="preserve"> IF(AD37&gt;F37,"Exceso en grasa saturada",IFERROR(IF(F37=0,"No tiene sello",IF((AD37*9)*100/F37&gt;10,"Exceso en grasa saturada","No tiene sello")),"No tiene sello"))</f>
        <v>No tiene sello</v>
      </c>
      <c r="AK37" s="13">
        <f>IF(AJ37="No tiene sello",0,1)</f>
        <v>0</v>
      </c>
      <c r="AL37" s="13" t="str">
        <f>IF(Q37&gt;=300,"Exceso en sodio",IFERROR(IF(AND(F37=0,Q37&gt;0),"No tiene sello",IF(Q37/F37&gt;1,"Exceso en sodio","No tiene sello")),"No tiene sello"))</f>
        <v>Exceso en sodio</v>
      </c>
      <c r="AM37" s="13" t="str">
        <f>IFERROR(IF(F37=0,"No tiene sello",IF(+(AG37/1000)*9*100/F37&gt;1,"Exceso en grasa trans", "No tiene sello")),"No tiene sello")</f>
        <v>No tiene sello</v>
      </c>
    </row>
    <row r="38" spans="1:39" ht="13.5" customHeight="1" x14ac:dyDescent="0.25">
      <c r="A38" s="26" t="s">
        <v>1530</v>
      </c>
      <c r="B38" s="26" t="s">
        <v>1531</v>
      </c>
      <c r="C38" s="27"/>
      <c r="D38" s="16">
        <v>100</v>
      </c>
      <c r="E38" s="28">
        <v>13.7</v>
      </c>
      <c r="F38" s="24">
        <v>360</v>
      </c>
      <c r="G38" s="28">
        <v>1525</v>
      </c>
      <c r="H38" s="24">
        <v>11</v>
      </c>
      <c r="I38" s="24">
        <v>4.0999999999999996</v>
      </c>
      <c r="J38" s="24">
        <v>69</v>
      </c>
      <c r="K38" s="28">
        <v>67.5</v>
      </c>
      <c r="L38" s="28">
        <v>0.5</v>
      </c>
      <c r="M38" s="24">
        <v>1.5</v>
      </c>
      <c r="N38" s="28">
        <v>2.2000000000000002</v>
      </c>
      <c r="O38" s="25">
        <v>44</v>
      </c>
      <c r="P38" s="25">
        <v>4.9000000000000004</v>
      </c>
      <c r="Q38" s="28">
        <v>12</v>
      </c>
      <c r="R38" s="25">
        <v>97</v>
      </c>
      <c r="S38" s="28">
        <v>2.7</v>
      </c>
      <c r="T38" s="28">
        <v>146</v>
      </c>
      <c r="U38" s="28">
        <v>465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5">
        <v>0</v>
      </c>
      <c r="AB38" s="25">
        <v>0</v>
      </c>
      <c r="AC38" s="25">
        <v>0</v>
      </c>
      <c r="AD38" s="28">
        <v>0</v>
      </c>
      <c r="AE38" s="28">
        <v>0</v>
      </c>
      <c r="AF38" s="28">
        <v>0</v>
      </c>
      <c r="AG38" s="28">
        <v>0</v>
      </c>
      <c r="AH38" s="24">
        <v>0</v>
      </c>
      <c r="AI38" s="28">
        <v>100</v>
      </c>
      <c r="AJ38" s="13" t="str">
        <f xml:space="preserve"> IF(AD38&gt;F38,"Exceso en grasa saturada",IFERROR(IF(F38=0,"No tiene sello",IF((AD38*9)*100/F38&gt;10,"Exceso en grasa saturada","No tiene sello")),"No tiene sello"))</f>
        <v>No tiene sello</v>
      </c>
      <c r="AK38" s="13">
        <f>IF(AJ38="No tiene sello",0,1)</f>
        <v>0</v>
      </c>
      <c r="AL38" s="13" t="str">
        <f>IF(Q38&gt;=300,"Exceso en sodio",IFERROR(IF(AND(F38=0,Q38&gt;0),"No tiene sello",IF(Q38/F38&gt;1,"Exceso en sodio","No tiene sello")),"No tiene sello"))</f>
        <v>No tiene sello</v>
      </c>
      <c r="AM38" s="13" t="str">
        <f>IFERROR(IF(F38=0,"No tiene sello",IF(+(AG38/1000)*9*100/F38&gt;1,"Exceso en grasa trans", "No tiene sello")),"No tiene sello")</f>
        <v>No tiene sello</v>
      </c>
    </row>
    <row r="39" spans="1:39" ht="13.5" customHeight="1" x14ac:dyDescent="0.25">
      <c r="A39" s="20" t="s">
        <v>1528</v>
      </c>
      <c r="B39" s="20" t="s">
        <v>1529</v>
      </c>
      <c r="C39" s="21"/>
      <c r="D39" s="22">
        <v>100</v>
      </c>
      <c r="E39" s="23">
        <v>12.2</v>
      </c>
      <c r="F39" s="24">
        <v>363</v>
      </c>
      <c r="G39" s="23">
        <v>1541</v>
      </c>
      <c r="H39" s="24">
        <v>13.2</v>
      </c>
      <c r="I39" s="24">
        <v>1.9</v>
      </c>
      <c r="J39" s="24">
        <v>72.099999999999994</v>
      </c>
      <c r="K39" s="23">
        <v>69.7</v>
      </c>
      <c r="L39" s="23">
        <v>0.45</v>
      </c>
      <c r="M39" s="24">
        <v>2.4</v>
      </c>
      <c r="N39" s="23">
        <v>0.6</v>
      </c>
      <c r="O39" s="25">
        <v>18</v>
      </c>
      <c r="P39" s="25">
        <v>5.0999999999999996</v>
      </c>
      <c r="Q39" s="23">
        <v>2</v>
      </c>
      <c r="R39" s="25">
        <v>146</v>
      </c>
      <c r="S39" s="23">
        <v>1.6</v>
      </c>
      <c r="T39" s="23">
        <v>34</v>
      </c>
      <c r="U39" s="23">
        <v>120</v>
      </c>
      <c r="V39" s="23">
        <v>0.77</v>
      </c>
      <c r="W39" s="23">
        <v>0.46</v>
      </c>
      <c r="X39" s="23">
        <v>6</v>
      </c>
      <c r="Y39" s="23">
        <v>214</v>
      </c>
      <c r="Z39" s="23">
        <v>0</v>
      </c>
      <c r="AA39" s="25">
        <v>0</v>
      </c>
      <c r="AB39" s="25">
        <v>0</v>
      </c>
      <c r="AC39" s="25">
        <v>2</v>
      </c>
      <c r="AD39" s="23">
        <v>0.3</v>
      </c>
      <c r="AE39" s="23">
        <v>0.2</v>
      </c>
      <c r="AF39" s="23">
        <v>0.7</v>
      </c>
      <c r="AG39" s="23">
        <v>0</v>
      </c>
      <c r="AH39" s="24">
        <v>0</v>
      </c>
      <c r="AI39" s="23">
        <v>100</v>
      </c>
      <c r="AJ39" s="13" t="str">
        <f xml:space="preserve"> IF(AD39&gt;F39,"Exceso en grasa saturada",IFERROR(IF(F39=0,"No tiene sello",IF((AD39*9)*100/F39&gt;10,"Exceso en grasa saturada","No tiene sello")),"No tiene sello"))</f>
        <v>No tiene sello</v>
      </c>
      <c r="AK39" s="13">
        <f>IF(AJ39="No tiene sello",0,1)</f>
        <v>0</v>
      </c>
      <c r="AL39" s="13" t="str">
        <f>IF(Q39&gt;=300,"Exceso en sodio",IFERROR(IF(AND(F39=0,Q39&gt;0),"No tiene sello",IF(Q39/F39&gt;1,"Exceso en sodio","No tiene sello")),"No tiene sello"))</f>
        <v>No tiene sello</v>
      </c>
      <c r="AM39" s="13" t="str">
        <f>IFERROR(IF(F39=0,"No tiene sello",IF(+(AG39/1000)*9*100/F39&gt;1,"Exceso en grasa trans", "No tiene sello")),"No tiene sello")</f>
        <v>No tiene sello</v>
      </c>
    </row>
    <row r="40" spans="1:39" ht="13.5" customHeight="1" x14ac:dyDescent="0.25">
      <c r="A40" s="26" t="s">
        <v>1526</v>
      </c>
      <c r="B40" s="26" t="s">
        <v>1527</v>
      </c>
      <c r="C40" s="27"/>
      <c r="D40" s="16">
        <v>100</v>
      </c>
      <c r="E40" s="28">
        <v>12.8</v>
      </c>
      <c r="F40" s="24">
        <v>358</v>
      </c>
      <c r="G40" s="28">
        <v>1517</v>
      </c>
      <c r="H40" s="24">
        <v>9.5</v>
      </c>
      <c r="I40" s="24">
        <v>1.4</v>
      </c>
      <c r="J40" s="24">
        <v>75.599999999999994</v>
      </c>
      <c r="K40" s="28">
        <v>73.3</v>
      </c>
      <c r="L40" s="28">
        <v>0.45</v>
      </c>
      <c r="M40" s="24">
        <v>2.2999999999999998</v>
      </c>
      <c r="N40" s="28">
        <v>0.7</v>
      </c>
      <c r="O40" s="25">
        <v>30</v>
      </c>
      <c r="P40" s="25">
        <v>5.2</v>
      </c>
      <c r="Q40" s="28">
        <v>2</v>
      </c>
      <c r="R40" s="25">
        <v>140</v>
      </c>
      <c r="S40" s="28">
        <v>0.8</v>
      </c>
      <c r="T40" s="28">
        <v>24</v>
      </c>
      <c r="U40" s="28">
        <v>140</v>
      </c>
      <c r="V40" s="28">
        <v>0.56999999999999995</v>
      </c>
      <c r="W40" s="28">
        <v>0.05</v>
      </c>
      <c r="X40" s="28">
        <v>6.3</v>
      </c>
      <c r="Y40" s="28">
        <v>210</v>
      </c>
      <c r="Z40" s="28">
        <v>0</v>
      </c>
      <c r="AA40" s="25">
        <v>0</v>
      </c>
      <c r="AB40" s="25">
        <v>0</v>
      </c>
      <c r="AC40" s="25">
        <v>2</v>
      </c>
      <c r="AD40" s="28">
        <v>0.3</v>
      </c>
      <c r="AE40" s="28">
        <v>0.2</v>
      </c>
      <c r="AF40" s="28">
        <v>0.6</v>
      </c>
      <c r="AG40" s="28">
        <v>0</v>
      </c>
      <c r="AH40" s="24">
        <v>0</v>
      </c>
      <c r="AI40" s="28">
        <v>100</v>
      </c>
      <c r="AJ40" s="13" t="str">
        <f xml:space="preserve"> IF(AD40&gt;F40,"Exceso en grasa saturada",IFERROR(IF(F40=0,"No tiene sello",IF((AD40*9)*100/F40&gt;10,"Exceso en grasa saturada","No tiene sello")),"No tiene sello"))</f>
        <v>No tiene sello</v>
      </c>
      <c r="AK40" s="13">
        <f>IF(AJ40="No tiene sello",0,1)</f>
        <v>0</v>
      </c>
      <c r="AL40" s="13" t="str">
        <f>IF(Q40&gt;=300,"Exceso en sodio",IFERROR(IF(AND(F40=0,Q40&gt;0),"No tiene sello",IF(Q40/F40&gt;1,"Exceso en sodio","No tiene sello")),"No tiene sello"))</f>
        <v>No tiene sello</v>
      </c>
      <c r="AM40" s="13" t="str">
        <f>IFERROR(IF(F40=0,"No tiene sello",IF(+(AG40/1000)*9*100/F40&gt;1,"Exceso en grasa trans", "No tiene sello")),"No tiene sello")</f>
        <v>No tiene sello</v>
      </c>
    </row>
    <row r="41" spans="1:39" ht="13.5" customHeight="1" x14ac:dyDescent="0.25">
      <c r="A41" s="20" t="s">
        <v>1524</v>
      </c>
      <c r="B41" s="20" t="s">
        <v>1525</v>
      </c>
      <c r="C41" s="21"/>
      <c r="D41" s="22">
        <v>100</v>
      </c>
      <c r="E41" s="23">
        <v>13</v>
      </c>
      <c r="F41" s="24">
        <v>360</v>
      </c>
      <c r="G41" s="23">
        <v>1527</v>
      </c>
      <c r="H41" s="24">
        <v>12.5</v>
      </c>
      <c r="I41" s="24">
        <v>1.7</v>
      </c>
      <c r="J41" s="24">
        <v>72.3</v>
      </c>
      <c r="K41" s="23">
        <v>69.7</v>
      </c>
      <c r="L41" s="23">
        <v>0.45</v>
      </c>
      <c r="M41" s="24">
        <v>2.6</v>
      </c>
      <c r="N41" s="23">
        <v>0.5</v>
      </c>
      <c r="O41" s="25">
        <v>15</v>
      </c>
      <c r="P41" s="25">
        <v>4.3</v>
      </c>
      <c r="Q41" s="23">
        <v>2</v>
      </c>
      <c r="R41" s="25">
        <v>107</v>
      </c>
      <c r="S41" s="23">
        <v>1</v>
      </c>
      <c r="T41" s="23">
        <v>26</v>
      </c>
      <c r="U41" s="23">
        <v>103</v>
      </c>
      <c r="V41" s="23">
        <v>0.98</v>
      </c>
      <c r="W41" s="23">
        <v>0.47</v>
      </c>
      <c r="X41" s="23">
        <v>6.1</v>
      </c>
      <c r="Y41" s="23">
        <v>216</v>
      </c>
      <c r="Z41" s="23">
        <v>0</v>
      </c>
      <c r="AA41" s="25">
        <v>0</v>
      </c>
      <c r="AB41" s="25">
        <v>0</v>
      </c>
      <c r="AC41" s="25">
        <v>2</v>
      </c>
      <c r="AD41" s="23">
        <v>0.3</v>
      </c>
      <c r="AE41" s="23">
        <v>0.1</v>
      </c>
      <c r="AF41" s="23">
        <v>0.7</v>
      </c>
      <c r="AG41" s="23">
        <v>0</v>
      </c>
      <c r="AH41" s="24">
        <v>0</v>
      </c>
      <c r="AI41" s="23">
        <v>100</v>
      </c>
      <c r="AJ41" s="13" t="str">
        <f xml:space="preserve"> IF(AD41&gt;F41,"Exceso en grasa saturada",IFERROR(IF(F41=0,"No tiene sello",IF((AD41*9)*100/F41&gt;10,"Exceso en grasa saturada","No tiene sello")),"No tiene sello"))</f>
        <v>No tiene sello</v>
      </c>
      <c r="AK41" s="13">
        <f>IF(AJ41="No tiene sello",0,1)</f>
        <v>0</v>
      </c>
      <c r="AL41" s="13" t="str">
        <f>IF(Q41&gt;=300,"Exceso en sodio",IFERROR(IF(AND(F41=0,Q41&gt;0),"No tiene sello",IF(Q41/F41&gt;1,"Exceso en sodio","No tiene sello")),"No tiene sello"))</f>
        <v>No tiene sello</v>
      </c>
      <c r="AM41" s="13" t="str">
        <f>IFERROR(IF(F41=0,"No tiene sello",IF(+(AG41/1000)*9*100/F41&gt;1,"Exceso en grasa trans", "No tiene sello")),"No tiene sello")</f>
        <v>No tiene sello</v>
      </c>
    </row>
    <row r="42" spans="1:39" ht="13.5" customHeight="1" x14ac:dyDescent="0.25">
      <c r="A42" s="26" t="s">
        <v>1522</v>
      </c>
      <c r="B42" s="26" t="s">
        <v>1523</v>
      </c>
      <c r="C42" s="27"/>
      <c r="D42" s="16">
        <v>100</v>
      </c>
      <c r="E42" s="28">
        <v>11</v>
      </c>
      <c r="F42" s="24">
        <v>382</v>
      </c>
      <c r="G42" s="28">
        <v>1616</v>
      </c>
      <c r="H42" s="24">
        <v>13.8</v>
      </c>
      <c r="I42" s="24">
        <v>2.1</v>
      </c>
      <c r="J42" s="24">
        <v>71.2</v>
      </c>
      <c r="K42" s="28">
        <v>59.8</v>
      </c>
      <c r="L42" s="28">
        <v>0.5</v>
      </c>
      <c r="M42" s="24">
        <v>11.4</v>
      </c>
      <c r="N42" s="28">
        <v>1.8</v>
      </c>
      <c r="O42" s="25">
        <v>48</v>
      </c>
      <c r="P42" s="25">
        <v>4</v>
      </c>
      <c r="Q42" s="28">
        <v>3</v>
      </c>
      <c r="R42" s="25">
        <v>390</v>
      </c>
      <c r="S42" s="28">
        <v>3.4</v>
      </c>
      <c r="T42" s="28">
        <v>124</v>
      </c>
      <c r="U42" s="28">
        <v>500</v>
      </c>
      <c r="V42" s="28">
        <v>0.45</v>
      </c>
      <c r="W42" s="28">
        <v>0.26</v>
      </c>
      <c r="X42" s="28">
        <v>5.2</v>
      </c>
      <c r="Y42" s="28">
        <v>49</v>
      </c>
      <c r="Z42" s="28">
        <v>0</v>
      </c>
      <c r="AA42" s="25">
        <v>0</v>
      </c>
      <c r="AB42" s="25">
        <v>0</v>
      </c>
      <c r="AC42" s="25">
        <v>0</v>
      </c>
      <c r="AD42" s="28">
        <v>0.4</v>
      </c>
      <c r="AE42" s="28">
        <v>0.3</v>
      </c>
      <c r="AF42" s="28">
        <v>1.1000000000000001</v>
      </c>
      <c r="AG42" s="28">
        <v>0</v>
      </c>
      <c r="AH42" s="24">
        <v>0</v>
      </c>
      <c r="AI42" s="28">
        <v>100</v>
      </c>
      <c r="AJ42" s="13" t="str">
        <f xml:space="preserve"> IF(AD42&gt;F42,"Exceso en grasa saturada",IFERROR(IF(F42=0,"No tiene sello",IF((AD42*9)*100/F42&gt;10,"Exceso en grasa saturada","No tiene sello")),"No tiene sello"))</f>
        <v>No tiene sello</v>
      </c>
      <c r="AK42" s="13">
        <f>IF(AJ42="No tiene sello",0,1)</f>
        <v>0</v>
      </c>
      <c r="AL42" s="13" t="str">
        <f>IF(Q42&gt;=300,"Exceso en sodio",IFERROR(IF(AND(F42=0,Q42&gt;0),"No tiene sello",IF(Q42/F42&gt;1,"Exceso en sodio","No tiene sello")),"No tiene sello"))</f>
        <v>No tiene sello</v>
      </c>
      <c r="AM42" s="13" t="str">
        <f>IFERROR(IF(F42=0,"No tiene sello",IF(+(AG42/1000)*9*100/F42&gt;1,"Exceso en grasa trans", "No tiene sello")),"No tiene sello")</f>
        <v>No tiene sello</v>
      </c>
    </row>
    <row r="43" spans="1:39" ht="13.5" customHeight="1" x14ac:dyDescent="0.25">
      <c r="A43" s="20" t="s">
        <v>1520</v>
      </c>
      <c r="B43" s="20" t="s">
        <v>1521</v>
      </c>
      <c r="C43" s="21"/>
      <c r="D43" s="22">
        <v>100</v>
      </c>
      <c r="E43" s="23">
        <v>10</v>
      </c>
      <c r="F43" s="24">
        <v>555</v>
      </c>
      <c r="G43" s="23">
        <v>2310</v>
      </c>
      <c r="H43" s="24">
        <v>7.4</v>
      </c>
      <c r="I43" s="24">
        <v>38.5</v>
      </c>
      <c r="J43" s="24">
        <v>44</v>
      </c>
      <c r="K43" s="23">
        <v>42.5</v>
      </c>
      <c r="L43" s="23">
        <v>4.4000000000000004</v>
      </c>
      <c r="M43" s="24">
        <v>1.5</v>
      </c>
      <c r="N43" s="23">
        <v>0.1</v>
      </c>
      <c r="O43" s="25">
        <v>14</v>
      </c>
      <c r="P43" s="25">
        <v>2.4</v>
      </c>
      <c r="Q43" s="23">
        <v>307</v>
      </c>
      <c r="R43" s="25">
        <v>43</v>
      </c>
      <c r="S43" s="23">
        <v>0.5</v>
      </c>
      <c r="T43" s="23">
        <v>16</v>
      </c>
      <c r="U43" s="23">
        <v>62</v>
      </c>
      <c r="V43" s="23">
        <v>0.01</v>
      </c>
      <c r="W43" s="23">
        <v>0.06</v>
      </c>
      <c r="X43" s="23">
        <v>3.8</v>
      </c>
      <c r="Y43" s="23">
        <v>55</v>
      </c>
      <c r="Z43" s="23">
        <v>0</v>
      </c>
      <c r="AA43" s="25">
        <v>0</v>
      </c>
      <c r="AB43" s="25">
        <v>17</v>
      </c>
      <c r="AC43" s="25">
        <v>0</v>
      </c>
      <c r="AD43" s="23">
        <v>5.5</v>
      </c>
      <c r="AE43" s="23">
        <v>8.8000000000000007</v>
      </c>
      <c r="AF43" s="23">
        <v>22.2</v>
      </c>
      <c r="AG43" s="23">
        <v>180</v>
      </c>
      <c r="AH43" s="24">
        <v>0</v>
      </c>
      <c r="AI43" s="23">
        <v>100</v>
      </c>
      <c r="AJ43" s="13" t="str">
        <f xml:space="preserve"> IF(AD43&gt;F43,"Exceso en grasa saturada",IFERROR(IF(F43=0,"No tiene sello",IF((AD43*9)*100/F43&gt;10,"Exceso en grasa saturada","No tiene sello")),"No tiene sello"))</f>
        <v>No tiene sello</v>
      </c>
      <c r="AK43" s="13">
        <f>IF(AJ43="No tiene sello",0,1)</f>
        <v>0</v>
      </c>
      <c r="AL43" s="13" t="str">
        <f>IF(Q43&gt;=300,"Exceso en sodio",IFERROR(IF(AND(F43=0,Q43&gt;0),"No tiene sello",IF(Q43/F43&gt;1,"Exceso en sodio","No tiene sello")),"No tiene sello"))</f>
        <v>Exceso en sodio</v>
      </c>
      <c r="AM43" s="13" t="str">
        <f>IFERROR(IF(F43=0,"No tiene sello",IF(+(AG43/1000)*9*100/F43&gt;1,"Exceso en grasa trans", "No tiene sello")),"No tiene sello")</f>
        <v>No tiene sello</v>
      </c>
    </row>
    <row r="44" spans="1:39" ht="13.5" customHeight="1" x14ac:dyDescent="0.25">
      <c r="A44" s="26" t="s">
        <v>1518</v>
      </c>
      <c r="B44" s="26" t="s">
        <v>1519</v>
      </c>
      <c r="C44" s="26" t="s">
        <v>3</v>
      </c>
      <c r="D44" s="16">
        <v>100</v>
      </c>
      <c r="E44" s="28">
        <v>10.1</v>
      </c>
      <c r="F44" s="24">
        <v>393</v>
      </c>
      <c r="G44" s="28">
        <v>1660</v>
      </c>
      <c r="H44" s="24">
        <v>9.4</v>
      </c>
      <c r="I44" s="24">
        <v>4.7</v>
      </c>
      <c r="J44" s="24">
        <v>74.5</v>
      </c>
      <c r="K44" s="28">
        <v>67.2</v>
      </c>
      <c r="L44" s="28">
        <v>0.5</v>
      </c>
      <c r="M44" s="24">
        <v>7.3</v>
      </c>
      <c r="N44" s="28">
        <v>1.2</v>
      </c>
      <c r="O44" s="25">
        <v>7</v>
      </c>
      <c r="P44" s="25">
        <v>2.7</v>
      </c>
      <c r="Q44" s="28">
        <v>35</v>
      </c>
      <c r="R44" s="25">
        <v>213</v>
      </c>
      <c r="S44" s="28">
        <v>2.2000000000000002</v>
      </c>
      <c r="T44" s="28">
        <v>127</v>
      </c>
      <c r="U44" s="28">
        <v>287</v>
      </c>
      <c r="V44" s="28">
        <v>0.38</v>
      </c>
      <c r="W44" s="28">
        <v>0.2</v>
      </c>
      <c r="X44" s="28">
        <v>3.6</v>
      </c>
      <c r="Y44" s="28">
        <v>19</v>
      </c>
      <c r="Z44" s="28">
        <v>0</v>
      </c>
      <c r="AA44" s="25">
        <v>0</v>
      </c>
      <c r="AB44" s="25">
        <v>34</v>
      </c>
      <c r="AC44" s="25">
        <v>0</v>
      </c>
      <c r="AD44" s="28">
        <v>0.7</v>
      </c>
      <c r="AE44" s="28">
        <v>1.3</v>
      </c>
      <c r="AF44" s="28">
        <v>2.2000000000000002</v>
      </c>
      <c r="AG44" s="28">
        <v>0</v>
      </c>
      <c r="AH44" s="24">
        <v>0</v>
      </c>
      <c r="AI44" s="28">
        <v>100</v>
      </c>
      <c r="AJ44" s="13" t="str">
        <f xml:space="preserve"> IF(AD44&gt;F44,"Exceso en grasa saturada",IFERROR(IF(F44=0,"No tiene sello",IF((AD44*9)*100/F44&gt;10,"Exceso en grasa saturada","No tiene sello")),"No tiene sello"))</f>
        <v>No tiene sello</v>
      </c>
      <c r="AK44" s="13">
        <f>IF(AJ44="No tiene sello",0,1)</f>
        <v>0</v>
      </c>
      <c r="AL44" s="13" t="str">
        <f>IF(Q44&gt;=300,"Exceso en sodio",IFERROR(IF(AND(F44=0,Q44&gt;0),"No tiene sello",IF(Q44/F44&gt;1,"Exceso en sodio","No tiene sello")),"No tiene sello"))</f>
        <v>No tiene sello</v>
      </c>
      <c r="AM44" s="13" t="str">
        <f>IFERROR(IF(F44=0,"No tiene sello",IF(+(AG44/1000)*9*100/F44&gt;1,"Exceso en grasa trans", "No tiene sello")),"No tiene sello")</f>
        <v>No tiene sello</v>
      </c>
    </row>
    <row r="45" spans="1:39" ht="13.5" customHeight="1" x14ac:dyDescent="0.25">
      <c r="A45" s="20" t="s">
        <v>1516</v>
      </c>
      <c r="B45" s="20" t="s">
        <v>1517</v>
      </c>
      <c r="C45" s="20" t="s">
        <v>3</v>
      </c>
      <c r="D45" s="22">
        <v>100</v>
      </c>
      <c r="E45" s="23">
        <v>13.2</v>
      </c>
      <c r="F45" s="24">
        <v>347</v>
      </c>
      <c r="G45" s="23">
        <v>1472</v>
      </c>
      <c r="H45" s="24">
        <v>8.8000000000000007</v>
      </c>
      <c r="I45" s="24">
        <v>0.8</v>
      </c>
      <c r="J45" s="24">
        <v>76</v>
      </c>
      <c r="K45" s="23">
        <v>0</v>
      </c>
      <c r="L45" s="23">
        <v>0.5</v>
      </c>
      <c r="M45" s="24">
        <v>0</v>
      </c>
      <c r="N45" s="23">
        <v>1.1000000000000001</v>
      </c>
      <c r="O45" s="25">
        <v>7</v>
      </c>
      <c r="P45" s="25">
        <v>2.1</v>
      </c>
      <c r="Q45" s="23">
        <v>0</v>
      </c>
      <c r="R45" s="25">
        <v>281</v>
      </c>
      <c r="S45" s="23">
        <v>3.2</v>
      </c>
      <c r="T45" s="23">
        <v>0</v>
      </c>
      <c r="U45" s="23">
        <v>0</v>
      </c>
      <c r="V45" s="23">
        <v>0.34</v>
      </c>
      <c r="W45" s="23">
        <v>0.1</v>
      </c>
      <c r="X45" s="23">
        <v>1.9</v>
      </c>
      <c r="Y45" s="23">
        <v>0</v>
      </c>
      <c r="Z45" s="23">
        <v>0</v>
      </c>
      <c r="AA45" s="25">
        <v>0</v>
      </c>
      <c r="AB45" s="25">
        <v>90</v>
      </c>
      <c r="AC45" s="25">
        <v>0</v>
      </c>
      <c r="AD45" s="23">
        <v>0</v>
      </c>
      <c r="AE45" s="23">
        <v>0</v>
      </c>
      <c r="AF45" s="23">
        <v>0</v>
      </c>
      <c r="AG45" s="23">
        <v>0</v>
      </c>
      <c r="AH45" s="24">
        <v>0</v>
      </c>
      <c r="AI45" s="23">
        <v>100</v>
      </c>
      <c r="AJ45" s="13" t="str">
        <f xml:space="preserve"> IF(AD45&gt;F45,"Exceso en grasa saturada",IFERROR(IF(F45=0,"No tiene sello",IF((AD45*9)*100/F45&gt;10,"Exceso en grasa saturada","No tiene sello")),"No tiene sello"))</f>
        <v>No tiene sello</v>
      </c>
      <c r="AK45" s="13">
        <f>IF(AJ45="No tiene sello",0,1)</f>
        <v>0</v>
      </c>
      <c r="AL45" s="13" t="str">
        <f>IF(Q45&gt;=300,"Exceso en sodio",IFERROR(IF(AND(F45=0,Q45&gt;0),"No tiene sello",IF(Q45/F45&gt;1,"Exceso en sodio","No tiene sello")),"No tiene sello"))</f>
        <v>No tiene sello</v>
      </c>
      <c r="AM45" s="13" t="str">
        <f>IFERROR(IF(F45=0,"No tiene sello",IF(+(AG45/1000)*9*100/F45&gt;1,"Exceso en grasa trans", "No tiene sello")),"No tiene sello")</f>
        <v>No tiene sello</v>
      </c>
    </row>
    <row r="46" spans="1:39" ht="13.5" customHeight="1" x14ac:dyDescent="0.25">
      <c r="A46" s="26" t="s">
        <v>1514</v>
      </c>
      <c r="B46" s="26" t="s">
        <v>1515</v>
      </c>
      <c r="C46" s="26" t="s">
        <v>3</v>
      </c>
      <c r="D46" s="16">
        <v>100</v>
      </c>
      <c r="E46" s="28">
        <v>13.3</v>
      </c>
      <c r="F46" s="24">
        <v>363</v>
      </c>
      <c r="G46" s="28">
        <v>1539</v>
      </c>
      <c r="H46" s="24">
        <v>9.4</v>
      </c>
      <c r="I46" s="24">
        <v>3.8</v>
      </c>
      <c r="J46" s="24">
        <v>72.2</v>
      </c>
      <c r="K46" s="28">
        <v>70.8</v>
      </c>
      <c r="L46" s="28">
        <v>0.5</v>
      </c>
      <c r="M46" s="24">
        <v>1.4</v>
      </c>
      <c r="N46" s="28">
        <v>1.3</v>
      </c>
      <c r="O46" s="25">
        <v>4</v>
      </c>
      <c r="P46" s="25">
        <v>2.4</v>
      </c>
      <c r="Q46" s="28">
        <v>35</v>
      </c>
      <c r="R46" s="25">
        <v>228</v>
      </c>
      <c r="S46" s="28">
        <v>2.2000000000000002</v>
      </c>
      <c r="T46" s="28">
        <v>127</v>
      </c>
      <c r="U46" s="28">
        <v>287</v>
      </c>
      <c r="V46" s="28">
        <v>0.32</v>
      </c>
      <c r="W46" s="28">
        <v>0.09</v>
      </c>
      <c r="X46" s="28">
        <v>2.2999999999999998</v>
      </c>
      <c r="Y46" s="28">
        <v>0</v>
      </c>
      <c r="Z46" s="28">
        <v>0</v>
      </c>
      <c r="AA46" s="25">
        <v>1</v>
      </c>
      <c r="AB46" s="25">
        <v>0</v>
      </c>
      <c r="AC46" s="25">
        <v>0</v>
      </c>
      <c r="AD46" s="28">
        <v>0.7</v>
      </c>
      <c r="AE46" s="28">
        <v>1.3</v>
      </c>
      <c r="AF46" s="28">
        <v>2.2000000000000002</v>
      </c>
      <c r="AG46" s="28">
        <v>0</v>
      </c>
      <c r="AH46" s="24">
        <v>0</v>
      </c>
      <c r="AI46" s="28">
        <v>100</v>
      </c>
      <c r="AJ46" s="13" t="str">
        <f xml:space="preserve"> IF(AD46&gt;F46,"Exceso en grasa saturada",IFERROR(IF(F46=0,"No tiene sello",IF((AD46*9)*100/F46&gt;10,"Exceso en grasa saturada","No tiene sello")),"No tiene sello"))</f>
        <v>No tiene sello</v>
      </c>
      <c r="AK46" s="13">
        <f>IF(AJ46="No tiene sello",0,1)</f>
        <v>0</v>
      </c>
      <c r="AL46" s="13" t="str">
        <f>IF(Q46&gt;=300,"Exceso en sodio",IFERROR(IF(AND(F46=0,Q46&gt;0),"No tiene sello",IF(Q46/F46&gt;1,"Exceso en sodio","No tiene sello")),"No tiene sello"))</f>
        <v>No tiene sello</v>
      </c>
      <c r="AM46" s="13" t="str">
        <f>IFERROR(IF(F46=0,"No tiene sello",IF(+(AG46/1000)*9*100/F46&gt;1,"Exceso en grasa trans", "No tiene sello")),"No tiene sello")</f>
        <v>No tiene sello</v>
      </c>
    </row>
    <row r="47" spans="1:39" ht="13.5" customHeight="1" x14ac:dyDescent="0.25">
      <c r="A47" s="20" t="s">
        <v>1512</v>
      </c>
      <c r="B47" s="20" t="s">
        <v>1513</v>
      </c>
      <c r="C47" s="20" t="s">
        <v>3</v>
      </c>
      <c r="D47" s="22">
        <v>100</v>
      </c>
      <c r="E47" s="23">
        <v>12.2</v>
      </c>
      <c r="F47" s="24">
        <v>357</v>
      </c>
      <c r="G47" s="23">
        <v>1517</v>
      </c>
      <c r="H47" s="24">
        <v>8.6999999999999993</v>
      </c>
      <c r="I47" s="24">
        <v>0.9</v>
      </c>
      <c r="J47" s="24">
        <v>77.900000000000006</v>
      </c>
      <c r="K47" s="23">
        <v>76.5</v>
      </c>
      <c r="L47" s="23">
        <v>0.5</v>
      </c>
      <c r="M47" s="24">
        <v>1.4</v>
      </c>
      <c r="N47" s="23">
        <v>0.3</v>
      </c>
      <c r="O47" s="25">
        <v>10</v>
      </c>
      <c r="P47" s="25">
        <v>2</v>
      </c>
      <c r="Q47" s="23">
        <v>6</v>
      </c>
      <c r="R47" s="25">
        <v>71</v>
      </c>
      <c r="S47" s="23">
        <v>0</v>
      </c>
      <c r="T47" s="23">
        <v>0</v>
      </c>
      <c r="U47" s="23">
        <v>0</v>
      </c>
      <c r="V47" s="23">
        <v>0.2</v>
      </c>
      <c r="W47" s="23">
        <v>0.03</v>
      </c>
      <c r="X47" s="23">
        <v>1.1000000000000001</v>
      </c>
      <c r="Y47" s="23">
        <v>0</v>
      </c>
      <c r="Z47" s="23">
        <v>0</v>
      </c>
      <c r="AA47" s="25">
        <v>0</v>
      </c>
      <c r="AB47" s="25">
        <v>0</v>
      </c>
      <c r="AC47" s="25">
        <v>0</v>
      </c>
      <c r="AD47" s="23">
        <v>0</v>
      </c>
      <c r="AE47" s="23">
        <v>0</v>
      </c>
      <c r="AF47" s="23">
        <v>0</v>
      </c>
      <c r="AG47" s="23">
        <v>0</v>
      </c>
      <c r="AH47" s="24">
        <v>0</v>
      </c>
      <c r="AI47" s="23">
        <v>100</v>
      </c>
      <c r="AJ47" s="13" t="str">
        <f xml:space="preserve"> IF(AD47&gt;F47,"Exceso en grasa saturada",IFERROR(IF(F47=0,"No tiene sello",IF((AD47*9)*100/F47&gt;10,"Exceso en grasa saturada","No tiene sello")),"No tiene sello"))</f>
        <v>No tiene sello</v>
      </c>
      <c r="AK47" s="13">
        <f>IF(AJ47="No tiene sello",0,1)</f>
        <v>0</v>
      </c>
      <c r="AL47" s="13" t="str">
        <f>IF(Q47&gt;=300,"Exceso en sodio",IFERROR(IF(AND(F47=0,Q47&gt;0),"No tiene sello",IF(Q47/F47&gt;1,"Exceso en sodio","No tiene sello")),"No tiene sello"))</f>
        <v>No tiene sello</v>
      </c>
      <c r="AM47" s="13" t="str">
        <f>IFERROR(IF(F47=0,"No tiene sello",IF(+(AG47/1000)*9*100/F47&gt;1,"Exceso en grasa trans", "No tiene sello")),"No tiene sello")</f>
        <v>No tiene sello</v>
      </c>
    </row>
    <row r="48" spans="1:39" ht="13.5" customHeight="1" x14ac:dyDescent="0.25">
      <c r="A48" s="26" t="s">
        <v>1510</v>
      </c>
      <c r="B48" s="26" t="s">
        <v>1511</v>
      </c>
      <c r="C48" s="26" t="s">
        <v>3</v>
      </c>
      <c r="D48" s="16">
        <v>100</v>
      </c>
      <c r="E48" s="28">
        <v>54.5</v>
      </c>
      <c r="F48" s="24">
        <v>180</v>
      </c>
      <c r="G48" s="28">
        <v>764</v>
      </c>
      <c r="H48" s="24">
        <v>2.8</v>
      </c>
      <c r="I48" s="24">
        <v>0.4</v>
      </c>
      <c r="J48" s="24">
        <v>41.3</v>
      </c>
      <c r="K48" s="28">
        <v>0</v>
      </c>
      <c r="L48" s="28">
        <v>0.5</v>
      </c>
      <c r="M48" s="24">
        <v>0</v>
      </c>
      <c r="N48" s="28">
        <v>1</v>
      </c>
      <c r="O48" s="25">
        <v>60</v>
      </c>
      <c r="P48" s="25">
        <v>3</v>
      </c>
      <c r="Q48" s="28">
        <v>0</v>
      </c>
      <c r="R48" s="25">
        <v>62</v>
      </c>
      <c r="S48" s="28">
        <v>0</v>
      </c>
      <c r="T48" s="28">
        <v>0</v>
      </c>
      <c r="U48" s="28">
        <v>0</v>
      </c>
      <c r="V48" s="28">
        <v>0.13</v>
      </c>
      <c r="W48" s="28">
        <v>0.1</v>
      </c>
      <c r="X48" s="28">
        <v>1.6</v>
      </c>
      <c r="Y48" s="28">
        <v>0</v>
      </c>
      <c r="Z48" s="28">
        <v>0</v>
      </c>
      <c r="AA48" s="25">
        <v>3</v>
      </c>
      <c r="AB48" s="25">
        <v>0</v>
      </c>
      <c r="AC48" s="25">
        <v>0</v>
      </c>
      <c r="AD48" s="28">
        <v>0</v>
      </c>
      <c r="AE48" s="28">
        <v>0</v>
      </c>
      <c r="AF48" s="28">
        <v>0</v>
      </c>
      <c r="AG48" s="28">
        <v>0</v>
      </c>
      <c r="AH48" s="24">
        <v>0</v>
      </c>
      <c r="AI48" s="28">
        <v>100</v>
      </c>
      <c r="AJ48" s="13" t="str">
        <f xml:space="preserve"> IF(AD48&gt;F48,"Exceso en grasa saturada",IFERROR(IF(F48=0,"No tiene sello",IF((AD48*9)*100/F48&gt;10,"Exceso en grasa saturada","No tiene sello")),"No tiene sello"))</f>
        <v>No tiene sello</v>
      </c>
      <c r="AK48" s="13">
        <f>IF(AJ48="No tiene sello",0,1)</f>
        <v>0</v>
      </c>
      <c r="AL48" s="13" t="str">
        <f>IF(Q48&gt;=300,"Exceso en sodio",IFERROR(IF(AND(F48=0,Q48&gt;0),"No tiene sello",IF(Q48/F48&gt;1,"Exceso en sodio","No tiene sello")),"No tiene sello"))</f>
        <v>No tiene sello</v>
      </c>
      <c r="AM48" s="13" t="str">
        <f>IFERROR(IF(F48=0,"No tiene sello",IF(+(AG48/1000)*9*100/F48&gt;1,"Exceso en grasa trans", "No tiene sello")),"No tiene sello")</f>
        <v>No tiene sello</v>
      </c>
    </row>
    <row r="49" spans="1:39" ht="13.5" customHeight="1" x14ac:dyDescent="0.25">
      <c r="A49" s="20" t="s">
        <v>1508</v>
      </c>
      <c r="B49" s="20" t="s">
        <v>1509</v>
      </c>
      <c r="C49" s="20" t="s">
        <v>3</v>
      </c>
      <c r="D49" s="22">
        <v>100</v>
      </c>
      <c r="E49" s="23">
        <v>75.7</v>
      </c>
      <c r="F49" s="24">
        <v>98</v>
      </c>
      <c r="G49" s="23">
        <v>418</v>
      </c>
      <c r="H49" s="24">
        <v>2.5</v>
      </c>
      <c r="I49" s="24">
        <v>0.5</v>
      </c>
      <c r="J49" s="24">
        <v>21</v>
      </c>
      <c r="K49" s="23">
        <v>0</v>
      </c>
      <c r="L49" s="23">
        <v>0.5</v>
      </c>
      <c r="M49" s="24">
        <v>0</v>
      </c>
      <c r="N49" s="23">
        <v>0.3</v>
      </c>
      <c r="O49" s="25">
        <v>13</v>
      </c>
      <c r="P49" s="25">
        <v>0.6</v>
      </c>
      <c r="Q49" s="23">
        <v>0</v>
      </c>
      <c r="R49" s="25">
        <v>53</v>
      </c>
      <c r="S49" s="23">
        <v>0</v>
      </c>
      <c r="T49" s="23">
        <v>0</v>
      </c>
      <c r="U49" s="23">
        <v>0</v>
      </c>
      <c r="V49" s="23">
        <v>0.04</v>
      </c>
      <c r="W49" s="23">
        <v>0.02</v>
      </c>
      <c r="X49" s="23">
        <v>0.2</v>
      </c>
      <c r="Y49" s="23">
        <v>0</v>
      </c>
      <c r="Z49" s="23">
        <v>0</v>
      </c>
      <c r="AA49" s="25">
        <v>0</v>
      </c>
      <c r="AB49" s="25">
        <v>0</v>
      </c>
      <c r="AC49" s="25">
        <v>0</v>
      </c>
      <c r="AD49" s="23">
        <v>0</v>
      </c>
      <c r="AE49" s="23">
        <v>0</v>
      </c>
      <c r="AF49" s="23">
        <v>0</v>
      </c>
      <c r="AG49" s="23">
        <v>0</v>
      </c>
      <c r="AH49" s="24">
        <v>0</v>
      </c>
      <c r="AI49" s="23">
        <v>100</v>
      </c>
      <c r="AJ49" s="13" t="str">
        <f xml:space="preserve"> IF(AD49&gt;F49,"Exceso en grasa saturada",IFERROR(IF(F49=0,"No tiene sello",IF((AD49*9)*100/F49&gt;10,"Exceso en grasa saturada","No tiene sello")),"No tiene sello"))</f>
        <v>No tiene sello</v>
      </c>
      <c r="AK49" s="13">
        <f>IF(AJ49="No tiene sello",0,1)</f>
        <v>0</v>
      </c>
      <c r="AL49" s="13" t="str">
        <f>IF(Q49&gt;=300,"Exceso en sodio",IFERROR(IF(AND(F49=0,Q49&gt;0),"No tiene sello",IF(Q49/F49&gt;1,"Exceso en sodio","No tiene sello")),"No tiene sello"))</f>
        <v>No tiene sello</v>
      </c>
      <c r="AM49" s="13" t="str">
        <f>IFERROR(IF(F49=0,"No tiene sello",IF(+(AG49/1000)*9*100/F49&gt;1,"Exceso en grasa trans", "No tiene sello")),"No tiene sello")</f>
        <v>No tiene sello</v>
      </c>
    </row>
    <row r="50" spans="1:39" ht="13.5" customHeight="1" x14ac:dyDescent="0.25">
      <c r="A50" s="26" t="s">
        <v>1506</v>
      </c>
      <c r="B50" s="26" t="s">
        <v>1507</v>
      </c>
      <c r="C50" s="26" t="s">
        <v>3</v>
      </c>
      <c r="D50" s="16">
        <v>100</v>
      </c>
      <c r="E50" s="28">
        <v>10.7</v>
      </c>
      <c r="F50" s="24">
        <v>378</v>
      </c>
      <c r="G50" s="28">
        <v>1600</v>
      </c>
      <c r="H50" s="24">
        <v>10.1</v>
      </c>
      <c r="I50" s="24">
        <v>5.0999999999999996</v>
      </c>
      <c r="J50" s="24">
        <v>72.900000000000006</v>
      </c>
      <c r="K50" s="28">
        <v>0</v>
      </c>
      <c r="L50" s="28">
        <v>0.5</v>
      </c>
      <c r="M50" s="24">
        <v>0</v>
      </c>
      <c r="N50" s="28">
        <v>1.2</v>
      </c>
      <c r="O50" s="25">
        <v>0</v>
      </c>
      <c r="P50" s="25">
        <v>0</v>
      </c>
      <c r="Q50" s="28">
        <v>0</v>
      </c>
      <c r="R50" s="25">
        <v>0</v>
      </c>
      <c r="S50" s="28">
        <v>0</v>
      </c>
      <c r="T50" s="28">
        <v>0</v>
      </c>
      <c r="U50" s="28">
        <v>0</v>
      </c>
      <c r="V50" s="28">
        <v>0.48</v>
      </c>
      <c r="W50" s="28">
        <v>0.13</v>
      </c>
      <c r="X50" s="28">
        <v>1.7</v>
      </c>
      <c r="Y50" s="28">
        <v>0</v>
      </c>
      <c r="Z50" s="28">
        <v>0</v>
      </c>
      <c r="AA50" s="25">
        <v>1</v>
      </c>
      <c r="AB50" s="25">
        <v>45</v>
      </c>
      <c r="AC50" s="25">
        <v>0</v>
      </c>
      <c r="AD50" s="28">
        <v>0</v>
      </c>
      <c r="AE50" s="28">
        <v>0</v>
      </c>
      <c r="AF50" s="28">
        <v>0</v>
      </c>
      <c r="AG50" s="28">
        <v>0</v>
      </c>
      <c r="AH50" s="24">
        <v>0</v>
      </c>
      <c r="AI50" s="28">
        <v>100</v>
      </c>
      <c r="AJ50" s="13" t="str">
        <f xml:space="preserve"> IF(AD50&gt;F50,"Exceso en grasa saturada",IFERROR(IF(F50=0,"No tiene sello",IF((AD50*9)*100/F50&gt;10,"Exceso en grasa saturada","No tiene sello")),"No tiene sello"))</f>
        <v>No tiene sello</v>
      </c>
      <c r="AK50" s="13">
        <f>IF(AJ50="No tiene sello",0,1)</f>
        <v>0</v>
      </c>
      <c r="AL50" s="13" t="str">
        <f>IF(Q50&gt;=300,"Exceso en sodio",IFERROR(IF(AND(F50=0,Q50&gt;0),"No tiene sello",IF(Q50/F50&gt;1,"Exceso en sodio","No tiene sello")),"No tiene sello"))</f>
        <v>No tiene sello</v>
      </c>
      <c r="AM50" s="13" t="str">
        <f>IFERROR(IF(F50=0,"No tiene sello",IF(+(AG50/1000)*9*100/F50&gt;1,"Exceso en grasa trans", "No tiene sello")),"No tiene sello")</f>
        <v>No tiene sello</v>
      </c>
    </row>
    <row r="51" spans="1:39" ht="13.5" customHeight="1" x14ac:dyDescent="0.25">
      <c r="A51" s="20" t="s">
        <v>1504</v>
      </c>
      <c r="B51" s="20" t="s">
        <v>1505</v>
      </c>
      <c r="C51" s="20" t="s">
        <v>3</v>
      </c>
      <c r="D51" s="22">
        <v>100</v>
      </c>
      <c r="E51" s="23">
        <v>11.4</v>
      </c>
      <c r="F51" s="24">
        <v>366</v>
      </c>
      <c r="G51" s="23">
        <v>1549</v>
      </c>
      <c r="H51" s="24">
        <v>9.6</v>
      </c>
      <c r="I51" s="24">
        <v>3.8</v>
      </c>
      <c r="J51" s="24">
        <v>73.3</v>
      </c>
      <c r="K51" s="23">
        <v>0</v>
      </c>
      <c r="L51" s="23">
        <v>0.5</v>
      </c>
      <c r="M51" s="24">
        <v>0</v>
      </c>
      <c r="N51" s="23">
        <v>1.9</v>
      </c>
      <c r="O51" s="25">
        <v>12</v>
      </c>
      <c r="P51" s="25">
        <v>10</v>
      </c>
      <c r="Q51" s="23">
        <v>12</v>
      </c>
      <c r="R51" s="25">
        <v>28</v>
      </c>
      <c r="S51" s="23">
        <v>0</v>
      </c>
      <c r="T51" s="23">
        <v>0</v>
      </c>
      <c r="U51" s="23">
        <v>6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5">
        <v>0</v>
      </c>
      <c r="AB51" s="25">
        <v>0</v>
      </c>
      <c r="AC51" s="25">
        <v>0</v>
      </c>
      <c r="AD51" s="23">
        <v>0</v>
      </c>
      <c r="AE51" s="23">
        <v>0</v>
      </c>
      <c r="AF51" s="23">
        <v>0</v>
      </c>
      <c r="AG51" s="23">
        <v>0</v>
      </c>
      <c r="AH51" s="24">
        <v>0</v>
      </c>
      <c r="AI51" s="23">
        <v>100</v>
      </c>
      <c r="AJ51" s="13" t="str">
        <f xml:space="preserve"> IF(AD51&gt;F51,"Exceso en grasa saturada",IFERROR(IF(F51=0,"No tiene sello",IF((AD51*9)*100/F51&gt;10,"Exceso en grasa saturada","No tiene sello")),"No tiene sello"))</f>
        <v>No tiene sello</v>
      </c>
      <c r="AK51" s="13">
        <f>IF(AJ51="No tiene sello",0,1)</f>
        <v>0</v>
      </c>
      <c r="AL51" s="13" t="str">
        <f>IF(Q51&gt;=300,"Exceso en sodio",IFERROR(IF(AND(F51=0,Q51&gt;0),"No tiene sello",IF(Q51/F51&gt;1,"Exceso en sodio","No tiene sello")),"No tiene sello"))</f>
        <v>No tiene sello</v>
      </c>
      <c r="AM51" s="13" t="str">
        <f>IFERROR(IF(F51=0,"No tiene sello",IF(+(AG51/1000)*9*100/F51&gt;1,"Exceso en grasa trans", "No tiene sello")),"No tiene sello")</f>
        <v>No tiene sello</v>
      </c>
    </row>
    <row r="52" spans="1:39" ht="13.5" customHeight="1" x14ac:dyDescent="0.25">
      <c r="A52" s="26" t="s">
        <v>1502</v>
      </c>
      <c r="B52" s="26" t="s">
        <v>1503</v>
      </c>
      <c r="C52" s="26" t="s">
        <v>3</v>
      </c>
      <c r="D52" s="16">
        <v>100</v>
      </c>
      <c r="E52" s="28">
        <v>12.5</v>
      </c>
      <c r="F52" s="24">
        <v>392</v>
      </c>
      <c r="G52" s="28">
        <v>1655</v>
      </c>
      <c r="H52" s="24">
        <v>10.9</v>
      </c>
      <c r="I52" s="24">
        <v>4.3</v>
      </c>
      <c r="J52" s="24">
        <v>71.099999999999994</v>
      </c>
      <c r="K52" s="28">
        <v>58.4</v>
      </c>
      <c r="L52" s="28">
        <v>0.5</v>
      </c>
      <c r="M52" s="24">
        <v>12.7</v>
      </c>
      <c r="N52" s="28">
        <v>1.2</v>
      </c>
      <c r="O52" s="25">
        <v>5</v>
      </c>
      <c r="P52" s="25">
        <v>3</v>
      </c>
      <c r="Q52" s="28">
        <v>7</v>
      </c>
      <c r="R52" s="25">
        <v>299</v>
      </c>
      <c r="S52" s="28">
        <v>2.8</v>
      </c>
      <c r="T52" s="28">
        <v>123</v>
      </c>
      <c r="U52" s="28">
        <v>274</v>
      </c>
      <c r="V52" s="28">
        <v>0.39</v>
      </c>
      <c r="W52" s="28">
        <v>0.1</v>
      </c>
      <c r="X52" s="28">
        <v>1.8</v>
      </c>
      <c r="Y52" s="28">
        <v>24</v>
      </c>
      <c r="Z52" s="28">
        <v>0</v>
      </c>
      <c r="AA52" s="25">
        <v>1</v>
      </c>
      <c r="AB52" s="25">
        <v>0</v>
      </c>
      <c r="AC52" s="25">
        <v>0</v>
      </c>
      <c r="AD52" s="28">
        <v>0.6</v>
      </c>
      <c r="AE52" s="28">
        <v>1</v>
      </c>
      <c r="AF52" s="28">
        <v>2.5</v>
      </c>
      <c r="AG52" s="28">
        <v>0</v>
      </c>
      <c r="AH52" s="24">
        <v>0</v>
      </c>
      <c r="AI52" s="28">
        <v>100</v>
      </c>
      <c r="AJ52" s="13" t="str">
        <f xml:space="preserve"> IF(AD52&gt;F52,"Exceso en grasa saturada",IFERROR(IF(F52=0,"No tiene sello",IF((AD52*9)*100/F52&gt;10,"Exceso en grasa saturada","No tiene sello")),"No tiene sello"))</f>
        <v>No tiene sello</v>
      </c>
      <c r="AK52" s="13">
        <f>IF(AJ52="No tiene sello",0,1)</f>
        <v>0</v>
      </c>
      <c r="AL52" s="13" t="str">
        <f>IF(Q52&gt;=300,"Exceso en sodio",IFERROR(IF(AND(F52=0,Q52&gt;0),"No tiene sello",IF(Q52/F52&gt;1,"Exceso en sodio","No tiene sello")),"No tiene sello"))</f>
        <v>No tiene sello</v>
      </c>
      <c r="AM52" s="13" t="str">
        <f>IFERROR(IF(F52=0,"No tiene sello",IF(+(AG52/1000)*9*100/F52&gt;1,"Exceso en grasa trans", "No tiene sello")),"No tiene sello")</f>
        <v>No tiene sello</v>
      </c>
    </row>
    <row r="53" spans="1:39" ht="13.5" customHeight="1" x14ac:dyDescent="0.25">
      <c r="A53" s="20" t="s">
        <v>1500</v>
      </c>
      <c r="B53" s="20" t="s">
        <v>1501</v>
      </c>
      <c r="C53" s="20" t="s">
        <v>3</v>
      </c>
      <c r="D53" s="22">
        <v>100</v>
      </c>
      <c r="E53" s="23">
        <v>13.5</v>
      </c>
      <c r="F53" s="24">
        <v>366</v>
      </c>
      <c r="G53" s="23">
        <v>1551</v>
      </c>
      <c r="H53" s="24">
        <v>7.7</v>
      </c>
      <c r="I53" s="24">
        <v>5.2</v>
      </c>
      <c r="J53" s="24">
        <v>72.2</v>
      </c>
      <c r="K53" s="23">
        <v>0</v>
      </c>
      <c r="L53" s="23">
        <v>0.5</v>
      </c>
      <c r="M53" s="24">
        <v>0</v>
      </c>
      <c r="N53" s="23">
        <v>1.4</v>
      </c>
      <c r="O53" s="25">
        <v>5</v>
      </c>
      <c r="P53" s="25">
        <v>2.5</v>
      </c>
      <c r="Q53" s="23">
        <v>0</v>
      </c>
      <c r="R53" s="25">
        <v>14</v>
      </c>
      <c r="S53" s="23">
        <v>0</v>
      </c>
      <c r="T53" s="23">
        <v>0</v>
      </c>
      <c r="U53" s="23">
        <v>0</v>
      </c>
      <c r="V53" s="23">
        <v>0.45</v>
      </c>
      <c r="W53" s="23">
        <v>0.08</v>
      </c>
      <c r="X53" s="23">
        <v>2.2000000000000002</v>
      </c>
      <c r="Y53" s="23">
        <v>0</v>
      </c>
      <c r="Z53" s="23">
        <v>0</v>
      </c>
      <c r="AA53" s="25">
        <v>2</v>
      </c>
      <c r="AB53" s="25">
        <v>7</v>
      </c>
      <c r="AC53" s="25">
        <v>0</v>
      </c>
      <c r="AD53" s="23">
        <v>0</v>
      </c>
      <c r="AE53" s="23">
        <v>0</v>
      </c>
      <c r="AF53" s="23">
        <v>0</v>
      </c>
      <c r="AG53" s="23">
        <v>0</v>
      </c>
      <c r="AH53" s="24">
        <v>0</v>
      </c>
      <c r="AI53" s="23">
        <v>100</v>
      </c>
      <c r="AJ53" s="13" t="str">
        <f xml:space="preserve"> IF(AD53&gt;F53,"Exceso en grasa saturada",IFERROR(IF(F53=0,"No tiene sello",IF((AD53*9)*100/F53&gt;10,"Exceso en grasa saturada","No tiene sello")),"No tiene sello"))</f>
        <v>No tiene sello</v>
      </c>
      <c r="AK53" s="13">
        <f>IF(AJ53="No tiene sello",0,1)</f>
        <v>0</v>
      </c>
      <c r="AL53" s="13" t="str">
        <f>IF(Q53&gt;=300,"Exceso en sodio",IFERROR(IF(AND(F53=0,Q53&gt;0),"No tiene sello",IF(Q53/F53&gt;1,"Exceso en sodio","No tiene sello")),"No tiene sello"))</f>
        <v>No tiene sello</v>
      </c>
      <c r="AM53" s="13" t="str">
        <f>IFERROR(IF(F53=0,"No tiene sello",IF(+(AG53/1000)*9*100/F53&gt;1,"Exceso en grasa trans", "No tiene sello")),"No tiene sello")</f>
        <v>No tiene sello</v>
      </c>
    </row>
    <row r="54" spans="1:39" ht="13.5" customHeight="1" x14ac:dyDescent="0.25">
      <c r="A54" s="26" t="s">
        <v>1498</v>
      </c>
      <c r="B54" s="26" t="s">
        <v>1499</v>
      </c>
      <c r="C54" s="26" t="s">
        <v>3</v>
      </c>
      <c r="D54" s="16">
        <v>100</v>
      </c>
      <c r="E54" s="28">
        <v>64.2</v>
      </c>
      <c r="F54" s="24">
        <v>152</v>
      </c>
      <c r="G54" s="28">
        <v>642</v>
      </c>
      <c r="H54" s="24">
        <v>3.4</v>
      </c>
      <c r="I54" s="24">
        <v>1.2</v>
      </c>
      <c r="J54" s="24">
        <v>30.5</v>
      </c>
      <c r="K54" s="28">
        <v>27.9</v>
      </c>
      <c r="L54" s="28">
        <v>3.05</v>
      </c>
      <c r="M54" s="24">
        <v>2.6</v>
      </c>
      <c r="N54" s="28">
        <v>0.7</v>
      </c>
      <c r="O54" s="25">
        <v>5</v>
      </c>
      <c r="P54" s="25">
        <v>0.8</v>
      </c>
      <c r="Q54" s="28">
        <v>3</v>
      </c>
      <c r="R54" s="25">
        <v>120</v>
      </c>
      <c r="S54" s="28">
        <v>0.4</v>
      </c>
      <c r="T54" s="28">
        <v>34</v>
      </c>
      <c r="U54" s="28">
        <v>266</v>
      </c>
      <c r="V54" s="28">
        <v>0.13</v>
      </c>
      <c r="W54" s="28">
        <v>7.0000000000000007E-2</v>
      </c>
      <c r="X54" s="28">
        <v>1.6</v>
      </c>
      <c r="Y54" s="28">
        <v>42</v>
      </c>
      <c r="Z54" s="28">
        <v>0</v>
      </c>
      <c r="AA54" s="25">
        <v>10</v>
      </c>
      <c r="AB54" s="25">
        <v>28</v>
      </c>
      <c r="AC54" s="25">
        <v>0</v>
      </c>
      <c r="AD54" s="28">
        <v>0.2</v>
      </c>
      <c r="AE54" s="28">
        <v>0.3</v>
      </c>
      <c r="AF54" s="28">
        <v>0.5</v>
      </c>
      <c r="AG54" s="28">
        <v>0</v>
      </c>
      <c r="AH54" s="24">
        <v>0</v>
      </c>
      <c r="AI54" s="28">
        <v>100</v>
      </c>
      <c r="AJ54" s="13" t="str">
        <f xml:space="preserve"> IF(AD54&gt;F54,"Exceso en grasa saturada",IFERROR(IF(F54=0,"No tiene sello",IF((AD54*9)*100/F54&gt;10,"Exceso en grasa saturada","No tiene sello")),"No tiene sello"))</f>
        <v>No tiene sello</v>
      </c>
      <c r="AK54" s="13">
        <f>IF(AJ54="No tiene sello",0,1)</f>
        <v>0</v>
      </c>
      <c r="AL54" s="13" t="str">
        <f>IF(Q54&gt;=300,"Exceso en sodio",IFERROR(IF(AND(F54=0,Q54&gt;0),"No tiene sello",IF(Q54/F54&gt;1,"Exceso en sodio","No tiene sello")),"No tiene sello"))</f>
        <v>No tiene sello</v>
      </c>
      <c r="AM54" s="13" t="str">
        <f>IFERROR(IF(F54=0,"No tiene sello",IF(+(AG54/1000)*9*100/F54&gt;1,"Exceso en grasa trans", "No tiene sello")),"No tiene sello")</f>
        <v>No tiene sello</v>
      </c>
    </row>
    <row r="55" spans="1:39" ht="13.5" customHeight="1" x14ac:dyDescent="0.25">
      <c r="A55" s="20" t="s">
        <v>1496</v>
      </c>
      <c r="B55" s="20" t="s">
        <v>1497</v>
      </c>
      <c r="C55" s="21"/>
      <c r="D55" s="22">
        <v>100</v>
      </c>
      <c r="E55" s="23">
        <v>27</v>
      </c>
      <c r="F55" s="24">
        <v>405</v>
      </c>
      <c r="G55" s="23">
        <v>1691</v>
      </c>
      <c r="H55" s="24">
        <v>7.9</v>
      </c>
      <c r="I55" s="24">
        <v>24.2</v>
      </c>
      <c r="J55" s="24">
        <v>38.700000000000003</v>
      </c>
      <c r="K55" s="23">
        <v>38.299999999999997</v>
      </c>
      <c r="L55" s="23">
        <v>3.87</v>
      </c>
      <c r="M55" s="24">
        <v>0.4</v>
      </c>
      <c r="N55" s="23">
        <v>2.2000000000000002</v>
      </c>
      <c r="O55" s="25">
        <v>88</v>
      </c>
      <c r="P55" s="25">
        <v>2.9</v>
      </c>
      <c r="Q55" s="23">
        <v>506</v>
      </c>
      <c r="R55" s="25">
        <v>143</v>
      </c>
      <c r="S55" s="23">
        <v>0.5</v>
      </c>
      <c r="T55" s="23">
        <v>16</v>
      </c>
      <c r="U55" s="23">
        <v>106</v>
      </c>
      <c r="V55" s="23">
        <v>0.04</v>
      </c>
      <c r="W55" s="23">
        <v>0.12</v>
      </c>
      <c r="X55" s="23">
        <v>1.4</v>
      </c>
      <c r="Y55" s="23">
        <v>53</v>
      </c>
      <c r="Z55" s="23">
        <v>7.0000000000000007E-2</v>
      </c>
      <c r="AA55" s="25">
        <v>0</v>
      </c>
      <c r="AB55" s="25">
        <v>18</v>
      </c>
      <c r="AC55" s="25">
        <v>0</v>
      </c>
      <c r="AD55" s="23">
        <v>0</v>
      </c>
      <c r="AE55" s="23">
        <v>0</v>
      </c>
      <c r="AF55" s="23">
        <v>0</v>
      </c>
      <c r="AG55" s="23">
        <v>150</v>
      </c>
      <c r="AH55" s="24">
        <v>0</v>
      </c>
      <c r="AI55" s="23">
        <v>100</v>
      </c>
      <c r="AJ55" s="13" t="str">
        <f xml:space="preserve"> IF(AD55&gt;F55,"Exceso en grasa saturada",IFERROR(IF(F55=0,"No tiene sello",IF((AD55*9)*100/F55&gt;10,"Exceso en grasa saturada","No tiene sello")),"No tiene sello"))</f>
        <v>No tiene sello</v>
      </c>
      <c r="AK55" s="13">
        <f>IF(AJ55="No tiene sello",0,1)</f>
        <v>0</v>
      </c>
      <c r="AL55" s="13" t="str">
        <f>IF(Q55&gt;=300,"Exceso en sodio",IFERROR(IF(AND(F55=0,Q55&gt;0),"No tiene sello",IF(Q55/F55&gt;1,"Exceso en sodio","No tiene sello")),"No tiene sello"))</f>
        <v>Exceso en sodio</v>
      </c>
      <c r="AM55" s="13" t="str">
        <f>IFERROR(IF(F55=0,"No tiene sello",IF(+(AG55/1000)*9*100/F55&gt;1,"Exceso en grasa trans", "No tiene sello")),"No tiene sello")</f>
        <v>No tiene sello</v>
      </c>
    </row>
    <row r="56" spans="1:39" ht="13.5" customHeight="1" x14ac:dyDescent="0.25">
      <c r="A56" s="26" t="s">
        <v>1494</v>
      </c>
      <c r="B56" s="26" t="s">
        <v>1495</v>
      </c>
      <c r="C56" s="27"/>
      <c r="D56" s="16">
        <v>100</v>
      </c>
      <c r="E56" s="28">
        <v>9.6999999999999993</v>
      </c>
      <c r="F56" s="24">
        <v>363</v>
      </c>
      <c r="G56" s="28">
        <v>1536</v>
      </c>
      <c r="H56" s="24">
        <v>11.7</v>
      </c>
      <c r="I56" s="24">
        <v>1.6</v>
      </c>
      <c r="J56" s="24">
        <v>72.8</v>
      </c>
      <c r="K56" s="28">
        <v>67.400000000000006</v>
      </c>
      <c r="L56" s="28">
        <v>10.92</v>
      </c>
      <c r="M56" s="24">
        <v>5.4</v>
      </c>
      <c r="N56" s="28">
        <v>4.3</v>
      </c>
      <c r="O56" s="25">
        <v>158</v>
      </c>
      <c r="P56" s="25">
        <v>3</v>
      </c>
      <c r="Q56" s="28">
        <v>1482</v>
      </c>
      <c r="R56" s="25">
        <v>683</v>
      </c>
      <c r="S56" s="28">
        <v>0.8</v>
      </c>
      <c r="T56" s="28">
        <v>31</v>
      </c>
      <c r="U56" s="28">
        <v>191</v>
      </c>
      <c r="V56" s="28">
        <v>0.39</v>
      </c>
      <c r="W56" s="28">
        <v>0.55000000000000004</v>
      </c>
      <c r="X56" s="28">
        <v>3.8</v>
      </c>
      <c r="Y56" s="28">
        <v>84</v>
      </c>
      <c r="Z56" s="28">
        <v>0</v>
      </c>
      <c r="AA56" s="25">
        <v>0</v>
      </c>
      <c r="AB56" s="25">
        <v>0</v>
      </c>
      <c r="AC56" s="25">
        <v>2</v>
      </c>
      <c r="AD56" s="28">
        <v>0.1</v>
      </c>
      <c r="AE56" s="28">
        <v>0.2</v>
      </c>
      <c r="AF56" s="28">
        <v>0.5</v>
      </c>
      <c r="AG56" s="28">
        <v>50</v>
      </c>
      <c r="AH56" s="24">
        <v>0</v>
      </c>
      <c r="AI56" s="28">
        <v>100</v>
      </c>
      <c r="AJ56" s="13" t="str">
        <f xml:space="preserve"> IF(AD56&gt;F56,"Exceso en grasa saturada",IFERROR(IF(F56=0,"No tiene sello",IF((AD56*9)*100/F56&gt;10,"Exceso en grasa saturada","No tiene sello")),"No tiene sello"))</f>
        <v>No tiene sello</v>
      </c>
      <c r="AK56" s="13">
        <f>IF(AJ56="No tiene sello",0,1)</f>
        <v>0</v>
      </c>
      <c r="AL56" s="13" t="str">
        <f>IF(Q56&gt;=300,"Exceso en sodio",IFERROR(IF(AND(F56=0,Q56&gt;0),"No tiene sello",IF(Q56/F56&gt;1,"Exceso en sodio","No tiene sello")),"No tiene sello"))</f>
        <v>Exceso en sodio</v>
      </c>
      <c r="AM56" s="13" t="str">
        <f>IFERROR(IF(F56=0,"No tiene sello",IF(+(AG56/1000)*9*100/F56&gt;1,"Exceso en grasa trans", "No tiene sello")),"No tiene sello")</f>
        <v>No tiene sello</v>
      </c>
    </row>
    <row r="57" spans="1:39" s="4" customFormat="1" ht="13.5" customHeight="1" x14ac:dyDescent="0.25">
      <c r="A57" s="20" t="s">
        <v>1492</v>
      </c>
      <c r="B57" s="20" t="s">
        <v>1493</v>
      </c>
      <c r="C57" s="20" t="s">
        <v>3</v>
      </c>
      <c r="D57" s="22">
        <v>100</v>
      </c>
      <c r="E57" s="23">
        <v>11</v>
      </c>
      <c r="F57" s="24">
        <v>381</v>
      </c>
      <c r="G57" s="23">
        <v>1610</v>
      </c>
      <c r="H57" s="24">
        <v>11</v>
      </c>
      <c r="I57" s="24">
        <v>4.2</v>
      </c>
      <c r="J57" s="24">
        <v>70.5</v>
      </c>
      <c r="K57" s="23">
        <v>62.1</v>
      </c>
      <c r="L57" s="23">
        <v>0.5</v>
      </c>
      <c r="M57" s="24">
        <v>8.5</v>
      </c>
      <c r="N57" s="23">
        <v>3.2</v>
      </c>
      <c r="O57" s="25">
        <v>8</v>
      </c>
      <c r="P57" s="25">
        <v>3</v>
      </c>
      <c r="Q57" s="23">
        <v>5</v>
      </c>
      <c r="R57" s="25">
        <v>285</v>
      </c>
      <c r="S57" s="23">
        <v>1.7</v>
      </c>
      <c r="T57" s="23">
        <v>114</v>
      </c>
      <c r="U57" s="23">
        <v>195</v>
      </c>
      <c r="V57" s="23">
        <v>0.42</v>
      </c>
      <c r="W57" s="23">
        <v>0.28999999999999998</v>
      </c>
      <c r="X57" s="23">
        <v>4.7</v>
      </c>
      <c r="Y57" s="23">
        <v>85</v>
      </c>
      <c r="Z57" s="23">
        <v>0</v>
      </c>
      <c r="AA57" s="25">
        <v>0</v>
      </c>
      <c r="AB57" s="25">
        <v>0</v>
      </c>
      <c r="AC57" s="25">
        <v>0</v>
      </c>
      <c r="AD57" s="23">
        <v>0.7</v>
      </c>
      <c r="AE57" s="23">
        <v>0.8</v>
      </c>
      <c r="AF57" s="23">
        <v>2.1</v>
      </c>
      <c r="AG57" s="23">
        <v>0</v>
      </c>
      <c r="AH57" s="24">
        <v>0</v>
      </c>
      <c r="AI57" s="23">
        <v>100</v>
      </c>
      <c r="AJ57" s="13" t="str">
        <f xml:space="preserve"> IF(AD57&gt;F57,"Exceso en grasa saturada",IFERROR(IF(F57=0,"No tiene sello",IF((AD57*9)*100/F57&gt;10,"Exceso en grasa saturada","No tiene sello")),"No tiene sello"))</f>
        <v>No tiene sello</v>
      </c>
      <c r="AK57" s="13">
        <f>IF(AJ57="No tiene sello",0,1)</f>
        <v>0</v>
      </c>
      <c r="AL57" s="13" t="str">
        <f>IF(Q57&gt;=300,"Exceso en sodio",IFERROR(IF(AND(F57=0,Q57&gt;0),"No tiene sello",IF(Q57/F57&gt;1,"Exceso en sodio","No tiene sello")),"No tiene sello"))</f>
        <v>No tiene sello</v>
      </c>
      <c r="AM57" s="13" t="str">
        <f>IFERROR(IF(F57=0,"No tiene sello",IF(+(AG57/1000)*9*100/F57&gt;1,"Exceso en grasa trans", "No tiene sello")),"No tiene sello")</f>
        <v>No tiene sello</v>
      </c>
    </row>
    <row r="58" spans="1:39" ht="13.5" customHeight="1" x14ac:dyDescent="0.25">
      <c r="A58" s="26" t="s">
        <v>1490</v>
      </c>
      <c r="B58" s="26" t="s">
        <v>1491</v>
      </c>
      <c r="C58" s="27"/>
      <c r="D58" s="16">
        <v>100</v>
      </c>
      <c r="E58" s="28">
        <v>23</v>
      </c>
      <c r="F58" s="24">
        <v>310</v>
      </c>
      <c r="G58" s="28">
        <v>1316</v>
      </c>
      <c r="H58" s="24">
        <v>7.2</v>
      </c>
      <c r="I58" s="24">
        <v>1.9</v>
      </c>
      <c r="J58" s="24">
        <v>66.099999999999994</v>
      </c>
      <c r="K58" s="28">
        <v>0</v>
      </c>
      <c r="L58" s="28">
        <v>0.5</v>
      </c>
      <c r="M58" s="24">
        <v>0</v>
      </c>
      <c r="N58" s="28">
        <v>1.8</v>
      </c>
      <c r="O58" s="25">
        <v>40</v>
      </c>
      <c r="P58" s="25">
        <v>6</v>
      </c>
      <c r="Q58" s="28">
        <v>1</v>
      </c>
      <c r="R58" s="25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5">
        <v>0</v>
      </c>
      <c r="AB58" s="25">
        <v>0</v>
      </c>
      <c r="AC58" s="25">
        <v>0</v>
      </c>
      <c r="AD58" s="28">
        <v>0</v>
      </c>
      <c r="AE58" s="28">
        <v>0</v>
      </c>
      <c r="AF58" s="28">
        <v>0</v>
      </c>
      <c r="AG58" s="28">
        <v>0</v>
      </c>
      <c r="AH58" s="24">
        <v>0</v>
      </c>
      <c r="AI58" s="28">
        <v>100</v>
      </c>
      <c r="AJ58" s="13" t="str">
        <f xml:space="preserve"> IF(AD58&gt;F58,"Exceso en grasa saturada",IFERROR(IF(F58=0,"No tiene sello",IF((AD58*9)*100/F58&gt;10,"Exceso en grasa saturada","No tiene sello")),"No tiene sello"))</f>
        <v>No tiene sello</v>
      </c>
      <c r="AK58" s="13">
        <f>IF(AJ58="No tiene sello",0,1)</f>
        <v>0</v>
      </c>
      <c r="AL58" s="13" t="str">
        <f>IF(Q58&gt;=300,"Exceso en sodio",IFERROR(IF(AND(F58=0,Q58&gt;0),"No tiene sello",IF(Q58/F58&gt;1,"Exceso en sodio","No tiene sello")),"No tiene sello"))</f>
        <v>No tiene sello</v>
      </c>
      <c r="AM58" s="13" t="str">
        <f>IFERROR(IF(F58=0,"No tiene sello",IF(+(AG58/1000)*9*100/F58&gt;1,"Exceso en grasa trans", "No tiene sello")),"No tiene sello")</f>
        <v>No tiene sello</v>
      </c>
    </row>
    <row r="59" spans="1:39" ht="13.5" customHeight="1" x14ac:dyDescent="0.25">
      <c r="A59" s="20" t="s">
        <v>1488</v>
      </c>
      <c r="B59" s="20" t="s">
        <v>1489</v>
      </c>
      <c r="C59" s="21"/>
      <c r="D59" s="22">
        <v>100</v>
      </c>
      <c r="E59" s="23">
        <v>24.5</v>
      </c>
      <c r="F59" s="24">
        <v>310</v>
      </c>
      <c r="G59" s="23">
        <v>1316</v>
      </c>
      <c r="H59" s="24">
        <v>9.3000000000000007</v>
      </c>
      <c r="I59" s="24">
        <v>1.9</v>
      </c>
      <c r="J59" s="24">
        <v>63.7</v>
      </c>
      <c r="K59" s="23">
        <v>63.1</v>
      </c>
      <c r="L59" s="23">
        <v>6.37</v>
      </c>
      <c r="M59" s="24">
        <v>0.6</v>
      </c>
      <c r="N59" s="23">
        <v>0.6</v>
      </c>
      <c r="O59" s="25">
        <v>25</v>
      </c>
      <c r="P59" s="25">
        <v>3</v>
      </c>
      <c r="Q59" s="23">
        <v>0</v>
      </c>
      <c r="R59" s="25">
        <v>121</v>
      </c>
      <c r="S59" s="23">
        <v>0</v>
      </c>
      <c r="T59" s="23">
        <v>0</v>
      </c>
      <c r="U59" s="23">
        <v>0</v>
      </c>
      <c r="V59" s="23">
        <v>0.13</v>
      </c>
      <c r="W59" s="23">
        <v>0.08</v>
      </c>
      <c r="X59" s="23">
        <v>1.3</v>
      </c>
      <c r="Y59" s="23">
        <v>0</v>
      </c>
      <c r="Z59" s="23">
        <v>0</v>
      </c>
      <c r="AA59" s="25">
        <v>0</v>
      </c>
      <c r="AB59" s="25">
        <v>0</v>
      </c>
      <c r="AC59" s="25">
        <v>0</v>
      </c>
      <c r="AD59" s="23">
        <v>0</v>
      </c>
      <c r="AE59" s="23">
        <v>0</v>
      </c>
      <c r="AF59" s="23">
        <v>0</v>
      </c>
      <c r="AG59" s="23">
        <v>50</v>
      </c>
      <c r="AH59" s="24">
        <v>0</v>
      </c>
      <c r="AI59" s="23">
        <v>100</v>
      </c>
      <c r="AJ59" s="13" t="str">
        <f xml:space="preserve"> IF(AD59&gt;F59,"Exceso en grasa saturada",IFERROR(IF(F59=0,"No tiene sello",IF((AD59*9)*100/F59&gt;10,"Exceso en grasa saturada","No tiene sello")),"No tiene sello"))</f>
        <v>No tiene sello</v>
      </c>
      <c r="AK59" s="13">
        <f>IF(AJ59="No tiene sello",0,1)</f>
        <v>0</v>
      </c>
      <c r="AL59" s="13" t="str">
        <f>IF(Q59&gt;=300,"Exceso en sodio",IFERROR(IF(AND(F59=0,Q59&gt;0),"No tiene sello",IF(Q59/F59&gt;1,"Exceso en sodio","No tiene sello")),"No tiene sello"))</f>
        <v>No tiene sello</v>
      </c>
      <c r="AM59" s="13" t="str">
        <f>IFERROR(IF(F59=0,"No tiene sello",IF(+(AG59/1000)*9*100/F59&gt;1,"Exceso en grasa trans", "No tiene sello")),"No tiene sello")</f>
        <v>No tiene sello</v>
      </c>
    </row>
    <row r="60" spans="1:39" ht="13.5" customHeight="1" x14ac:dyDescent="0.25">
      <c r="A60" s="26" t="s">
        <v>1486</v>
      </c>
      <c r="B60" s="26" t="s">
        <v>1487</v>
      </c>
      <c r="C60" s="27"/>
      <c r="D60" s="16">
        <v>100</v>
      </c>
      <c r="E60" s="28">
        <v>33.299999999999997</v>
      </c>
      <c r="F60" s="24">
        <v>325</v>
      </c>
      <c r="G60" s="28">
        <v>1365</v>
      </c>
      <c r="H60" s="24">
        <v>7.3</v>
      </c>
      <c r="I60" s="24">
        <v>12.4</v>
      </c>
      <c r="J60" s="24">
        <v>45.1</v>
      </c>
      <c r="K60" s="28">
        <v>43.1</v>
      </c>
      <c r="L60" s="28">
        <v>36.08</v>
      </c>
      <c r="M60" s="24">
        <v>2</v>
      </c>
      <c r="N60" s="28">
        <v>1.9</v>
      </c>
      <c r="O60" s="25">
        <v>161</v>
      </c>
      <c r="P60" s="25">
        <v>2.5</v>
      </c>
      <c r="Q60" s="28">
        <v>254</v>
      </c>
      <c r="R60" s="25">
        <v>259</v>
      </c>
      <c r="S60" s="28">
        <v>0.8</v>
      </c>
      <c r="T60" s="28">
        <v>33</v>
      </c>
      <c r="U60" s="28">
        <v>177</v>
      </c>
      <c r="V60" s="28">
        <v>0.28000000000000003</v>
      </c>
      <c r="W60" s="28">
        <v>0.24</v>
      </c>
      <c r="X60" s="28">
        <v>2.1</v>
      </c>
      <c r="Y60" s="28">
        <v>61</v>
      </c>
      <c r="Z60" s="28">
        <v>0.5</v>
      </c>
      <c r="AA60" s="25">
        <v>0</v>
      </c>
      <c r="AB60" s="25">
        <v>144</v>
      </c>
      <c r="AC60" s="25">
        <v>0</v>
      </c>
      <c r="AD60" s="28">
        <v>4.4000000000000004</v>
      </c>
      <c r="AE60" s="28">
        <v>4.8</v>
      </c>
      <c r="AF60" s="28">
        <v>2.4</v>
      </c>
      <c r="AG60" s="28">
        <v>95</v>
      </c>
      <c r="AH60" s="24">
        <v>33</v>
      </c>
      <c r="AI60" s="28">
        <v>100</v>
      </c>
      <c r="AJ60" s="13" t="str">
        <f xml:space="preserve"> IF(AD60&gt;F60,"Exceso en grasa saturada",IFERROR(IF(F60=0,"No tiene sello",IF((AD60*9)*100/F60&gt;10,"Exceso en grasa saturada","No tiene sello")),"No tiene sello"))</f>
        <v>Exceso en grasa saturada</v>
      </c>
      <c r="AK60" s="13">
        <f>IF(AJ60="No tiene sello",0,1)</f>
        <v>1</v>
      </c>
      <c r="AL60" s="13" t="str">
        <f>IF(Q60&gt;=300,"Exceso en sodio",IFERROR(IF(AND(F60=0,Q60&gt;0),"No tiene sello",IF(Q60/F60&gt;1,"Exceso en sodio","No tiene sello")),"No tiene sello"))</f>
        <v>No tiene sello</v>
      </c>
      <c r="AM60" s="13" t="str">
        <f>IFERROR(IF(F60=0,"No tiene sello",IF(+(AG60/1000)*9*100/F60&gt;1,"Exceso en grasa trans", "No tiene sello")),"No tiene sello")</f>
        <v>No tiene sello</v>
      </c>
    </row>
    <row r="61" spans="1:39" ht="13.5" customHeight="1" x14ac:dyDescent="0.25">
      <c r="A61" s="29" t="s">
        <v>1484</v>
      </c>
      <c r="B61" s="29" t="s">
        <v>1485</v>
      </c>
      <c r="C61" s="30"/>
      <c r="D61" s="22">
        <v>100</v>
      </c>
      <c r="E61" s="31">
        <v>37.200000000000003</v>
      </c>
      <c r="F61" s="24">
        <v>268</v>
      </c>
      <c r="G61" s="31">
        <v>1133</v>
      </c>
      <c r="H61" s="24">
        <v>8.9</v>
      </c>
      <c r="I61" s="24">
        <v>3.4</v>
      </c>
      <c r="J61" s="24">
        <v>48.8</v>
      </c>
      <c r="K61" s="31">
        <v>45.6</v>
      </c>
      <c r="L61" s="31">
        <v>7.32</v>
      </c>
      <c r="M61" s="24">
        <v>3.2</v>
      </c>
      <c r="N61" s="31">
        <v>1.7</v>
      </c>
      <c r="O61" s="31">
        <v>54</v>
      </c>
      <c r="P61" s="31">
        <v>3</v>
      </c>
      <c r="Q61" s="31">
        <v>541</v>
      </c>
      <c r="R61" s="31">
        <v>105</v>
      </c>
      <c r="S61" s="31">
        <v>0.9</v>
      </c>
      <c r="T61" s="31">
        <v>34</v>
      </c>
      <c r="U61" s="31">
        <v>135</v>
      </c>
      <c r="V61" s="31">
        <v>0.46</v>
      </c>
      <c r="W61" s="31">
        <v>0.28999999999999998</v>
      </c>
      <c r="X61" s="31">
        <v>3.6</v>
      </c>
      <c r="Y61" s="31">
        <v>118</v>
      </c>
      <c r="Z61" s="31">
        <v>0.03</v>
      </c>
      <c r="AA61" s="31">
        <v>0</v>
      </c>
      <c r="AB61" s="31">
        <v>0</v>
      </c>
      <c r="AC61" s="31">
        <v>0</v>
      </c>
      <c r="AD61" s="31">
        <v>0.6</v>
      </c>
      <c r="AE61" s="31">
        <v>0.6</v>
      </c>
      <c r="AF61" s="31">
        <v>1.2</v>
      </c>
      <c r="AG61" s="31">
        <v>0</v>
      </c>
      <c r="AH61" s="24">
        <v>0</v>
      </c>
      <c r="AI61" s="31">
        <v>100</v>
      </c>
      <c r="AJ61" s="13" t="str">
        <f xml:space="preserve"> IF(AD61&gt;F61,"Exceso en grasa saturada",IFERROR(IF(F61=0,"No tiene sello",IF((AD61*9)*100/F61&gt;10,"Exceso en grasa saturada","No tiene sello")),"No tiene sello"))</f>
        <v>No tiene sello</v>
      </c>
      <c r="AK61" s="13">
        <f>IF(AJ61="No tiene sello",0,1)</f>
        <v>0</v>
      </c>
      <c r="AL61" s="13" t="str">
        <f>IF(Q61&gt;=300,"Exceso en sodio",IFERROR(IF(AND(F61=0,Q61&gt;0),"No tiene sello",IF(Q61/F61&gt;1,"Exceso en sodio","No tiene sello")),"No tiene sello"))</f>
        <v>Exceso en sodio</v>
      </c>
      <c r="AM61" s="13" t="str">
        <f>IFERROR(IF(F61=0,"No tiene sello",IF(+(AG61/1000)*9*100/F61&gt;1,"Exceso en grasa trans", "No tiene sello")),"No tiene sello")</f>
        <v>No tiene sello</v>
      </c>
    </row>
    <row r="62" spans="1:39" s="5" customFormat="1" ht="13.5" customHeight="1" x14ac:dyDescent="0.25">
      <c r="A62" s="26" t="s">
        <v>1482</v>
      </c>
      <c r="B62" s="26" t="s">
        <v>1483</v>
      </c>
      <c r="C62" s="27"/>
      <c r="D62" s="16">
        <v>100</v>
      </c>
      <c r="E62" s="28">
        <v>31.4</v>
      </c>
      <c r="F62" s="24">
        <v>278</v>
      </c>
      <c r="G62" s="28">
        <v>1181</v>
      </c>
      <c r="H62" s="24">
        <v>8.9</v>
      </c>
      <c r="I62" s="24">
        <v>1.6</v>
      </c>
      <c r="J62" s="24">
        <v>56.8</v>
      </c>
      <c r="K62" s="28">
        <v>56.1</v>
      </c>
      <c r="L62" s="28">
        <v>8.52</v>
      </c>
      <c r="M62" s="24">
        <v>0.7</v>
      </c>
      <c r="N62" s="28">
        <v>1.3</v>
      </c>
      <c r="O62" s="25">
        <v>25</v>
      </c>
      <c r="P62" s="25">
        <v>1.9</v>
      </c>
      <c r="Q62" s="28">
        <v>1183</v>
      </c>
      <c r="R62" s="25">
        <v>97</v>
      </c>
      <c r="S62" s="28">
        <v>0.8</v>
      </c>
      <c r="T62" s="28">
        <v>30</v>
      </c>
      <c r="U62" s="28">
        <v>137</v>
      </c>
      <c r="V62" s="28">
        <v>0.09</v>
      </c>
      <c r="W62" s="28">
        <v>0.06</v>
      </c>
      <c r="X62" s="28">
        <v>0.7</v>
      </c>
      <c r="Y62" s="28">
        <v>25</v>
      </c>
      <c r="Z62" s="28">
        <v>0</v>
      </c>
      <c r="AA62" s="25">
        <v>0</v>
      </c>
      <c r="AB62" s="25">
        <v>0</v>
      </c>
      <c r="AC62" s="25">
        <v>2</v>
      </c>
      <c r="AD62" s="28">
        <v>0.3</v>
      </c>
      <c r="AE62" s="28">
        <v>0.3</v>
      </c>
      <c r="AF62" s="28">
        <v>0.5</v>
      </c>
      <c r="AG62" s="28">
        <v>0</v>
      </c>
      <c r="AH62" s="24">
        <v>0</v>
      </c>
      <c r="AI62" s="28">
        <v>100</v>
      </c>
      <c r="AJ62" s="13" t="str">
        <f xml:space="preserve"> IF(AD62&gt;F62,"Exceso en grasa saturada",IFERROR(IF(F62=0,"No tiene sello",IF((AD62*9)*100/F62&gt;10,"Exceso en grasa saturada","No tiene sello")),"No tiene sello"))</f>
        <v>No tiene sello</v>
      </c>
      <c r="AK62" s="13">
        <f>IF(AJ62="No tiene sello",0,1)</f>
        <v>0</v>
      </c>
      <c r="AL62" s="13" t="str">
        <f>IF(Q62&gt;=300,"Exceso en sodio",IFERROR(IF(AND(F62=0,Q62&gt;0),"No tiene sello",IF(Q62/F62&gt;1,"Exceso en sodio","No tiene sello")),"No tiene sello"))</f>
        <v>Exceso en sodio</v>
      </c>
      <c r="AM62" s="13" t="str">
        <f>IFERROR(IF(F62=0,"No tiene sello",IF(+(AG62/1000)*9*100/F62&gt;1,"Exceso en grasa trans", "No tiene sello")),"No tiene sello")</f>
        <v>No tiene sello</v>
      </c>
    </row>
    <row r="63" spans="1:39" ht="13.5" customHeight="1" x14ac:dyDescent="0.25">
      <c r="A63" s="20" t="s">
        <v>1480</v>
      </c>
      <c r="B63" s="20" t="s">
        <v>1481</v>
      </c>
      <c r="C63" s="21"/>
      <c r="D63" s="22">
        <v>100</v>
      </c>
      <c r="E63" s="23">
        <v>35.200000000000003</v>
      </c>
      <c r="F63" s="24">
        <v>257</v>
      </c>
      <c r="G63" s="23">
        <v>1092</v>
      </c>
      <c r="H63" s="24">
        <v>9.3000000000000007</v>
      </c>
      <c r="I63" s="24">
        <v>1.2</v>
      </c>
      <c r="J63" s="24">
        <v>52.3</v>
      </c>
      <c r="K63" s="23">
        <v>0</v>
      </c>
      <c r="L63" s="23">
        <v>0.5</v>
      </c>
      <c r="M63" s="24">
        <v>0</v>
      </c>
      <c r="N63" s="23">
        <v>2</v>
      </c>
      <c r="O63" s="25">
        <v>50</v>
      </c>
      <c r="P63" s="25">
        <v>4</v>
      </c>
      <c r="Q63" s="23">
        <v>0</v>
      </c>
      <c r="R63" s="25">
        <v>150</v>
      </c>
      <c r="S63" s="23">
        <v>0</v>
      </c>
      <c r="T63" s="23">
        <v>0</v>
      </c>
      <c r="U63" s="23">
        <v>0</v>
      </c>
      <c r="V63" s="23">
        <v>0.2</v>
      </c>
      <c r="W63" s="23">
        <v>0.08</v>
      </c>
      <c r="X63" s="23">
        <v>1.5</v>
      </c>
      <c r="Y63" s="23">
        <v>0</v>
      </c>
      <c r="Z63" s="23">
        <v>0</v>
      </c>
      <c r="AA63" s="25">
        <v>0</v>
      </c>
      <c r="AB63" s="25">
        <v>0</v>
      </c>
      <c r="AC63" s="25">
        <v>0</v>
      </c>
      <c r="AD63" s="23">
        <v>0</v>
      </c>
      <c r="AE63" s="23">
        <v>0</v>
      </c>
      <c r="AF63" s="23">
        <v>0</v>
      </c>
      <c r="AG63" s="23">
        <v>0</v>
      </c>
      <c r="AH63" s="24">
        <v>0</v>
      </c>
      <c r="AI63" s="23">
        <v>100</v>
      </c>
      <c r="AJ63" s="13" t="str">
        <f xml:space="preserve"> IF(AD63&gt;F63,"Exceso en grasa saturada",IFERROR(IF(F63=0,"No tiene sello",IF((AD63*9)*100/F63&gt;10,"Exceso en grasa saturada","No tiene sello")),"No tiene sello"))</f>
        <v>No tiene sello</v>
      </c>
      <c r="AK63" s="13">
        <f>IF(AJ63="No tiene sello",0,1)</f>
        <v>0</v>
      </c>
      <c r="AL63" s="13" t="str">
        <f>IF(Q63&gt;=300,"Exceso en sodio",IFERROR(IF(AND(F63=0,Q63&gt;0),"No tiene sello",IF(Q63/F63&gt;1,"Exceso en sodio","No tiene sello")),"No tiene sello"))</f>
        <v>No tiene sello</v>
      </c>
      <c r="AM63" s="13" t="str">
        <f>IFERROR(IF(F63=0,"No tiene sello",IF(+(AG63/1000)*9*100/F63&gt;1,"Exceso en grasa trans", "No tiene sello")),"No tiene sello")</f>
        <v>No tiene sello</v>
      </c>
    </row>
    <row r="64" spans="1:39" ht="13.5" customHeight="1" x14ac:dyDescent="0.25">
      <c r="A64" s="26" t="s">
        <v>1478</v>
      </c>
      <c r="B64" s="26" t="s">
        <v>1479</v>
      </c>
      <c r="C64" s="27"/>
      <c r="D64" s="16">
        <v>100</v>
      </c>
      <c r="E64" s="28">
        <v>23.1</v>
      </c>
      <c r="F64" s="24">
        <v>328</v>
      </c>
      <c r="G64" s="28">
        <v>1388</v>
      </c>
      <c r="H64" s="24">
        <v>8.9</v>
      </c>
      <c r="I64" s="24">
        <v>4.3</v>
      </c>
      <c r="J64" s="24">
        <v>63.1</v>
      </c>
      <c r="K64" s="28">
        <v>62.5</v>
      </c>
      <c r="L64" s="28">
        <v>50.48</v>
      </c>
      <c r="M64" s="24">
        <v>0.6</v>
      </c>
      <c r="N64" s="28">
        <v>0.6</v>
      </c>
      <c r="O64" s="25">
        <v>31</v>
      </c>
      <c r="P64" s="25">
        <v>3</v>
      </c>
      <c r="Q64" s="28">
        <v>203</v>
      </c>
      <c r="R64" s="25">
        <v>133</v>
      </c>
      <c r="S64" s="28">
        <v>1.4</v>
      </c>
      <c r="T64" s="28">
        <v>0</v>
      </c>
      <c r="U64" s="28">
        <v>129</v>
      </c>
      <c r="V64" s="28">
        <v>0.08</v>
      </c>
      <c r="W64" s="28">
        <v>0.11</v>
      </c>
      <c r="X64" s="28">
        <v>1.2</v>
      </c>
      <c r="Y64" s="28">
        <v>0</v>
      </c>
      <c r="Z64" s="28">
        <v>0</v>
      </c>
      <c r="AA64" s="25">
        <v>0</v>
      </c>
      <c r="AB64" s="25">
        <v>0</v>
      </c>
      <c r="AC64" s="25">
        <v>0</v>
      </c>
      <c r="AD64" s="28">
        <v>0</v>
      </c>
      <c r="AE64" s="28">
        <v>0</v>
      </c>
      <c r="AF64" s="28">
        <v>0</v>
      </c>
      <c r="AG64" s="28">
        <v>80</v>
      </c>
      <c r="AH64" s="24">
        <v>0</v>
      </c>
      <c r="AI64" s="28">
        <v>100</v>
      </c>
      <c r="AJ64" s="13" t="str">
        <f xml:space="preserve"> IF(AD64&gt;F64,"Exceso en grasa saturada",IFERROR(IF(F64=0,"No tiene sello",IF((AD64*9)*100/F64&gt;10,"Exceso en grasa saturada","No tiene sello")),"No tiene sello"))</f>
        <v>No tiene sello</v>
      </c>
      <c r="AK64" s="13">
        <f>IF(AJ64="No tiene sello",0,1)</f>
        <v>0</v>
      </c>
      <c r="AL64" s="13" t="str">
        <f>IF(Q64&gt;=300,"Exceso en sodio",IFERROR(IF(AND(F64=0,Q64&gt;0),"No tiene sello",IF(Q64/F64&gt;1,"Exceso en sodio","No tiene sello")),"No tiene sello"))</f>
        <v>No tiene sello</v>
      </c>
      <c r="AM64" s="13" t="str">
        <f>IFERROR(IF(F64=0,"No tiene sello",IF(+(AG64/1000)*9*100/F64&gt;1,"Exceso en grasa trans", "No tiene sello")),"No tiene sello")</f>
        <v>No tiene sello</v>
      </c>
    </row>
    <row r="65" spans="1:39" ht="13.5" customHeight="1" x14ac:dyDescent="0.25">
      <c r="A65" s="20" t="s">
        <v>1476</v>
      </c>
      <c r="B65" s="20" t="s">
        <v>1477</v>
      </c>
      <c r="C65" s="21"/>
      <c r="D65" s="22">
        <v>100</v>
      </c>
      <c r="E65" s="23">
        <v>35.4</v>
      </c>
      <c r="F65" s="24">
        <v>281</v>
      </c>
      <c r="G65" s="23">
        <v>1187</v>
      </c>
      <c r="H65" s="24">
        <v>8.6</v>
      </c>
      <c r="I65" s="24">
        <v>4.8</v>
      </c>
      <c r="J65" s="24">
        <v>49.7</v>
      </c>
      <c r="K65" s="23">
        <v>47.6</v>
      </c>
      <c r="L65" s="23">
        <v>7.46</v>
      </c>
      <c r="M65" s="24">
        <v>2.1</v>
      </c>
      <c r="N65" s="23">
        <v>1.5</v>
      </c>
      <c r="O65" s="25">
        <v>83</v>
      </c>
      <c r="P65" s="25">
        <v>3</v>
      </c>
      <c r="Q65" s="23">
        <v>352</v>
      </c>
      <c r="R65" s="25">
        <v>119</v>
      </c>
      <c r="S65" s="23">
        <v>0.6</v>
      </c>
      <c r="T65" s="23">
        <v>22</v>
      </c>
      <c r="U65" s="23">
        <v>146</v>
      </c>
      <c r="V65" s="23">
        <v>0.41</v>
      </c>
      <c r="W65" s="23">
        <v>0.38</v>
      </c>
      <c r="X65" s="23">
        <v>2.8</v>
      </c>
      <c r="Y65" s="23">
        <v>112</v>
      </c>
      <c r="Z65" s="23">
        <v>0.08</v>
      </c>
      <c r="AA65" s="25">
        <v>0</v>
      </c>
      <c r="AB65" s="25">
        <v>22</v>
      </c>
      <c r="AC65" s="25">
        <v>1.5</v>
      </c>
      <c r="AD65" s="23">
        <v>2</v>
      </c>
      <c r="AE65" s="23">
        <v>1.5</v>
      </c>
      <c r="AF65" s="23">
        <v>2.7</v>
      </c>
      <c r="AG65" s="23">
        <v>50</v>
      </c>
      <c r="AH65" s="24">
        <v>4</v>
      </c>
      <c r="AI65" s="23">
        <v>100</v>
      </c>
      <c r="AJ65" s="13" t="str">
        <f xml:space="preserve"> IF(AD65&gt;F65,"Exceso en grasa saturada",IFERROR(IF(F65=0,"No tiene sello",IF((AD65*9)*100/F65&gt;10,"Exceso en grasa saturada","No tiene sello")),"No tiene sello"))</f>
        <v>No tiene sello</v>
      </c>
      <c r="AK65" s="13">
        <f>IF(AJ65="No tiene sello",0,1)</f>
        <v>0</v>
      </c>
      <c r="AL65" s="13" t="str">
        <f>IF(Q65&gt;=300,"Exceso en sodio",IFERROR(IF(AND(F65=0,Q65&gt;0),"No tiene sello",IF(Q65/F65&gt;1,"Exceso en sodio","No tiene sello")),"No tiene sello"))</f>
        <v>Exceso en sodio</v>
      </c>
      <c r="AM65" s="13" t="str">
        <f>IFERROR(IF(F65=0,"No tiene sello",IF(+(AG65/1000)*9*100/F65&gt;1,"Exceso en grasa trans", "No tiene sello")),"No tiene sello")</f>
        <v>No tiene sello</v>
      </c>
    </row>
    <row r="66" spans="1:39" s="5" customFormat="1" ht="13.5" customHeight="1" x14ac:dyDescent="0.25">
      <c r="A66" s="33" t="s">
        <v>1474</v>
      </c>
      <c r="B66" s="33" t="s">
        <v>1475</v>
      </c>
      <c r="C66" s="34"/>
      <c r="D66" s="16">
        <v>100</v>
      </c>
      <c r="E66" s="35">
        <v>32.5</v>
      </c>
      <c r="F66" s="24">
        <v>367</v>
      </c>
      <c r="G66" s="35">
        <v>1533</v>
      </c>
      <c r="H66" s="24">
        <v>10.4</v>
      </c>
      <c r="I66" s="24">
        <v>20.8</v>
      </c>
      <c r="J66" s="24">
        <v>33.5</v>
      </c>
      <c r="K66" s="35">
        <v>31.4</v>
      </c>
      <c r="L66" s="35">
        <v>5.0199999999999996</v>
      </c>
      <c r="M66" s="24">
        <v>2.1</v>
      </c>
      <c r="N66" s="35">
        <v>2.8</v>
      </c>
      <c r="O66" s="25">
        <v>90</v>
      </c>
      <c r="P66" s="25">
        <v>2</v>
      </c>
      <c r="Q66" s="35">
        <v>750</v>
      </c>
      <c r="R66" s="25">
        <v>120</v>
      </c>
      <c r="S66" s="35">
        <v>1</v>
      </c>
      <c r="T66" s="35">
        <v>17</v>
      </c>
      <c r="U66" s="35">
        <v>84</v>
      </c>
      <c r="V66" s="35">
        <v>0.43</v>
      </c>
      <c r="W66" s="35">
        <v>0.03</v>
      </c>
      <c r="X66" s="35">
        <v>3.3</v>
      </c>
      <c r="Y66" s="35">
        <v>107</v>
      </c>
      <c r="Z66" s="35">
        <v>0.24</v>
      </c>
      <c r="AA66" s="25">
        <v>0</v>
      </c>
      <c r="AB66" s="25">
        <v>32</v>
      </c>
      <c r="AC66" s="25">
        <v>0.5</v>
      </c>
      <c r="AD66" s="35">
        <v>6.2</v>
      </c>
      <c r="AE66" s="35">
        <v>4.3</v>
      </c>
      <c r="AF66" s="35">
        <v>9.1999999999999993</v>
      </c>
      <c r="AG66" s="35">
        <v>100</v>
      </c>
      <c r="AH66" s="24">
        <v>10</v>
      </c>
      <c r="AI66" s="35">
        <v>100</v>
      </c>
      <c r="AJ66" s="13" t="str">
        <f xml:space="preserve"> IF(AD66&gt;F66,"Exceso en grasa saturada",IFERROR(IF(F66=0,"No tiene sello",IF((AD66*9)*100/F66&gt;10,"Exceso en grasa saturada","No tiene sello")),"No tiene sello"))</f>
        <v>Exceso en grasa saturada</v>
      </c>
      <c r="AK66" s="13">
        <f>IF(AJ66="No tiene sello",0,1)</f>
        <v>1</v>
      </c>
      <c r="AL66" s="13" t="str">
        <f>IF(Q66&gt;=300,"Exceso en sodio",IFERROR(IF(AND(F66=0,Q66&gt;0),"No tiene sello",IF(Q66/F66&gt;1,"Exceso en sodio","No tiene sello")),"No tiene sello"))</f>
        <v>Exceso en sodio</v>
      </c>
      <c r="AM66" s="13" t="str">
        <f>IFERROR(IF(F66=0,"No tiene sello",IF(+(AG66/1000)*9*100/F66&gt;1,"Exceso en grasa trans", "No tiene sello")),"No tiene sello")</f>
        <v>No tiene sello</v>
      </c>
    </row>
    <row r="67" spans="1:39" ht="13.5" customHeight="1" x14ac:dyDescent="0.25">
      <c r="A67" s="20" t="s">
        <v>1472</v>
      </c>
      <c r="B67" s="20" t="s">
        <v>1473</v>
      </c>
      <c r="C67" s="21"/>
      <c r="D67" s="22">
        <v>100</v>
      </c>
      <c r="E67" s="23">
        <v>22.4</v>
      </c>
      <c r="F67" s="24">
        <v>340</v>
      </c>
      <c r="G67" s="23">
        <v>1437</v>
      </c>
      <c r="H67" s="24">
        <v>11.1</v>
      </c>
      <c r="I67" s="24">
        <v>6.4</v>
      </c>
      <c r="J67" s="24">
        <v>59.3</v>
      </c>
      <c r="K67" s="23">
        <v>58.9</v>
      </c>
      <c r="L67" s="23">
        <v>8.89</v>
      </c>
      <c r="M67" s="24">
        <v>0.4</v>
      </c>
      <c r="N67" s="23">
        <v>0.8</v>
      </c>
      <c r="O67" s="25">
        <v>35</v>
      </c>
      <c r="P67" s="25">
        <v>1.9</v>
      </c>
      <c r="Q67" s="23">
        <v>0</v>
      </c>
      <c r="R67" s="25">
        <v>99</v>
      </c>
      <c r="S67" s="23">
        <v>0</v>
      </c>
      <c r="T67" s="23">
        <v>0</v>
      </c>
      <c r="U67" s="23">
        <v>0</v>
      </c>
      <c r="V67" s="23">
        <v>0.12</v>
      </c>
      <c r="W67" s="23">
        <v>0.06</v>
      </c>
      <c r="X67" s="23">
        <v>1.7</v>
      </c>
      <c r="Y67" s="23">
        <v>0</v>
      </c>
      <c r="Z67" s="23">
        <v>0</v>
      </c>
      <c r="AA67" s="25">
        <v>0</v>
      </c>
      <c r="AB67" s="25">
        <v>0</v>
      </c>
      <c r="AC67" s="25">
        <v>0</v>
      </c>
      <c r="AD67" s="23">
        <v>0</v>
      </c>
      <c r="AE67" s="23">
        <v>0</v>
      </c>
      <c r="AF67" s="23">
        <v>0</v>
      </c>
      <c r="AG67" s="23">
        <v>0</v>
      </c>
      <c r="AH67" s="24">
        <v>0</v>
      </c>
      <c r="AI67" s="23">
        <v>100</v>
      </c>
      <c r="AJ67" s="13" t="str">
        <f xml:space="preserve"> IF(AD67&gt;F67,"Exceso en grasa saturada",IFERROR(IF(F67=0,"No tiene sello",IF((AD67*9)*100/F67&gt;10,"Exceso en grasa saturada","No tiene sello")),"No tiene sello"))</f>
        <v>No tiene sello</v>
      </c>
      <c r="AK67" s="13">
        <f>IF(AJ67="No tiene sello",0,1)</f>
        <v>0</v>
      </c>
      <c r="AL67" s="13" t="str">
        <f>IF(Q67&gt;=300,"Exceso en sodio",IFERROR(IF(AND(F67=0,Q67&gt;0),"No tiene sello",IF(Q67/F67&gt;1,"Exceso en sodio","No tiene sello")),"No tiene sello"))</f>
        <v>No tiene sello</v>
      </c>
      <c r="AM67" s="13" t="str">
        <f>IFERROR(IF(F67=0,"No tiene sello",IF(+(AG67/1000)*9*100/F67&gt;1,"Exceso en grasa trans", "No tiene sello")),"No tiene sello")</f>
        <v>No tiene sello</v>
      </c>
    </row>
    <row r="68" spans="1:39" ht="13.5" customHeight="1" x14ac:dyDescent="0.25">
      <c r="A68" s="26" t="s">
        <v>1470</v>
      </c>
      <c r="B68" s="26" t="s">
        <v>1471</v>
      </c>
      <c r="C68" s="27"/>
      <c r="D68" s="16">
        <v>100</v>
      </c>
      <c r="E68" s="28">
        <v>23.5</v>
      </c>
      <c r="F68" s="24">
        <v>355</v>
      </c>
      <c r="G68" s="28">
        <v>1494</v>
      </c>
      <c r="H68" s="24">
        <v>15.8</v>
      </c>
      <c r="I68" s="24">
        <v>12.2</v>
      </c>
      <c r="J68" s="24">
        <v>45.5</v>
      </c>
      <c r="K68" s="28">
        <v>0</v>
      </c>
      <c r="L68" s="28">
        <v>6.83</v>
      </c>
      <c r="M68" s="24">
        <v>0</v>
      </c>
      <c r="N68" s="28">
        <v>3</v>
      </c>
      <c r="O68" s="25">
        <v>550</v>
      </c>
      <c r="P68" s="25">
        <v>1.2</v>
      </c>
      <c r="Q68" s="28">
        <v>0</v>
      </c>
      <c r="R68" s="25">
        <v>380</v>
      </c>
      <c r="S68" s="28">
        <v>0</v>
      </c>
      <c r="T68" s="28">
        <v>34</v>
      </c>
      <c r="U68" s="28">
        <v>280</v>
      </c>
      <c r="V68" s="28">
        <v>0.05</v>
      </c>
      <c r="W68" s="28">
        <v>0.52</v>
      </c>
      <c r="X68" s="28">
        <v>1</v>
      </c>
      <c r="Y68" s="28">
        <v>0</v>
      </c>
      <c r="Z68" s="28">
        <v>0</v>
      </c>
      <c r="AA68" s="25">
        <v>0</v>
      </c>
      <c r="AB68" s="25">
        <v>0</v>
      </c>
      <c r="AC68" s="25">
        <v>0</v>
      </c>
      <c r="AD68" s="28">
        <v>0</v>
      </c>
      <c r="AE68" s="28">
        <v>0</v>
      </c>
      <c r="AF68" s="28">
        <v>0</v>
      </c>
      <c r="AG68" s="28">
        <v>80</v>
      </c>
      <c r="AH68" s="24">
        <v>0</v>
      </c>
      <c r="AI68" s="28">
        <v>100</v>
      </c>
      <c r="AJ68" s="13" t="str">
        <f xml:space="preserve"> IF(AD68&gt;F68,"Exceso en grasa saturada",IFERROR(IF(F68=0,"No tiene sello",IF((AD68*9)*100/F68&gt;10,"Exceso en grasa saturada","No tiene sello")),"No tiene sello"))</f>
        <v>No tiene sello</v>
      </c>
      <c r="AK68" s="13">
        <f>IF(AJ68="No tiene sello",0,1)</f>
        <v>0</v>
      </c>
      <c r="AL68" s="13" t="str">
        <f>IF(Q68&gt;=300,"Exceso en sodio",IFERROR(IF(AND(F68=0,Q68&gt;0),"No tiene sello",IF(Q68/F68&gt;1,"Exceso en sodio","No tiene sello")),"No tiene sello"))</f>
        <v>No tiene sello</v>
      </c>
      <c r="AM68" s="13" t="str">
        <f>IFERROR(IF(F68=0,"No tiene sello",IF(+(AG68/1000)*9*100/F68&gt;1,"Exceso en grasa trans", "No tiene sello")),"No tiene sello")</f>
        <v>No tiene sello</v>
      </c>
    </row>
    <row r="69" spans="1:39" ht="13.5" customHeight="1" x14ac:dyDescent="0.25">
      <c r="A69" s="20" t="s">
        <v>1468</v>
      </c>
      <c r="B69" s="20" t="s">
        <v>1469</v>
      </c>
      <c r="C69" s="21"/>
      <c r="D69" s="22">
        <v>100</v>
      </c>
      <c r="E69" s="23">
        <v>25.3</v>
      </c>
      <c r="F69" s="24">
        <v>308</v>
      </c>
      <c r="G69" s="23">
        <v>1307</v>
      </c>
      <c r="H69" s="24">
        <v>10.1</v>
      </c>
      <c r="I69" s="24">
        <v>2.1</v>
      </c>
      <c r="J69" s="24">
        <v>61.1</v>
      </c>
      <c r="K69" s="23">
        <v>58.8</v>
      </c>
      <c r="L69" s="23">
        <v>9.16</v>
      </c>
      <c r="M69" s="24">
        <v>2.2999999999999998</v>
      </c>
      <c r="N69" s="23">
        <v>1.4</v>
      </c>
      <c r="O69" s="25">
        <v>32</v>
      </c>
      <c r="P69" s="25">
        <v>1.9</v>
      </c>
      <c r="Q69" s="23">
        <v>625</v>
      </c>
      <c r="R69" s="25">
        <v>126</v>
      </c>
      <c r="S69" s="23">
        <v>0.8</v>
      </c>
      <c r="T69" s="23">
        <v>31</v>
      </c>
      <c r="U69" s="23">
        <v>120</v>
      </c>
      <c r="V69" s="23">
        <v>0.23</v>
      </c>
      <c r="W69" s="23">
        <v>0.17</v>
      </c>
      <c r="X69" s="23">
        <v>1.6</v>
      </c>
      <c r="Y69" s="23">
        <v>62</v>
      </c>
      <c r="Z69" s="23">
        <v>0</v>
      </c>
      <c r="AA69" s="25">
        <v>0</v>
      </c>
      <c r="AB69" s="25">
        <v>0</v>
      </c>
      <c r="AC69" s="25">
        <v>0</v>
      </c>
      <c r="AD69" s="23">
        <v>0.5</v>
      </c>
      <c r="AE69" s="23">
        <v>0.4</v>
      </c>
      <c r="AF69" s="23">
        <v>0.7</v>
      </c>
      <c r="AG69" s="23">
        <v>0</v>
      </c>
      <c r="AH69" s="24">
        <v>0</v>
      </c>
      <c r="AI69" s="23">
        <v>100</v>
      </c>
      <c r="AJ69" s="13" t="str">
        <f xml:space="preserve"> IF(AD69&gt;F69,"Exceso en grasa saturada",IFERROR(IF(F69=0,"No tiene sello",IF((AD69*9)*100/F69&gt;10,"Exceso en grasa saturada","No tiene sello")),"No tiene sello"))</f>
        <v>No tiene sello</v>
      </c>
      <c r="AK69" s="13">
        <f>IF(AJ69="No tiene sello",0,1)</f>
        <v>0</v>
      </c>
      <c r="AL69" s="13" t="str">
        <f>IF(Q69&gt;=300,"Exceso en sodio",IFERROR(IF(AND(F69=0,Q69&gt;0),"No tiene sello",IF(Q69/F69&gt;1,"Exceso en sodio","No tiene sello")),"No tiene sello"))</f>
        <v>Exceso en sodio</v>
      </c>
      <c r="AM69" s="13" t="str">
        <f>IFERROR(IF(F69=0,"No tiene sello",IF(+(AG69/1000)*9*100/F69&gt;1,"Exceso en grasa trans", "No tiene sello")),"No tiene sello")</f>
        <v>No tiene sello</v>
      </c>
    </row>
    <row r="70" spans="1:39" s="5" customFormat="1" ht="13.5" customHeight="1" x14ac:dyDescent="0.25">
      <c r="A70" s="33" t="s">
        <v>1466</v>
      </c>
      <c r="B70" s="33" t="s">
        <v>1467</v>
      </c>
      <c r="C70" s="34"/>
      <c r="D70" s="16">
        <v>100</v>
      </c>
      <c r="E70" s="35">
        <v>35.299999999999997</v>
      </c>
      <c r="F70" s="24">
        <v>279</v>
      </c>
      <c r="G70" s="35">
        <v>1181</v>
      </c>
      <c r="H70" s="24">
        <v>9.4</v>
      </c>
      <c r="I70" s="24">
        <v>3.1</v>
      </c>
      <c r="J70" s="24">
        <v>50.4</v>
      </c>
      <c r="K70" s="35">
        <v>43.9</v>
      </c>
      <c r="L70" s="35">
        <v>7.56</v>
      </c>
      <c r="M70" s="24">
        <v>6.5</v>
      </c>
      <c r="N70" s="35">
        <v>1.9</v>
      </c>
      <c r="O70" s="25">
        <v>50</v>
      </c>
      <c r="P70" s="25">
        <v>2.7</v>
      </c>
      <c r="Q70" s="35">
        <v>448</v>
      </c>
      <c r="R70" s="25">
        <v>220</v>
      </c>
      <c r="S70" s="35">
        <v>1.5</v>
      </c>
      <c r="T70" s="35">
        <v>62</v>
      </c>
      <c r="U70" s="35">
        <v>214</v>
      </c>
      <c r="V70" s="35">
        <v>0.2</v>
      </c>
      <c r="W70" s="35">
        <v>0.1</v>
      </c>
      <c r="X70" s="35">
        <v>3.4</v>
      </c>
      <c r="Y70" s="35">
        <v>36</v>
      </c>
      <c r="Z70" s="35">
        <v>0</v>
      </c>
      <c r="AA70" s="25">
        <v>0</v>
      </c>
      <c r="AB70" s="25">
        <v>0</v>
      </c>
      <c r="AC70" s="25">
        <v>0</v>
      </c>
      <c r="AD70" s="35">
        <v>0.7</v>
      </c>
      <c r="AE70" s="35">
        <v>0.9</v>
      </c>
      <c r="AF70" s="35">
        <v>1.1000000000000001</v>
      </c>
      <c r="AG70" s="35">
        <v>0</v>
      </c>
      <c r="AH70" s="24">
        <v>0</v>
      </c>
      <c r="AI70" s="35">
        <v>100</v>
      </c>
      <c r="AJ70" s="13" t="str">
        <f xml:space="preserve"> IF(AD70&gt;F70,"Exceso en grasa saturada",IFERROR(IF(F70=0,"No tiene sello",IF((AD70*9)*100/F70&gt;10,"Exceso en grasa saturada","No tiene sello")),"No tiene sello"))</f>
        <v>No tiene sello</v>
      </c>
      <c r="AK70" s="13">
        <f>IF(AJ70="No tiene sello",0,1)</f>
        <v>0</v>
      </c>
      <c r="AL70" s="13" t="str">
        <f>IF(Q70&gt;=300,"Exceso en sodio",IFERROR(IF(AND(F70=0,Q70&gt;0),"No tiene sello",IF(Q70/F70&gt;1,"Exceso en sodio","No tiene sello")),"No tiene sello"))</f>
        <v>Exceso en sodio</v>
      </c>
      <c r="AM70" s="13" t="str">
        <f>IFERROR(IF(F70=0,"No tiene sello",IF(+(AG70/1000)*9*100/F70&gt;1,"Exceso en grasa trans", "No tiene sello")),"No tiene sello")</f>
        <v>No tiene sello</v>
      </c>
    </row>
    <row r="71" spans="1:39" ht="13.5" customHeight="1" x14ac:dyDescent="0.25">
      <c r="A71" s="20" t="s">
        <v>1464</v>
      </c>
      <c r="B71" s="20" t="s">
        <v>1465</v>
      </c>
      <c r="C71" s="21"/>
      <c r="D71" s="22">
        <v>100</v>
      </c>
      <c r="E71" s="23">
        <v>20</v>
      </c>
      <c r="F71" s="24">
        <v>357</v>
      </c>
      <c r="G71" s="23">
        <v>1504</v>
      </c>
      <c r="H71" s="24">
        <v>15.8</v>
      </c>
      <c r="I71" s="24">
        <v>10.1</v>
      </c>
      <c r="J71" s="24">
        <v>50.7</v>
      </c>
      <c r="K71" s="23">
        <v>0</v>
      </c>
      <c r="L71" s="23">
        <v>7.61</v>
      </c>
      <c r="M71" s="24">
        <v>0</v>
      </c>
      <c r="N71" s="23">
        <v>3.4</v>
      </c>
      <c r="O71" s="25">
        <v>450</v>
      </c>
      <c r="P71" s="25">
        <v>7.3</v>
      </c>
      <c r="Q71" s="23">
        <v>0</v>
      </c>
      <c r="R71" s="25">
        <v>221</v>
      </c>
      <c r="S71" s="23">
        <v>0</v>
      </c>
      <c r="T71" s="23">
        <v>0</v>
      </c>
      <c r="U71" s="23">
        <v>0</v>
      </c>
      <c r="V71" s="23">
        <v>7.0000000000000007E-2</v>
      </c>
      <c r="W71" s="23">
        <v>0.45</v>
      </c>
      <c r="X71" s="23">
        <v>1</v>
      </c>
      <c r="Y71" s="23">
        <v>0</v>
      </c>
      <c r="Z71" s="23">
        <v>0</v>
      </c>
      <c r="AA71" s="25">
        <v>0</v>
      </c>
      <c r="AB71" s="25">
        <v>0</v>
      </c>
      <c r="AC71" s="25">
        <v>0.5</v>
      </c>
      <c r="AD71" s="23">
        <v>0</v>
      </c>
      <c r="AE71" s="23">
        <v>0</v>
      </c>
      <c r="AF71" s="23">
        <v>0</v>
      </c>
      <c r="AG71" s="23">
        <v>80</v>
      </c>
      <c r="AH71" s="24">
        <v>0</v>
      </c>
      <c r="AI71" s="23">
        <v>100</v>
      </c>
      <c r="AJ71" s="13" t="str">
        <f xml:space="preserve"> IF(AD71&gt;F71,"Exceso en grasa saturada",IFERROR(IF(F71=0,"No tiene sello",IF((AD71*9)*100/F71&gt;10,"Exceso en grasa saturada","No tiene sello")),"No tiene sello"))</f>
        <v>No tiene sello</v>
      </c>
      <c r="AK71" s="13">
        <f>IF(AJ71="No tiene sello",0,1)</f>
        <v>0</v>
      </c>
      <c r="AL71" s="13" t="str">
        <f>IF(Q71&gt;=300,"Exceso en sodio",IFERROR(IF(AND(F71=0,Q71&gt;0),"No tiene sello",IF(Q71/F71&gt;1,"Exceso en sodio","No tiene sello")),"No tiene sello"))</f>
        <v>No tiene sello</v>
      </c>
      <c r="AM71" s="13" t="str">
        <f>IFERROR(IF(F71=0,"No tiene sello",IF(+(AG71/1000)*9*100/F71&gt;1,"Exceso en grasa trans", "No tiene sello")),"No tiene sello")</f>
        <v>No tiene sello</v>
      </c>
    </row>
    <row r="72" spans="1:39" ht="13.5" customHeight="1" x14ac:dyDescent="0.25">
      <c r="A72" s="26" t="s">
        <v>1462</v>
      </c>
      <c r="B72" s="26" t="s">
        <v>1463</v>
      </c>
      <c r="C72" s="27"/>
      <c r="D72" s="16">
        <v>100</v>
      </c>
      <c r="E72" s="28">
        <v>68.3</v>
      </c>
      <c r="F72" s="24">
        <v>132</v>
      </c>
      <c r="G72" s="28">
        <v>558</v>
      </c>
      <c r="H72" s="24">
        <v>4.5</v>
      </c>
      <c r="I72" s="24">
        <v>1</v>
      </c>
      <c r="J72" s="24">
        <v>25.5</v>
      </c>
      <c r="K72" s="28">
        <v>24.3</v>
      </c>
      <c r="L72" s="28">
        <v>2.5499999999999998</v>
      </c>
      <c r="M72" s="24">
        <v>1.2</v>
      </c>
      <c r="N72" s="28">
        <v>0.6</v>
      </c>
      <c r="O72" s="25">
        <v>12</v>
      </c>
      <c r="P72" s="25">
        <v>0.5</v>
      </c>
      <c r="Q72" s="28">
        <v>5</v>
      </c>
      <c r="R72" s="25">
        <v>76</v>
      </c>
      <c r="S72" s="28">
        <v>0.6</v>
      </c>
      <c r="T72" s="28">
        <v>21</v>
      </c>
      <c r="U72" s="28">
        <v>32</v>
      </c>
      <c r="V72" s="28">
        <v>0.03</v>
      </c>
      <c r="W72" s="28">
        <v>0.02</v>
      </c>
      <c r="X72" s="28">
        <v>0.4</v>
      </c>
      <c r="Y72" s="28">
        <v>7</v>
      </c>
      <c r="Z72" s="28">
        <v>0.09</v>
      </c>
      <c r="AA72" s="25">
        <v>0</v>
      </c>
      <c r="AB72" s="25">
        <v>5</v>
      </c>
      <c r="AC72" s="25">
        <v>0</v>
      </c>
      <c r="AD72" s="28">
        <v>0.3</v>
      </c>
      <c r="AE72" s="28">
        <v>0.5</v>
      </c>
      <c r="AF72" s="28">
        <v>0.4</v>
      </c>
      <c r="AG72" s="28">
        <v>0</v>
      </c>
      <c r="AH72" s="24">
        <v>29</v>
      </c>
      <c r="AI72" s="28">
        <v>100</v>
      </c>
      <c r="AJ72" s="13" t="str">
        <f xml:space="preserve"> IF(AD72&gt;F72,"Exceso en grasa saturada",IFERROR(IF(F72=0,"No tiene sello",IF((AD72*9)*100/F72&gt;10,"Exceso en grasa saturada","No tiene sello")),"No tiene sello"))</f>
        <v>No tiene sello</v>
      </c>
      <c r="AK72" s="13">
        <f>IF(AJ72="No tiene sello",0,1)</f>
        <v>0</v>
      </c>
      <c r="AL72" s="13" t="str">
        <f>IF(Q72&gt;=300,"Exceso en sodio",IFERROR(IF(AND(F72=0,Q72&gt;0),"No tiene sello",IF(Q72/F72&gt;1,"Exceso en sodio","No tiene sello")),"No tiene sello"))</f>
        <v>No tiene sello</v>
      </c>
      <c r="AM72" s="13" t="str">
        <f>IFERROR(IF(F72=0,"No tiene sello",IF(+(AG72/1000)*9*100/F72&gt;1,"Exceso en grasa trans", "No tiene sello")),"No tiene sello")</f>
        <v>No tiene sello</v>
      </c>
    </row>
    <row r="73" spans="1:39" ht="13.5" customHeight="1" x14ac:dyDescent="0.25">
      <c r="A73" s="20" t="s">
        <v>1460</v>
      </c>
      <c r="B73" s="20" t="s">
        <v>1461</v>
      </c>
      <c r="C73" s="21"/>
      <c r="D73" s="22">
        <v>100</v>
      </c>
      <c r="E73" s="23">
        <v>9.9</v>
      </c>
      <c r="F73" s="24">
        <v>371</v>
      </c>
      <c r="G73" s="23">
        <v>1573</v>
      </c>
      <c r="H73" s="24">
        <v>13</v>
      </c>
      <c r="I73" s="24">
        <v>1.5</v>
      </c>
      <c r="J73" s="24">
        <v>74.7</v>
      </c>
      <c r="K73" s="23">
        <v>71.5</v>
      </c>
      <c r="L73" s="23">
        <v>2.5</v>
      </c>
      <c r="M73" s="24">
        <v>3.2</v>
      </c>
      <c r="N73" s="23">
        <v>0.9</v>
      </c>
      <c r="O73" s="25">
        <v>25</v>
      </c>
      <c r="P73" s="25">
        <v>3.9</v>
      </c>
      <c r="Q73" s="23">
        <v>6</v>
      </c>
      <c r="R73" s="25">
        <v>120</v>
      </c>
      <c r="S73" s="23">
        <v>1.3</v>
      </c>
      <c r="T73" s="23">
        <v>53</v>
      </c>
      <c r="U73" s="23">
        <v>223</v>
      </c>
      <c r="V73" s="23">
        <v>0.95</v>
      </c>
      <c r="W73" s="23">
        <v>0.39</v>
      </c>
      <c r="X73" s="23">
        <v>7.1</v>
      </c>
      <c r="Y73" s="23">
        <v>237</v>
      </c>
      <c r="Z73" s="23">
        <v>0</v>
      </c>
      <c r="AA73" s="25">
        <v>0</v>
      </c>
      <c r="AB73" s="25">
        <v>0</v>
      </c>
      <c r="AC73" s="25">
        <v>2</v>
      </c>
      <c r="AD73" s="23">
        <v>0.3</v>
      </c>
      <c r="AE73" s="23">
        <v>0.2</v>
      </c>
      <c r="AF73" s="23">
        <v>0.6</v>
      </c>
      <c r="AG73" s="23">
        <v>0</v>
      </c>
      <c r="AH73" s="24">
        <v>0</v>
      </c>
      <c r="AI73" s="23">
        <v>100</v>
      </c>
      <c r="AJ73" s="13" t="str">
        <f xml:space="preserve"> IF(AD73&gt;F73,"Exceso en grasa saturada",IFERROR(IF(F73=0,"No tiene sello",IF((AD73*9)*100/F73&gt;10,"Exceso en grasa saturada","No tiene sello")),"No tiene sello"))</f>
        <v>No tiene sello</v>
      </c>
      <c r="AK73" s="13">
        <f>IF(AJ73="No tiene sello",0,1)</f>
        <v>0</v>
      </c>
      <c r="AL73" s="13" t="str">
        <f>IF(Q73&gt;=300,"Exceso en sodio",IFERROR(IF(AND(F73=0,Q73&gt;0),"No tiene sello",IF(Q73/F73&gt;1,"Exceso en sodio","No tiene sello")),"No tiene sello"))</f>
        <v>No tiene sello</v>
      </c>
      <c r="AM73" s="13" t="str">
        <f>IFERROR(IF(F73=0,"No tiene sello",IF(+(AG73/1000)*9*100/F73&gt;1,"Exceso en grasa trans", "No tiene sello")),"No tiene sello")</f>
        <v>No tiene sello</v>
      </c>
    </row>
    <row r="74" spans="1:39" ht="13.5" customHeight="1" x14ac:dyDescent="0.25">
      <c r="A74" s="33" t="s">
        <v>1458</v>
      </c>
      <c r="B74" s="33" t="s">
        <v>1459</v>
      </c>
      <c r="C74" s="34"/>
      <c r="D74" s="16">
        <v>100</v>
      </c>
      <c r="E74" s="35">
        <v>65.7</v>
      </c>
      <c r="F74" s="24">
        <v>143</v>
      </c>
      <c r="G74" s="35">
        <v>606</v>
      </c>
      <c r="H74" s="24">
        <v>5.8</v>
      </c>
      <c r="I74" s="24">
        <v>0.9</v>
      </c>
      <c r="J74" s="24">
        <v>27</v>
      </c>
      <c r="K74" s="35">
        <v>25.2</v>
      </c>
      <c r="L74" s="35">
        <v>2.7</v>
      </c>
      <c r="M74" s="24">
        <v>1.8</v>
      </c>
      <c r="N74" s="35">
        <v>0.6</v>
      </c>
      <c r="O74" s="25">
        <v>7</v>
      </c>
      <c r="P74" s="25">
        <v>0.5</v>
      </c>
      <c r="Q74" s="35">
        <v>1</v>
      </c>
      <c r="R74" s="25">
        <v>58</v>
      </c>
      <c r="S74" s="35">
        <v>0.5</v>
      </c>
      <c r="T74" s="35">
        <v>18</v>
      </c>
      <c r="U74" s="35">
        <v>44</v>
      </c>
      <c r="V74" s="35">
        <v>0.02</v>
      </c>
      <c r="W74" s="35">
        <v>0.02</v>
      </c>
      <c r="X74" s="35">
        <v>0.4</v>
      </c>
      <c r="Y74" s="35">
        <v>7</v>
      </c>
      <c r="Z74" s="35">
        <v>0</v>
      </c>
      <c r="AA74" s="25">
        <v>0</v>
      </c>
      <c r="AB74" s="25">
        <v>0</v>
      </c>
      <c r="AC74" s="25">
        <v>0</v>
      </c>
      <c r="AD74" s="35">
        <v>0.2</v>
      </c>
      <c r="AE74" s="35">
        <v>0.1</v>
      </c>
      <c r="AF74" s="35">
        <v>0.3</v>
      </c>
      <c r="AG74" s="35">
        <v>0</v>
      </c>
      <c r="AH74" s="24">
        <v>0</v>
      </c>
      <c r="AI74" s="35">
        <v>100</v>
      </c>
      <c r="AJ74" s="13" t="str">
        <f xml:space="preserve"> IF(AD74&gt;F74,"Exceso en grasa saturada",IFERROR(IF(F74=0,"No tiene sello",IF((AD74*9)*100/F74&gt;10,"Exceso en grasa saturada","No tiene sello")),"No tiene sello"))</f>
        <v>No tiene sello</v>
      </c>
      <c r="AK74" s="13">
        <f>IF(AJ74="No tiene sello",0,1)</f>
        <v>0</v>
      </c>
      <c r="AL74" s="13" t="str">
        <f>IF(Q74&gt;=300,"Exceso en sodio",IFERROR(IF(AND(F74=0,Q74&gt;0),"No tiene sello",IF(Q74/F74&gt;1,"Exceso en sodio","No tiene sello")),"No tiene sello"))</f>
        <v>No tiene sello</v>
      </c>
      <c r="AM74" s="13" t="str">
        <f>IFERROR(IF(F74=0,"No tiene sello",IF(+(AG74/1000)*9*100/F74&gt;1,"Exceso en grasa trans", "No tiene sello")),"No tiene sello")</f>
        <v>No tiene sello</v>
      </c>
    </row>
    <row r="75" spans="1:39" ht="13.5" customHeight="1" x14ac:dyDescent="0.25">
      <c r="A75" s="20" t="s">
        <v>1456</v>
      </c>
      <c r="B75" s="20" t="s">
        <v>1457</v>
      </c>
      <c r="C75" s="21"/>
      <c r="D75" s="22">
        <v>100</v>
      </c>
      <c r="E75" s="23">
        <v>9.9</v>
      </c>
      <c r="F75" s="24">
        <v>371</v>
      </c>
      <c r="G75" s="23">
        <v>1572</v>
      </c>
      <c r="H75" s="24">
        <v>13</v>
      </c>
      <c r="I75" s="24">
        <v>1.4</v>
      </c>
      <c r="J75" s="24">
        <v>74.8</v>
      </c>
      <c r="K75" s="23">
        <v>71.599999999999994</v>
      </c>
      <c r="L75" s="23">
        <v>2.5</v>
      </c>
      <c r="M75" s="24">
        <v>3.2</v>
      </c>
      <c r="N75" s="23">
        <v>0.9</v>
      </c>
      <c r="O75" s="25">
        <v>21</v>
      </c>
      <c r="P75" s="25">
        <v>1</v>
      </c>
      <c r="Q75" s="23">
        <v>5</v>
      </c>
      <c r="R75" s="25">
        <v>167</v>
      </c>
      <c r="S75" s="23">
        <v>1.5</v>
      </c>
      <c r="T75" s="23">
        <v>55</v>
      </c>
      <c r="U75" s="23">
        <v>236</v>
      </c>
      <c r="V75" s="23">
        <v>0.15</v>
      </c>
      <c r="W75" s="23">
        <v>0.03</v>
      </c>
      <c r="X75" s="23">
        <v>2.5</v>
      </c>
      <c r="Y75" s="23">
        <v>18</v>
      </c>
      <c r="Z75" s="23">
        <v>0</v>
      </c>
      <c r="AA75" s="25">
        <v>0</v>
      </c>
      <c r="AB75" s="25">
        <v>0</v>
      </c>
      <c r="AC75" s="25">
        <v>0</v>
      </c>
      <c r="AD75" s="23">
        <v>0.2</v>
      </c>
      <c r="AE75" s="23">
        <v>1.5</v>
      </c>
      <c r="AF75" s="23">
        <v>0.6</v>
      </c>
      <c r="AG75" s="23">
        <v>0</v>
      </c>
      <c r="AH75" s="24">
        <v>0</v>
      </c>
      <c r="AI75" s="23">
        <v>100</v>
      </c>
      <c r="AJ75" s="13" t="str">
        <f xml:space="preserve"> IF(AD75&gt;F75,"Exceso en grasa saturada",IFERROR(IF(F75=0,"No tiene sello",IF((AD75*9)*100/F75&gt;10,"Exceso en grasa saturada","No tiene sello")),"No tiene sello"))</f>
        <v>No tiene sello</v>
      </c>
      <c r="AK75" s="13">
        <f>IF(AJ75="No tiene sello",0,1)</f>
        <v>0</v>
      </c>
      <c r="AL75" s="13" t="str">
        <f>IF(Q75&gt;=300,"Exceso en sodio",IFERROR(IF(AND(F75=0,Q75&gt;0),"No tiene sello",IF(Q75/F75&gt;1,"Exceso en sodio","No tiene sello")),"No tiene sello"))</f>
        <v>No tiene sello</v>
      </c>
      <c r="AM75" s="13" t="str">
        <f>IFERROR(IF(F75=0,"No tiene sello",IF(+(AG75/1000)*9*100/F75&gt;1,"Exceso en grasa trans", "No tiene sello")),"No tiene sello")</f>
        <v>No tiene sello</v>
      </c>
    </row>
    <row r="76" spans="1:39" ht="13.5" customHeight="1" x14ac:dyDescent="0.25">
      <c r="A76" s="26" t="s">
        <v>1454</v>
      </c>
      <c r="B76" s="26" t="s">
        <v>1455</v>
      </c>
      <c r="C76" s="27"/>
      <c r="D76" s="16">
        <v>100</v>
      </c>
      <c r="E76" s="28">
        <v>22.1</v>
      </c>
      <c r="F76" s="24">
        <v>398</v>
      </c>
      <c r="G76" s="28">
        <v>1669</v>
      </c>
      <c r="H76" s="24">
        <v>3</v>
      </c>
      <c r="I76" s="24">
        <v>17.8</v>
      </c>
      <c r="J76" s="24">
        <v>55.9</v>
      </c>
      <c r="K76" s="28">
        <v>54.4</v>
      </c>
      <c r="L76" s="28">
        <v>5.59</v>
      </c>
      <c r="M76" s="24">
        <v>1.5</v>
      </c>
      <c r="N76" s="28">
        <v>1.3</v>
      </c>
      <c r="O76" s="25">
        <v>26</v>
      </c>
      <c r="P76" s="25">
        <v>1.5</v>
      </c>
      <c r="Q76" s="28">
        <v>310</v>
      </c>
      <c r="R76" s="25">
        <v>138</v>
      </c>
      <c r="S76" s="28">
        <v>0.4</v>
      </c>
      <c r="T76" s="28">
        <v>20</v>
      </c>
      <c r="U76" s="28">
        <v>187</v>
      </c>
      <c r="V76" s="28">
        <v>7.0000000000000007E-2</v>
      </c>
      <c r="W76" s="28">
        <v>0.09</v>
      </c>
      <c r="X76" s="28">
        <v>0.8</v>
      </c>
      <c r="Y76" s="28">
        <v>22</v>
      </c>
      <c r="Z76" s="28">
        <v>0</v>
      </c>
      <c r="AA76" s="25">
        <v>0</v>
      </c>
      <c r="AB76" s="25">
        <v>47</v>
      </c>
      <c r="AC76" s="25">
        <v>0</v>
      </c>
      <c r="AD76" s="28">
        <v>5.8</v>
      </c>
      <c r="AE76" s="28">
        <v>7.2</v>
      </c>
      <c r="AF76" s="28">
        <v>4.7</v>
      </c>
      <c r="AG76" s="28">
        <v>180</v>
      </c>
      <c r="AH76" s="24">
        <v>16</v>
      </c>
      <c r="AI76" s="28">
        <v>100</v>
      </c>
      <c r="AJ76" s="13" t="str">
        <f xml:space="preserve"> IF(AD76&gt;F76,"Exceso en grasa saturada",IFERROR(IF(F76=0,"No tiene sello",IF((AD76*9)*100/F76&gt;10,"Exceso en grasa saturada","No tiene sello")),"No tiene sello"))</f>
        <v>Exceso en grasa saturada</v>
      </c>
      <c r="AK76" s="13">
        <f>IF(AJ76="No tiene sello",0,1)</f>
        <v>1</v>
      </c>
      <c r="AL76" s="13" t="str">
        <f>IF(Q76&gt;=300,"Exceso en sodio",IFERROR(IF(AND(F76=0,Q76&gt;0),"No tiene sello",IF(Q76/F76&gt;1,"Exceso en sodio","No tiene sello")),"No tiene sello"))</f>
        <v>Exceso en sodio</v>
      </c>
      <c r="AM76" s="13" t="str">
        <f>IFERROR(IF(F76=0,"No tiene sello",IF(+(AG76/1000)*9*100/F76&gt;1,"Exceso en grasa trans", "No tiene sello")),"No tiene sello")</f>
        <v>No tiene sello</v>
      </c>
    </row>
    <row r="77" spans="1:39" ht="13.5" customHeight="1" x14ac:dyDescent="0.25">
      <c r="A77" s="20" t="s">
        <v>1452</v>
      </c>
      <c r="B77" s="20" t="s">
        <v>1453</v>
      </c>
      <c r="C77" s="21"/>
      <c r="D77" s="22">
        <v>100</v>
      </c>
      <c r="E77" s="23">
        <v>22.1</v>
      </c>
      <c r="F77" s="24">
        <v>398</v>
      </c>
      <c r="G77" s="23">
        <v>1669</v>
      </c>
      <c r="H77" s="24">
        <v>3</v>
      </c>
      <c r="I77" s="24">
        <v>17.8</v>
      </c>
      <c r="J77" s="24">
        <v>55.9</v>
      </c>
      <c r="K77" s="23">
        <v>54.4</v>
      </c>
      <c r="L77" s="23">
        <v>5.59</v>
      </c>
      <c r="M77" s="24">
        <v>1.5</v>
      </c>
      <c r="N77" s="23">
        <v>1.3</v>
      </c>
      <c r="O77" s="25">
        <v>30</v>
      </c>
      <c r="P77" s="25">
        <v>1</v>
      </c>
      <c r="Q77" s="23">
        <v>310</v>
      </c>
      <c r="R77" s="25">
        <v>138</v>
      </c>
      <c r="S77" s="23">
        <v>0.4</v>
      </c>
      <c r="T77" s="23">
        <v>20</v>
      </c>
      <c r="U77" s="23">
        <v>187</v>
      </c>
      <c r="V77" s="23">
        <v>7.0000000000000007E-2</v>
      </c>
      <c r="W77" s="23">
        <v>0.09</v>
      </c>
      <c r="X77" s="23">
        <v>0.8</v>
      </c>
      <c r="Y77" s="23">
        <v>22</v>
      </c>
      <c r="Z77" s="23">
        <v>0</v>
      </c>
      <c r="AA77" s="25">
        <v>0</v>
      </c>
      <c r="AB77" s="25">
        <v>47</v>
      </c>
      <c r="AC77" s="25">
        <v>0</v>
      </c>
      <c r="AD77" s="23">
        <v>5.8</v>
      </c>
      <c r="AE77" s="23">
        <v>7.2</v>
      </c>
      <c r="AF77" s="23">
        <v>4.7</v>
      </c>
      <c r="AG77" s="23">
        <v>180</v>
      </c>
      <c r="AH77" s="24">
        <v>16</v>
      </c>
      <c r="AI77" s="23">
        <v>100</v>
      </c>
      <c r="AJ77" s="13" t="str">
        <f xml:space="preserve"> IF(AD77&gt;F77,"Exceso en grasa saturada",IFERROR(IF(F77=0,"No tiene sello",IF((AD77*9)*100/F77&gt;10,"Exceso en grasa saturada","No tiene sello")),"No tiene sello"))</f>
        <v>Exceso en grasa saturada</v>
      </c>
      <c r="AK77" s="13">
        <f>IF(AJ77="No tiene sello",0,1)</f>
        <v>1</v>
      </c>
      <c r="AL77" s="13" t="str">
        <f>IF(Q77&gt;=300,"Exceso en sodio",IFERROR(IF(AND(F77=0,Q77&gt;0),"No tiene sello",IF(Q77/F77&gt;1,"Exceso en sodio","No tiene sello")),"No tiene sello"))</f>
        <v>Exceso en sodio</v>
      </c>
      <c r="AM77" s="13" t="str">
        <f>IFERROR(IF(F77=0,"No tiene sello",IF(+(AG77/1000)*9*100/F77&gt;1,"Exceso en grasa trans", "No tiene sello")),"No tiene sello")</f>
        <v>No tiene sello</v>
      </c>
    </row>
    <row r="78" spans="1:39" ht="13.5" customHeight="1" x14ac:dyDescent="0.25">
      <c r="A78" s="26" t="s">
        <v>1450</v>
      </c>
      <c r="B78" s="26" t="s">
        <v>1451</v>
      </c>
      <c r="C78" s="27"/>
      <c r="D78" s="16">
        <v>100</v>
      </c>
      <c r="E78" s="28">
        <v>22.4</v>
      </c>
      <c r="F78" s="24">
        <v>403</v>
      </c>
      <c r="G78" s="28">
        <v>1687</v>
      </c>
      <c r="H78" s="24">
        <v>5.3</v>
      </c>
      <c r="I78" s="24">
        <v>19.2</v>
      </c>
      <c r="J78" s="24">
        <v>51.7</v>
      </c>
      <c r="K78" s="28">
        <v>50.7</v>
      </c>
      <c r="L78" s="28">
        <v>38.5</v>
      </c>
      <c r="M78" s="24">
        <v>1</v>
      </c>
      <c r="N78" s="28">
        <v>1.4</v>
      </c>
      <c r="O78" s="25">
        <v>65</v>
      </c>
      <c r="P78" s="25">
        <v>1.2</v>
      </c>
      <c r="Q78" s="28">
        <v>393</v>
      </c>
      <c r="R78" s="25">
        <v>136</v>
      </c>
      <c r="S78" s="28">
        <v>0.4</v>
      </c>
      <c r="T78" s="28">
        <v>12</v>
      </c>
      <c r="U78" s="28">
        <v>100</v>
      </c>
      <c r="V78" s="28">
        <v>0.04</v>
      </c>
      <c r="W78" s="28">
        <v>0.13</v>
      </c>
      <c r="X78" s="28">
        <v>0.3</v>
      </c>
      <c r="Y78" s="28">
        <v>24</v>
      </c>
      <c r="Z78" s="28">
        <v>0.23</v>
      </c>
      <c r="AA78" s="25">
        <v>0</v>
      </c>
      <c r="AB78" s="25">
        <v>81</v>
      </c>
      <c r="AC78" s="25">
        <v>0</v>
      </c>
      <c r="AD78" s="28">
        <v>5.7</v>
      </c>
      <c r="AE78" s="28">
        <v>9.5</v>
      </c>
      <c r="AF78" s="28">
        <v>2.9</v>
      </c>
      <c r="AG78" s="28">
        <v>288</v>
      </c>
      <c r="AH78" s="24">
        <v>77</v>
      </c>
      <c r="AI78" s="28">
        <v>100</v>
      </c>
      <c r="AJ78" s="13" t="str">
        <f xml:space="preserve"> IF(AD78&gt;F78,"Exceso en grasa saturada",IFERROR(IF(F78=0,"No tiene sello",IF((AD78*9)*100/F78&gt;10,"Exceso en grasa saturada","No tiene sello")),"No tiene sello"))</f>
        <v>Exceso en grasa saturada</v>
      </c>
      <c r="AK78" s="13">
        <f>IF(AJ78="No tiene sello",0,1)</f>
        <v>1</v>
      </c>
      <c r="AL78" s="13" t="str">
        <f>IF(Q78&gt;=300,"Exceso en sodio",IFERROR(IF(AND(F78=0,Q78&gt;0),"No tiene sello",IF(Q78/F78&gt;1,"Exceso en sodio","No tiene sello")),"No tiene sello"))</f>
        <v>Exceso en sodio</v>
      </c>
      <c r="AM78" s="13" t="str">
        <f>IFERROR(IF(F78=0,"No tiene sello",IF(+(AG78/1000)*9*100/F78&gt;1,"Exceso en grasa trans", "No tiene sello")),"No tiene sello")</f>
        <v>No tiene sello</v>
      </c>
    </row>
    <row r="79" spans="1:39" ht="13.5" customHeight="1" x14ac:dyDescent="0.25">
      <c r="A79" s="20" t="s">
        <v>1448</v>
      </c>
      <c r="B79" s="20" t="s">
        <v>1449</v>
      </c>
      <c r="C79" s="21"/>
      <c r="D79" s="22">
        <v>100</v>
      </c>
      <c r="E79" s="23">
        <v>20.5</v>
      </c>
      <c r="F79" s="24">
        <v>417</v>
      </c>
      <c r="G79" s="23">
        <v>1744</v>
      </c>
      <c r="H79" s="24">
        <v>3.5</v>
      </c>
      <c r="I79" s="24">
        <v>20.100000000000001</v>
      </c>
      <c r="J79" s="24">
        <v>54.4</v>
      </c>
      <c r="K79" s="23">
        <v>52.2</v>
      </c>
      <c r="L79" s="23">
        <v>5.44</v>
      </c>
      <c r="M79" s="24">
        <v>2.2000000000000002</v>
      </c>
      <c r="N79" s="23">
        <v>1.6</v>
      </c>
      <c r="O79" s="25">
        <v>30</v>
      </c>
      <c r="P79" s="25">
        <v>3</v>
      </c>
      <c r="Q79" s="23">
        <v>348</v>
      </c>
      <c r="R79" s="25">
        <v>137</v>
      </c>
      <c r="S79" s="23">
        <v>0.6</v>
      </c>
      <c r="T79" s="23">
        <v>31</v>
      </c>
      <c r="U79" s="23">
        <v>270</v>
      </c>
      <c r="V79" s="23">
        <v>0.09</v>
      </c>
      <c r="W79" s="23">
        <v>0.06</v>
      </c>
      <c r="X79" s="23">
        <v>0.8</v>
      </c>
      <c r="Y79" s="23">
        <v>17</v>
      </c>
      <c r="Z79" s="23">
        <v>0</v>
      </c>
      <c r="AA79" s="25">
        <v>0</v>
      </c>
      <c r="AB79" s="25">
        <v>71</v>
      </c>
      <c r="AC79" s="25">
        <v>0</v>
      </c>
      <c r="AD79" s="23">
        <v>5.9</v>
      </c>
      <c r="AE79" s="23">
        <v>7.3</v>
      </c>
      <c r="AF79" s="23">
        <v>4.5999999999999996</v>
      </c>
      <c r="AG79" s="23">
        <v>180</v>
      </c>
      <c r="AH79" s="24">
        <v>22</v>
      </c>
      <c r="AI79" s="23">
        <v>100</v>
      </c>
      <c r="AJ79" s="13" t="str">
        <f xml:space="preserve"> IF(AD79&gt;F79,"Exceso en grasa saturada",IFERROR(IF(F79=0,"No tiene sello",IF((AD79*9)*100/F79&gt;10,"Exceso en grasa saturada","No tiene sello")),"No tiene sello"))</f>
        <v>Exceso en grasa saturada</v>
      </c>
      <c r="AK79" s="13">
        <f>IF(AJ79="No tiene sello",0,1)</f>
        <v>1</v>
      </c>
      <c r="AL79" s="13" t="str">
        <f>IF(Q79&gt;=300,"Exceso en sodio",IFERROR(IF(AND(F79=0,Q79&gt;0),"No tiene sello",IF(Q79/F79&gt;1,"Exceso en sodio","No tiene sello")),"No tiene sello"))</f>
        <v>Exceso en sodio</v>
      </c>
      <c r="AM79" s="13" t="str">
        <f>IFERROR(IF(F79=0,"No tiene sello",IF(+(AG79/1000)*9*100/F79&gt;1,"Exceso en grasa trans", "No tiene sello")),"No tiene sello")</f>
        <v>No tiene sello</v>
      </c>
    </row>
    <row r="80" spans="1:39" ht="13.5" customHeight="1" x14ac:dyDescent="0.25">
      <c r="A80" s="26" t="s">
        <v>1446</v>
      </c>
      <c r="B80" s="26" t="s">
        <v>1447</v>
      </c>
      <c r="C80" s="26" t="s">
        <v>3</v>
      </c>
      <c r="D80" s="16">
        <v>100</v>
      </c>
      <c r="E80" s="28">
        <v>12</v>
      </c>
      <c r="F80" s="24">
        <v>376</v>
      </c>
      <c r="G80" s="28">
        <v>1590</v>
      </c>
      <c r="H80" s="24">
        <v>14.6</v>
      </c>
      <c r="I80" s="24">
        <v>4.4000000000000004</v>
      </c>
      <c r="J80" s="24">
        <v>66.400000000000006</v>
      </c>
      <c r="K80" s="28">
        <v>59.9</v>
      </c>
      <c r="L80" s="28">
        <v>0.5</v>
      </c>
      <c r="M80" s="24">
        <v>6.5</v>
      </c>
      <c r="N80" s="28">
        <v>2.6</v>
      </c>
      <c r="O80" s="25">
        <v>55</v>
      </c>
      <c r="P80" s="25">
        <v>8.4</v>
      </c>
      <c r="Q80" s="28">
        <v>5</v>
      </c>
      <c r="R80" s="25">
        <v>354</v>
      </c>
      <c r="S80" s="28">
        <v>3.2</v>
      </c>
      <c r="T80" s="28">
        <v>202</v>
      </c>
      <c r="U80" s="28">
        <v>652</v>
      </c>
      <c r="V80" s="28">
        <v>0.36</v>
      </c>
      <c r="W80" s="28">
        <v>0.24</v>
      </c>
      <c r="X80" s="28">
        <v>1.7</v>
      </c>
      <c r="Y80" s="28">
        <v>184</v>
      </c>
      <c r="Z80" s="28">
        <v>0</v>
      </c>
      <c r="AA80" s="25">
        <v>0</v>
      </c>
      <c r="AB80" s="25">
        <v>0</v>
      </c>
      <c r="AC80" s="25">
        <v>0</v>
      </c>
      <c r="AD80" s="28">
        <v>0.6</v>
      </c>
      <c r="AE80" s="28">
        <v>1.5</v>
      </c>
      <c r="AF80" s="28">
        <v>2.8</v>
      </c>
      <c r="AG80" s="28">
        <v>0</v>
      </c>
      <c r="AH80" s="24">
        <v>0</v>
      </c>
      <c r="AI80" s="28">
        <v>100</v>
      </c>
      <c r="AJ80" s="13" t="str">
        <f xml:space="preserve"> IF(AD80&gt;F80,"Exceso en grasa saturada",IFERROR(IF(F80=0,"No tiene sello",IF((AD80*9)*100/F80&gt;10,"Exceso en grasa saturada","No tiene sello")),"No tiene sello"))</f>
        <v>No tiene sello</v>
      </c>
      <c r="AK80" s="13">
        <f>IF(AJ80="No tiene sello",0,1)</f>
        <v>0</v>
      </c>
      <c r="AL80" s="13" t="str">
        <f>IF(Q80&gt;=300,"Exceso en sodio",IFERROR(IF(AND(F80=0,Q80&gt;0),"No tiene sello",IF(Q80/F80&gt;1,"Exceso en sodio","No tiene sello")),"No tiene sello"))</f>
        <v>No tiene sello</v>
      </c>
      <c r="AM80" s="13" t="str">
        <f>IFERROR(IF(F80=0,"No tiene sello",IF(+(AG80/1000)*9*100/F80&gt;1,"Exceso en grasa trans", "No tiene sello")),"No tiene sello")</f>
        <v>No tiene sello</v>
      </c>
    </row>
    <row r="81" spans="1:39" ht="13.5" customHeight="1" x14ac:dyDescent="0.25">
      <c r="A81" s="20" t="s">
        <v>1444</v>
      </c>
      <c r="B81" s="20" t="s">
        <v>1445</v>
      </c>
      <c r="C81" s="21"/>
      <c r="D81" s="22">
        <v>100</v>
      </c>
      <c r="E81" s="23">
        <v>20.399999999999999</v>
      </c>
      <c r="F81" s="24">
        <v>388</v>
      </c>
      <c r="G81" s="23">
        <v>1629</v>
      </c>
      <c r="H81" s="24">
        <v>18.600000000000001</v>
      </c>
      <c r="I81" s="24">
        <v>17.600000000000001</v>
      </c>
      <c r="J81" s="24">
        <v>38.9</v>
      </c>
      <c r="K81" s="23">
        <v>0</v>
      </c>
      <c r="L81" s="23">
        <v>3.89</v>
      </c>
      <c r="M81" s="24">
        <v>0</v>
      </c>
      <c r="N81" s="23">
        <v>4.5</v>
      </c>
      <c r="O81" s="25">
        <v>372</v>
      </c>
      <c r="P81" s="25">
        <v>1.3</v>
      </c>
      <c r="Q81" s="23">
        <v>0</v>
      </c>
      <c r="R81" s="25">
        <v>220</v>
      </c>
      <c r="S81" s="23">
        <v>0</v>
      </c>
      <c r="T81" s="23">
        <v>0</v>
      </c>
      <c r="U81" s="23">
        <v>0</v>
      </c>
      <c r="V81" s="23">
        <v>0.26</v>
      </c>
      <c r="W81" s="23">
        <v>0.03</v>
      </c>
      <c r="X81" s="23">
        <v>0.3</v>
      </c>
      <c r="Y81" s="23">
        <v>0</v>
      </c>
      <c r="Z81" s="23">
        <v>0</v>
      </c>
      <c r="AA81" s="25">
        <v>0</v>
      </c>
      <c r="AB81" s="25">
        <v>1</v>
      </c>
      <c r="AC81" s="25">
        <v>0.5</v>
      </c>
      <c r="AD81" s="23">
        <v>0</v>
      </c>
      <c r="AE81" s="23">
        <v>0</v>
      </c>
      <c r="AF81" s="23">
        <v>0</v>
      </c>
      <c r="AG81" s="23">
        <v>50</v>
      </c>
      <c r="AH81" s="24">
        <v>0</v>
      </c>
      <c r="AI81" s="23">
        <v>100</v>
      </c>
      <c r="AJ81" s="13" t="str">
        <f xml:space="preserve"> IF(AD81&gt;F81,"Exceso en grasa saturada",IFERROR(IF(F81=0,"No tiene sello",IF((AD81*9)*100/F81&gt;10,"Exceso en grasa saturada","No tiene sello")),"No tiene sello"))</f>
        <v>No tiene sello</v>
      </c>
      <c r="AK81" s="13">
        <f>IF(AJ81="No tiene sello",0,1)</f>
        <v>0</v>
      </c>
      <c r="AL81" s="13" t="str">
        <f>IF(Q81&gt;=300,"Exceso en sodio",IFERROR(IF(AND(F81=0,Q81&gt;0),"No tiene sello",IF(Q81/F81&gt;1,"Exceso en sodio","No tiene sello")),"No tiene sello"))</f>
        <v>No tiene sello</v>
      </c>
      <c r="AM81" s="13" t="str">
        <f>IFERROR(IF(F81=0,"No tiene sello",IF(+(AG81/1000)*9*100/F81&gt;1,"Exceso en grasa trans", "No tiene sello")),"No tiene sello")</f>
        <v>No tiene sello</v>
      </c>
    </row>
    <row r="82" spans="1:39" ht="13.5" customHeight="1" x14ac:dyDescent="0.25">
      <c r="A82" s="26" t="s">
        <v>1442</v>
      </c>
      <c r="B82" s="26" t="s">
        <v>1443</v>
      </c>
      <c r="C82" s="27"/>
      <c r="D82" s="16">
        <v>100</v>
      </c>
      <c r="E82" s="28">
        <v>19.3</v>
      </c>
      <c r="F82" s="24">
        <v>353</v>
      </c>
      <c r="G82" s="28">
        <v>1492</v>
      </c>
      <c r="H82" s="24">
        <v>12.1</v>
      </c>
      <c r="I82" s="24">
        <v>7.6</v>
      </c>
      <c r="J82" s="24">
        <v>59.1</v>
      </c>
      <c r="K82" s="28">
        <v>0</v>
      </c>
      <c r="L82" s="28">
        <v>5.91</v>
      </c>
      <c r="M82" s="24">
        <v>0</v>
      </c>
      <c r="N82" s="28">
        <v>1.9</v>
      </c>
      <c r="O82" s="25">
        <v>33</v>
      </c>
      <c r="P82" s="25">
        <v>5.0999999999999996</v>
      </c>
      <c r="Q82" s="28">
        <v>0</v>
      </c>
      <c r="R82" s="25">
        <v>108</v>
      </c>
      <c r="S82" s="28">
        <v>0</v>
      </c>
      <c r="T82" s="28">
        <v>0</v>
      </c>
      <c r="U82" s="28">
        <v>0</v>
      </c>
      <c r="V82" s="28">
        <v>0.12</v>
      </c>
      <c r="W82" s="28">
        <v>0.18</v>
      </c>
      <c r="X82" s="28">
        <v>1</v>
      </c>
      <c r="Y82" s="28">
        <v>0</v>
      </c>
      <c r="Z82" s="28">
        <v>0</v>
      </c>
      <c r="AA82" s="25">
        <v>0</v>
      </c>
      <c r="AB82" s="25">
        <v>10</v>
      </c>
      <c r="AC82" s="25">
        <v>0</v>
      </c>
      <c r="AD82" s="28">
        <v>0</v>
      </c>
      <c r="AE82" s="28">
        <v>0</v>
      </c>
      <c r="AF82" s="28">
        <v>0</v>
      </c>
      <c r="AG82" s="28">
        <v>0</v>
      </c>
      <c r="AH82" s="24">
        <v>0</v>
      </c>
      <c r="AI82" s="28">
        <v>100</v>
      </c>
      <c r="AJ82" s="13" t="str">
        <f xml:space="preserve"> IF(AD82&gt;F82,"Exceso en grasa saturada",IFERROR(IF(F82=0,"No tiene sello",IF((AD82*9)*100/F82&gt;10,"Exceso en grasa saturada","No tiene sello")),"No tiene sello"))</f>
        <v>No tiene sello</v>
      </c>
      <c r="AK82" s="13">
        <f>IF(AJ82="No tiene sello",0,1)</f>
        <v>0</v>
      </c>
      <c r="AL82" s="13" t="str">
        <f>IF(Q82&gt;=300,"Exceso en sodio",IFERROR(IF(AND(F82=0,Q82&gt;0),"No tiene sello",IF(Q82/F82&gt;1,"Exceso en sodio","No tiene sello")),"No tiene sello"))</f>
        <v>No tiene sello</v>
      </c>
      <c r="AM82" s="13" t="str">
        <f>IFERROR(IF(F82=0,"No tiene sello",IF(+(AG82/1000)*9*100/F82&gt;1,"Exceso en grasa trans", "No tiene sello")),"No tiene sello")</f>
        <v>No tiene sello</v>
      </c>
    </row>
    <row r="83" spans="1:39" ht="13.5" customHeight="1" x14ac:dyDescent="0.25">
      <c r="A83" s="20" t="s">
        <v>1440</v>
      </c>
      <c r="B83" s="20" t="s">
        <v>1441</v>
      </c>
      <c r="C83" s="21"/>
      <c r="D83" s="22">
        <v>100</v>
      </c>
      <c r="E83" s="23">
        <v>34.200000000000003</v>
      </c>
      <c r="F83" s="24">
        <v>324</v>
      </c>
      <c r="G83" s="23">
        <v>1359</v>
      </c>
      <c r="H83" s="24">
        <v>7.2</v>
      </c>
      <c r="I83" s="24">
        <v>13.2</v>
      </c>
      <c r="J83" s="24">
        <v>43.8</v>
      </c>
      <c r="K83" s="23">
        <v>43.4</v>
      </c>
      <c r="L83" s="23">
        <v>4.38</v>
      </c>
      <c r="M83" s="24">
        <v>0.4</v>
      </c>
      <c r="N83" s="23">
        <v>1.6</v>
      </c>
      <c r="O83" s="25">
        <v>41</v>
      </c>
      <c r="P83" s="25">
        <v>2.6</v>
      </c>
      <c r="Q83" s="23">
        <v>281</v>
      </c>
      <c r="R83" s="25">
        <v>110</v>
      </c>
      <c r="S83" s="23">
        <v>0.3</v>
      </c>
      <c r="T83" s="23">
        <v>11</v>
      </c>
      <c r="U83" s="23">
        <v>90</v>
      </c>
      <c r="V83" s="23">
        <v>0.2</v>
      </c>
      <c r="W83" s="23">
        <v>0.21</v>
      </c>
      <c r="X83" s="23">
        <v>1</v>
      </c>
      <c r="Y83" s="23">
        <v>39</v>
      </c>
      <c r="Z83" s="23">
        <v>0.24</v>
      </c>
      <c r="AA83" s="25">
        <v>0</v>
      </c>
      <c r="AB83" s="25">
        <v>41</v>
      </c>
      <c r="AC83" s="25">
        <v>0</v>
      </c>
      <c r="AD83" s="23">
        <v>7.9</v>
      </c>
      <c r="AE83" s="23">
        <v>3.9</v>
      </c>
      <c r="AF83" s="23">
        <v>0.8</v>
      </c>
      <c r="AG83" s="23">
        <v>80</v>
      </c>
      <c r="AH83" s="24">
        <v>41</v>
      </c>
      <c r="AI83" s="23">
        <v>100</v>
      </c>
      <c r="AJ83" s="13" t="str">
        <f xml:space="preserve"> IF(AD83&gt;F83,"Exceso en grasa saturada",IFERROR(IF(F83=0,"No tiene sello",IF((AD83*9)*100/F83&gt;10,"Exceso en grasa saturada","No tiene sello")),"No tiene sello"))</f>
        <v>Exceso en grasa saturada</v>
      </c>
      <c r="AK83" s="13">
        <f>IF(AJ83="No tiene sello",0,1)</f>
        <v>1</v>
      </c>
      <c r="AL83" s="13" t="str">
        <f>IF(Q83&gt;=300,"Exceso en sodio",IFERROR(IF(AND(F83=0,Q83&gt;0),"No tiene sello",IF(Q83/F83&gt;1,"Exceso en sodio","No tiene sello")),"No tiene sello"))</f>
        <v>No tiene sello</v>
      </c>
      <c r="AM83" s="13" t="str">
        <f>IFERROR(IF(F83=0,"No tiene sello",IF(+(AG83/1000)*9*100/F83&gt;1,"Exceso en grasa trans", "No tiene sello")),"No tiene sello")</f>
        <v>No tiene sello</v>
      </c>
    </row>
    <row r="84" spans="1:39" ht="13.5" customHeight="1" x14ac:dyDescent="0.25">
      <c r="A84" s="26" t="s">
        <v>1438</v>
      </c>
      <c r="B84" s="26" t="s">
        <v>1439</v>
      </c>
      <c r="C84" s="27"/>
      <c r="D84" s="16">
        <v>100</v>
      </c>
      <c r="E84" s="28">
        <v>20.100000000000001</v>
      </c>
      <c r="F84" s="24">
        <v>349</v>
      </c>
      <c r="G84" s="28">
        <v>1475</v>
      </c>
      <c r="H84" s="24">
        <v>6.2</v>
      </c>
      <c r="I84" s="24">
        <v>6.6</v>
      </c>
      <c r="J84" s="24">
        <v>66.099999999999994</v>
      </c>
      <c r="K84" s="28">
        <v>0</v>
      </c>
      <c r="L84" s="28">
        <v>6.61</v>
      </c>
      <c r="M84" s="24">
        <v>0</v>
      </c>
      <c r="N84" s="28">
        <v>0.9</v>
      </c>
      <c r="O84" s="25">
        <v>58</v>
      </c>
      <c r="P84" s="25">
        <v>3.8</v>
      </c>
      <c r="Q84" s="28">
        <v>757</v>
      </c>
      <c r="R84" s="25">
        <v>0</v>
      </c>
      <c r="S84" s="28">
        <v>0</v>
      </c>
      <c r="T84" s="28">
        <v>25</v>
      </c>
      <c r="U84" s="28">
        <v>460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5">
        <v>0</v>
      </c>
      <c r="AB84" s="25">
        <v>0</v>
      </c>
      <c r="AC84" s="25">
        <v>0</v>
      </c>
      <c r="AD84" s="28">
        <v>0</v>
      </c>
      <c r="AE84" s="28">
        <v>0</v>
      </c>
      <c r="AF84" s="28">
        <v>0</v>
      </c>
      <c r="AG84" s="28">
        <v>50</v>
      </c>
      <c r="AH84" s="24">
        <v>0</v>
      </c>
      <c r="AI84" s="28">
        <v>100</v>
      </c>
      <c r="AJ84" s="13" t="str">
        <f xml:space="preserve"> IF(AD84&gt;F84,"Exceso en grasa saturada",IFERROR(IF(F84=0,"No tiene sello",IF((AD84*9)*100/F84&gt;10,"Exceso en grasa saturada","No tiene sello")),"No tiene sello"))</f>
        <v>No tiene sello</v>
      </c>
      <c r="AK84" s="13">
        <f>IF(AJ84="No tiene sello",0,1)</f>
        <v>0</v>
      </c>
      <c r="AL84" s="13" t="str">
        <f>IF(Q84&gt;=300,"Exceso en sodio",IFERROR(IF(AND(F84=0,Q84&gt;0),"No tiene sello",IF(Q84/F84&gt;1,"Exceso en sodio","No tiene sello")),"No tiene sello"))</f>
        <v>Exceso en sodio</v>
      </c>
      <c r="AM84" s="13" t="str">
        <f>IFERROR(IF(F84=0,"No tiene sello",IF(+(AG84/1000)*9*100/F84&gt;1,"Exceso en grasa trans", "No tiene sello")),"No tiene sello")</f>
        <v>No tiene sello</v>
      </c>
    </row>
    <row r="85" spans="1:39" ht="13.5" customHeight="1" x14ac:dyDescent="0.25">
      <c r="A85" s="20" t="s">
        <v>1436</v>
      </c>
      <c r="B85" s="20" t="s">
        <v>1437</v>
      </c>
      <c r="C85" s="21"/>
      <c r="D85" s="22">
        <v>100</v>
      </c>
      <c r="E85" s="23">
        <v>21</v>
      </c>
      <c r="F85" s="24">
        <v>345</v>
      </c>
      <c r="G85" s="23">
        <v>1457</v>
      </c>
      <c r="H85" s="24">
        <v>7.9</v>
      </c>
      <c r="I85" s="24">
        <v>6.8</v>
      </c>
      <c r="J85" s="24">
        <v>62.9</v>
      </c>
      <c r="K85" s="23">
        <v>0</v>
      </c>
      <c r="L85" s="23">
        <v>50.32</v>
      </c>
      <c r="M85" s="24">
        <v>0</v>
      </c>
      <c r="N85" s="23">
        <v>1.4</v>
      </c>
      <c r="O85" s="25">
        <v>36</v>
      </c>
      <c r="P85" s="25">
        <v>4</v>
      </c>
      <c r="Q85" s="23">
        <v>606</v>
      </c>
      <c r="R85" s="25">
        <v>0</v>
      </c>
      <c r="S85" s="23">
        <v>54.2</v>
      </c>
      <c r="T85" s="23">
        <v>15</v>
      </c>
      <c r="U85" s="23">
        <v>342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5">
        <v>0</v>
      </c>
      <c r="AB85" s="25">
        <v>0</v>
      </c>
      <c r="AC85" s="25">
        <v>0</v>
      </c>
      <c r="AD85" s="23">
        <v>0</v>
      </c>
      <c r="AE85" s="23">
        <v>0</v>
      </c>
      <c r="AF85" s="23">
        <v>0</v>
      </c>
      <c r="AG85" s="23">
        <v>50</v>
      </c>
      <c r="AH85" s="24">
        <v>0</v>
      </c>
      <c r="AI85" s="23">
        <v>100</v>
      </c>
      <c r="AJ85" s="13" t="str">
        <f xml:space="preserve"> IF(AD85&gt;F85,"Exceso en grasa saturada",IFERROR(IF(F85=0,"No tiene sello",IF((AD85*9)*100/F85&gt;10,"Exceso en grasa saturada","No tiene sello")),"No tiene sello"))</f>
        <v>No tiene sello</v>
      </c>
      <c r="AK85" s="13">
        <f>IF(AJ85="No tiene sello",0,1)</f>
        <v>0</v>
      </c>
      <c r="AL85" s="13" t="str">
        <f>IF(Q85&gt;=300,"Exceso en sodio",IFERROR(IF(AND(F85=0,Q85&gt;0),"No tiene sello",IF(Q85/F85&gt;1,"Exceso en sodio","No tiene sello")),"No tiene sello"))</f>
        <v>Exceso en sodio</v>
      </c>
      <c r="AM85" s="13" t="str">
        <f>IFERROR(IF(F85=0,"No tiene sello",IF(+(AG85/1000)*9*100/F85&gt;1,"Exceso en grasa trans", "No tiene sello")),"No tiene sello")</f>
        <v>No tiene sello</v>
      </c>
    </row>
    <row r="86" spans="1:39" ht="13.5" customHeight="1" x14ac:dyDescent="0.25">
      <c r="A86" s="26" t="s">
        <v>1434</v>
      </c>
      <c r="B86" s="26" t="s">
        <v>1435</v>
      </c>
      <c r="C86" s="27">
        <v>100</v>
      </c>
      <c r="D86" s="16">
        <v>100</v>
      </c>
      <c r="E86" s="28">
        <v>12.7</v>
      </c>
      <c r="F86" s="24">
        <v>362</v>
      </c>
      <c r="G86" s="28">
        <v>1534</v>
      </c>
      <c r="H86" s="24">
        <v>12.7</v>
      </c>
      <c r="I86" s="24">
        <v>1.6</v>
      </c>
      <c r="J86" s="24">
        <v>72.3</v>
      </c>
      <c r="K86" s="28">
        <v>68.400000000000006</v>
      </c>
      <c r="L86" s="28">
        <v>2</v>
      </c>
      <c r="M86" s="24">
        <v>3.9</v>
      </c>
      <c r="N86" s="28">
        <v>0.8</v>
      </c>
      <c r="O86" s="25">
        <v>20</v>
      </c>
      <c r="P86" s="25">
        <v>2.4</v>
      </c>
      <c r="Q86" s="28">
        <v>1</v>
      </c>
      <c r="R86" s="25">
        <v>93</v>
      </c>
      <c r="S86" s="28">
        <v>1.1000000000000001</v>
      </c>
      <c r="T86" s="28">
        <v>47</v>
      </c>
      <c r="U86" s="28">
        <v>186</v>
      </c>
      <c r="V86" s="28">
        <v>0.34</v>
      </c>
      <c r="W86" s="28">
        <v>0.36</v>
      </c>
      <c r="X86" s="28">
        <v>3.2</v>
      </c>
      <c r="Y86" s="28">
        <v>261</v>
      </c>
      <c r="Z86" s="28">
        <v>0</v>
      </c>
      <c r="AA86" s="25">
        <v>0</v>
      </c>
      <c r="AB86" s="25">
        <v>0</v>
      </c>
      <c r="AC86" s="25">
        <v>2</v>
      </c>
      <c r="AD86" s="28">
        <v>0.2</v>
      </c>
      <c r="AE86" s="28">
        <v>0.1</v>
      </c>
      <c r="AF86" s="28">
        <v>0.4</v>
      </c>
      <c r="AG86" s="28">
        <v>0</v>
      </c>
      <c r="AH86" s="24">
        <v>0</v>
      </c>
      <c r="AI86" s="28">
        <v>100</v>
      </c>
      <c r="AJ86" s="13" t="str">
        <f xml:space="preserve"> IF(AD86&gt;F86,"Exceso en grasa saturada",IFERROR(IF(F86=0,"No tiene sello",IF((AD86*9)*100/F86&gt;10,"Exceso en grasa saturada","No tiene sello")),"No tiene sello"))</f>
        <v>No tiene sello</v>
      </c>
      <c r="AK86" s="13">
        <f>IF(AJ86="No tiene sello",0,1)</f>
        <v>0</v>
      </c>
      <c r="AL86" s="13" t="str">
        <f>IF(Q86&gt;=300,"Exceso en sodio",IFERROR(IF(AND(F86=0,Q86&gt;0),"No tiene sello",IF(Q86/F86&gt;1,"Exceso en sodio","No tiene sello")),"No tiene sello"))</f>
        <v>No tiene sello</v>
      </c>
      <c r="AM86" s="13" t="str">
        <f>IFERROR(IF(F86=0,"No tiene sello",IF(+(AG86/1000)*9*100/F86&gt;1,"Exceso en grasa trans", "No tiene sello")),"No tiene sello")</f>
        <v>No tiene sello</v>
      </c>
    </row>
    <row r="87" spans="1:39" s="4" customFormat="1" ht="13.5" customHeight="1" x14ac:dyDescent="0.25">
      <c r="A87" s="20" t="s">
        <v>1432</v>
      </c>
      <c r="B87" s="20" t="s">
        <v>1433</v>
      </c>
      <c r="C87" s="21"/>
      <c r="D87" s="22">
        <v>100</v>
      </c>
      <c r="E87" s="23">
        <v>12.9</v>
      </c>
      <c r="F87" s="24">
        <v>362</v>
      </c>
      <c r="G87" s="23">
        <v>1536</v>
      </c>
      <c r="H87" s="24">
        <v>12.7</v>
      </c>
      <c r="I87" s="24">
        <v>1.8</v>
      </c>
      <c r="J87" s="24">
        <v>71.900000000000006</v>
      </c>
      <c r="K87" s="23">
        <v>68</v>
      </c>
      <c r="L87" s="23">
        <v>2</v>
      </c>
      <c r="M87" s="24">
        <v>3.9</v>
      </c>
      <c r="N87" s="23">
        <v>0.8</v>
      </c>
      <c r="O87" s="25">
        <v>18</v>
      </c>
      <c r="P87" s="25">
        <v>1</v>
      </c>
      <c r="Q87" s="23">
        <v>1</v>
      </c>
      <c r="R87" s="25">
        <v>110</v>
      </c>
      <c r="S87" s="23">
        <v>1.1000000000000001</v>
      </c>
      <c r="T87" s="23">
        <v>47</v>
      </c>
      <c r="U87" s="23">
        <v>186</v>
      </c>
      <c r="V87" s="23">
        <v>0.28999999999999998</v>
      </c>
      <c r="W87" s="23">
        <v>0.08</v>
      </c>
      <c r="X87" s="23">
        <v>3.3</v>
      </c>
      <c r="Y87" s="23">
        <v>72</v>
      </c>
      <c r="Z87" s="23">
        <v>0</v>
      </c>
      <c r="AA87" s="25">
        <v>0</v>
      </c>
      <c r="AB87" s="25">
        <v>0</v>
      </c>
      <c r="AC87" s="25">
        <v>0</v>
      </c>
      <c r="AD87" s="23">
        <v>0.2</v>
      </c>
      <c r="AE87" s="23">
        <v>0.1</v>
      </c>
      <c r="AF87" s="23">
        <v>0.4</v>
      </c>
      <c r="AG87" s="23">
        <v>0</v>
      </c>
      <c r="AH87" s="24">
        <v>0</v>
      </c>
      <c r="AI87" s="23">
        <v>100</v>
      </c>
      <c r="AJ87" s="13" t="str">
        <f xml:space="preserve"> IF(AD87&gt;F87,"Exceso en grasa saturada",IFERROR(IF(F87=0,"No tiene sello",IF((AD87*9)*100/F87&gt;10,"Exceso en grasa saturada","No tiene sello")),"No tiene sello"))</f>
        <v>No tiene sello</v>
      </c>
      <c r="AK87" s="13">
        <f>IF(AJ87="No tiene sello",0,1)</f>
        <v>0</v>
      </c>
      <c r="AL87" s="13" t="str">
        <f>IF(Q87&gt;=300,"Exceso en sodio",IFERROR(IF(AND(F87=0,Q87&gt;0),"No tiene sello",IF(Q87/F87&gt;1,"Exceso en sodio","No tiene sello")),"No tiene sello"))</f>
        <v>No tiene sello</v>
      </c>
      <c r="AM87" s="13" t="str">
        <f>IFERROR(IF(F87=0,"No tiene sello",IF(+(AG87/1000)*9*100/F87&gt;1,"Exceso en grasa trans", "No tiene sello")),"No tiene sello")</f>
        <v>No tiene sello</v>
      </c>
    </row>
    <row r="88" spans="1:39" ht="13.5" customHeight="1" x14ac:dyDescent="0.25">
      <c r="A88" s="26" t="s">
        <v>1430</v>
      </c>
      <c r="B88" s="26" t="s">
        <v>1431</v>
      </c>
      <c r="C88" s="27"/>
      <c r="D88" s="16">
        <v>100</v>
      </c>
      <c r="E88" s="28">
        <v>9</v>
      </c>
      <c r="F88" s="24">
        <v>398</v>
      </c>
      <c r="G88" s="28">
        <v>1682</v>
      </c>
      <c r="H88" s="24">
        <v>10</v>
      </c>
      <c r="I88" s="24">
        <v>6.8</v>
      </c>
      <c r="J88" s="24">
        <v>72.3</v>
      </c>
      <c r="K88" s="28">
        <v>68.7</v>
      </c>
      <c r="L88" s="28">
        <v>7.23</v>
      </c>
      <c r="M88" s="24">
        <v>3.6</v>
      </c>
      <c r="N88" s="28">
        <v>1.8</v>
      </c>
      <c r="O88" s="25">
        <v>40</v>
      </c>
      <c r="P88" s="25">
        <v>3.6</v>
      </c>
      <c r="Q88" s="28">
        <v>570</v>
      </c>
      <c r="R88" s="25">
        <v>139</v>
      </c>
      <c r="S88" s="28">
        <v>0.9</v>
      </c>
      <c r="T88" s="28">
        <v>26</v>
      </c>
      <c r="U88" s="28">
        <v>122</v>
      </c>
      <c r="V88" s="28">
        <v>0.4</v>
      </c>
      <c r="W88" s="28">
        <v>0.37</v>
      </c>
      <c r="X88" s="28">
        <v>1.5</v>
      </c>
      <c r="Y88" s="28">
        <v>103</v>
      </c>
      <c r="Z88" s="28">
        <v>0.05</v>
      </c>
      <c r="AA88" s="25">
        <v>0</v>
      </c>
      <c r="AB88" s="25">
        <v>0</v>
      </c>
      <c r="AC88" s="25">
        <v>0</v>
      </c>
      <c r="AD88" s="28">
        <v>0.7</v>
      </c>
      <c r="AE88" s="28">
        <v>0.6</v>
      </c>
      <c r="AF88" s="28">
        <v>1.4</v>
      </c>
      <c r="AG88" s="28">
        <v>0</v>
      </c>
      <c r="AH88" s="24">
        <v>0</v>
      </c>
      <c r="AI88" s="28">
        <v>100</v>
      </c>
      <c r="AJ88" s="13" t="str">
        <f xml:space="preserve"> IF(AD88&gt;F88,"Exceso en grasa saturada",IFERROR(IF(F88=0,"No tiene sello",IF((AD88*9)*100/F88&gt;10,"Exceso en grasa saturada","No tiene sello")),"No tiene sello"))</f>
        <v>No tiene sello</v>
      </c>
      <c r="AK88" s="13">
        <f>IF(AJ88="No tiene sello",0,1)</f>
        <v>0</v>
      </c>
      <c r="AL88" s="13" t="str">
        <f>IF(Q88&gt;=300,"Exceso en sodio",IFERROR(IF(AND(F88=0,Q88&gt;0),"No tiene sello",IF(Q88/F88&gt;1,"Exceso en sodio","No tiene sello")),"No tiene sello"))</f>
        <v>Exceso en sodio</v>
      </c>
      <c r="AM88" s="13" t="str">
        <f>IFERROR(IF(F88=0,"No tiene sello",IF(+(AG88/1000)*9*100/F88&gt;1,"Exceso en grasa trans", "No tiene sello")),"No tiene sello")</f>
        <v>No tiene sello</v>
      </c>
    </row>
    <row r="89" spans="1:39" ht="13.5" customHeight="1" x14ac:dyDescent="0.25">
      <c r="A89" s="20" t="s">
        <v>1428</v>
      </c>
      <c r="B89" s="20" t="s">
        <v>1429</v>
      </c>
      <c r="C89" s="20" t="s">
        <v>3</v>
      </c>
      <c r="D89" s="22">
        <v>100</v>
      </c>
      <c r="E89" s="23">
        <v>13.5</v>
      </c>
      <c r="F89" s="24">
        <v>373</v>
      </c>
      <c r="G89" s="23">
        <v>1577</v>
      </c>
      <c r="H89" s="24">
        <v>10.1</v>
      </c>
      <c r="I89" s="24">
        <v>1.6</v>
      </c>
      <c r="J89" s="24">
        <v>73.3</v>
      </c>
      <c r="K89" s="23">
        <v>60.9</v>
      </c>
      <c r="L89" s="23">
        <v>0.5</v>
      </c>
      <c r="M89" s="24">
        <v>12.5</v>
      </c>
      <c r="N89" s="23">
        <v>1.5</v>
      </c>
      <c r="O89" s="25">
        <v>35</v>
      </c>
      <c r="P89" s="25">
        <v>4.2</v>
      </c>
      <c r="Q89" s="23">
        <v>2</v>
      </c>
      <c r="R89" s="25">
        <v>359</v>
      </c>
      <c r="S89" s="23">
        <v>3.1</v>
      </c>
      <c r="T89" s="23">
        <v>90</v>
      </c>
      <c r="U89" s="23">
        <v>435</v>
      </c>
      <c r="V89" s="23">
        <v>0.46</v>
      </c>
      <c r="W89" s="23">
        <v>0.13</v>
      </c>
      <c r="X89" s="23">
        <v>4.8</v>
      </c>
      <c r="Y89" s="23">
        <v>41</v>
      </c>
      <c r="Z89" s="23">
        <v>0</v>
      </c>
      <c r="AA89" s="25">
        <v>0</v>
      </c>
      <c r="AB89" s="25">
        <v>0</v>
      </c>
      <c r="AC89" s="25">
        <v>0</v>
      </c>
      <c r="AD89" s="23">
        <v>0.3</v>
      </c>
      <c r="AE89" s="23">
        <v>0.2</v>
      </c>
      <c r="AF89" s="23">
        <v>0.8</v>
      </c>
      <c r="AG89" s="23">
        <v>0</v>
      </c>
      <c r="AH89" s="24">
        <v>0</v>
      </c>
      <c r="AI89" s="23">
        <v>100</v>
      </c>
      <c r="AJ89" s="13" t="str">
        <f xml:space="preserve"> IF(AD89&gt;F89,"Exceso en grasa saturada",IFERROR(IF(F89=0,"No tiene sello",IF((AD89*9)*100/F89&gt;10,"Exceso en grasa saturada","No tiene sello")),"No tiene sello"))</f>
        <v>No tiene sello</v>
      </c>
      <c r="AK89" s="13">
        <f>IF(AJ89="No tiene sello",0,1)</f>
        <v>0</v>
      </c>
      <c r="AL89" s="13" t="str">
        <f>IF(Q89&gt;=300,"Exceso en sodio",IFERROR(IF(AND(F89=0,Q89&gt;0),"No tiene sello",IF(Q89/F89&gt;1,"Exceso en sodio","No tiene sello")),"No tiene sello"))</f>
        <v>No tiene sello</v>
      </c>
      <c r="AM89" s="13" t="str">
        <f>IFERROR(IF(F89=0,"No tiene sello",IF(+(AG89/1000)*9*100/F89&gt;1,"Exceso en grasa trans", "No tiene sello")),"No tiene sello")</f>
        <v>No tiene sello</v>
      </c>
    </row>
    <row r="90" spans="1:39" ht="13.5" customHeight="1" x14ac:dyDescent="0.25">
      <c r="A90" s="26" t="s">
        <v>1426</v>
      </c>
      <c r="B90" s="26" t="s">
        <v>1427</v>
      </c>
      <c r="C90" s="26" t="s">
        <v>3</v>
      </c>
      <c r="D90" s="47">
        <v>100</v>
      </c>
      <c r="E90" s="28">
        <v>13</v>
      </c>
      <c r="F90" s="24">
        <v>375</v>
      </c>
      <c r="G90" s="28">
        <v>1585</v>
      </c>
      <c r="H90" s="24">
        <v>11.3</v>
      </c>
      <c r="I90" s="24">
        <v>1.8</v>
      </c>
      <c r="J90" s="24">
        <v>72.400000000000006</v>
      </c>
      <c r="K90" s="28">
        <v>60.2</v>
      </c>
      <c r="L90" s="28">
        <v>0.5</v>
      </c>
      <c r="M90" s="24">
        <v>12.2</v>
      </c>
      <c r="N90" s="28">
        <v>1.5</v>
      </c>
      <c r="O90" s="25">
        <v>31</v>
      </c>
      <c r="P90" s="25">
        <v>3.9</v>
      </c>
      <c r="Q90" s="28">
        <v>2</v>
      </c>
      <c r="R90" s="25">
        <v>146</v>
      </c>
      <c r="S90" s="28">
        <v>3.6</v>
      </c>
      <c r="T90" s="28">
        <v>93</v>
      </c>
      <c r="U90" s="28">
        <v>411</v>
      </c>
      <c r="V90" s="28">
        <v>0.38</v>
      </c>
      <c r="W90" s="28">
        <v>0.12</v>
      </c>
      <c r="X90" s="28">
        <v>4.5999999999999996</v>
      </c>
      <c r="Y90" s="28">
        <v>38</v>
      </c>
      <c r="Z90" s="28">
        <v>0</v>
      </c>
      <c r="AA90" s="25">
        <v>0</v>
      </c>
      <c r="AB90" s="25">
        <v>0</v>
      </c>
      <c r="AC90" s="25">
        <v>0</v>
      </c>
      <c r="AD90" s="28">
        <v>0.3</v>
      </c>
      <c r="AE90" s="28">
        <v>0.2</v>
      </c>
      <c r="AF90" s="28">
        <v>0.9</v>
      </c>
      <c r="AG90" s="28">
        <v>0</v>
      </c>
      <c r="AH90" s="24">
        <v>0</v>
      </c>
      <c r="AI90" s="28">
        <v>100</v>
      </c>
      <c r="AJ90" s="13" t="str">
        <f xml:space="preserve"> IF(AD90&gt;F90,"Exceso en grasa saturada",IFERROR(IF(F90=0,"No tiene sello",IF((AD90*9)*100/F90&gt;10,"Exceso en grasa saturada","No tiene sello")),"No tiene sello"))</f>
        <v>No tiene sello</v>
      </c>
      <c r="AK90" s="13">
        <f>IF(AJ90="No tiene sello",0,1)</f>
        <v>0</v>
      </c>
      <c r="AL90" s="13" t="str">
        <f>IF(Q90&gt;=300,"Exceso en sodio",IFERROR(IF(AND(F90=0,Q90&gt;0),"No tiene sello",IF(Q90/F90&gt;1,"Exceso en sodio","No tiene sello")),"No tiene sello"))</f>
        <v>No tiene sello</v>
      </c>
      <c r="AM90" s="13" t="str">
        <f>IFERROR(IF(F90=0,"No tiene sello",IF(+(AG90/1000)*9*100/F90&gt;1,"Exceso en grasa trans", "No tiene sello")),"No tiene sello")</f>
        <v>No tiene sello</v>
      </c>
    </row>
    <row r="91" spans="1:39" ht="13.5" customHeight="1" x14ac:dyDescent="0.25">
      <c r="A91" s="20" t="s">
        <v>1746</v>
      </c>
      <c r="B91" s="20" t="s">
        <v>1668</v>
      </c>
      <c r="C91" s="20" t="s">
        <v>1834</v>
      </c>
      <c r="D91" s="46">
        <v>100</v>
      </c>
      <c r="E91" s="23">
        <v>0.2</v>
      </c>
      <c r="F91" s="24">
        <v>0</v>
      </c>
      <c r="G91" s="23">
        <v>0</v>
      </c>
      <c r="H91" s="24">
        <v>0</v>
      </c>
      <c r="I91" s="24">
        <v>0</v>
      </c>
      <c r="J91" s="24">
        <v>0</v>
      </c>
      <c r="K91" s="23">
        <v>0</v>
      </c>
      <c r="L91" s="23">
        <v>0</v>
      </c>
      <c r="M91" s="24">
        <v>0</v>
      </c>
      <c r="N91" s="23">
        <v>99.8</v>
      </c>
      <c r="O91" s="25">
        <v>0</v>
      </c>
      <c r="P91" s="25">
        <v>0</v>
      </c>
      <c r="Q91" s="23">
        <v>27364</v>
      </c>
      <c r="R91" s="25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5">
        <v>0</v>
      </c>
      <c r="AB91" s="25">
        <v>0</v>
      </c>
      <c r="AC91" s="25">
        <v>0</v>
      </c>
      <c r="AD91" s="23">
        <v>0</v>
      </c>
      <c r="AE91" s="23">
        <v>0</v>
      </c>
      <c r="AF91" s="23">
        <v>0</v>
      </c>
      <c r="AG91" s="23">
        <v>0</v>
      </c>
      <c r="AH91" s="24">
        <v>0</v>
      </c>
      <c r="AI91" s="23">
        <v>100</v>
      </c>
      <c r="AJ91" s="13" t="str">
        <f xml:space="preserve"> IF(AD91&gt;F91,"Exceso en grasa saturada",IFERROR(IF(F91=0,"No tiene sello",IF((AD91*9)*100/F91&gt;10,"Exceso en grasa saturada","No tiene sello")),"No tiene sello"))</f>
        <v>No tiene sello</v>
      </c>
      <c r="AK91" s="13">
        <f>IF(AJ91="No tiene sello",0,1)</f>
        <v>0</v>
      </c>
      <c r="AL91" s="13" t="str">
        <f>IF(Q91&gt;=300,"Exceso en sodio",IFERROR(IF(AND(F91=0,Q91&gt;0),"No tiene sello",IF(Q91/F91&gt;1,"Exceso en sodio","No tiene sello")),"No tiene sello"))</f>
        <v>Exceso en sodio</v>
      </c>
      <c r="AM91" s="13" t="str">
        <f>IFERROR(IF(F91=0,"No tiene sello",IF(+(AG91/1000)*9*100/F91&gt;1,"Exceso en grasa trans", "No tiene sello")),"No tiene sello")</f>
        <v>No tiene sello</v>
      </c>
    </row>
    <row r="92" spans="1:39" ht="13.5" customHeight="1" x14ac:dyDescent="0.25">
      <c r="A92" s="26" t="s">
        <v>1747</v>
      </c>
      <c r="B92" s="26" t="s">
        <v>1669</v>
      </c>
      <c r="C92" s="27" t="s">
        <v>1834</v>
      </c>
      <c r="D92" s="22">
        <v>100</v>
      </c>
      <c r="E92" s="28">
        <v>5</v>
      </c>
      <c r="F92" s="24">
        <v>53</v>
      </c>
      <c r="G92" s="28">
        <v>222</v>
      </c>
      <c r="H92" s="24">
        <v>0</v>
      </c>
      <c r="I92" s="24">
        <v>0</v>
      </c>
      <c r="J92" s="24">
        <v>27</v>
      </c>
      <c r="K92" s="28">
        <v>27</v>
      </c>
      <c r="L92" s="28">
        <v>0</v>
      </c>
      <c r="M92" s="24">
        <v>0</v>
      </c>
      <c r="N92" s="28">
        <v>68</v>
      </c>
      <c r="O92" s="25">
        <v>5876</v>
      </c>
      <c r="P92" s="25">
        <v>0.4</v>
      </c>
      <c r="Q92" s="28">
        <v>9820</v>
      </c>
      <c r="R92" s="25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5">
        <v>0</v>
      </c>
      <c r="AB92" s="25">
        <v>0</v>
      </c>
      <c r="AC92" s="25">
        <v>0</v>
      </c>
      <c r="AD92" s="28">
        <v>0</v>
      </c>
      <c r="AE92" s="28">
        <v>0</v>
      </c>
      <c r="AF92" s="28">
        <v>0</v>
      </c>
      <c r="AG92" s="28">
        <v>0</v>
      </c>
      <c r="AH92" s="24">
        <v>0</v>
      </c>
      <c r="AI92" s="28">
        <v>100</v>
      </c>
      <c r="AJ92" s="13" t="str">
        <f xml:space="preserve"> IF(AD92&gt;F92,"Exceso en grasa saturada",IFERROR(IF(F92=0,"No tiene sello",IF((AD92*9)*100/F92&gt;10,"Exceso en grasa saturada","No tiene sello")),"No tiene sello"))</f>
        <v>No tiene sello</v>
      </c>
      <c r="AK92" s="13">
        <f>IF(AJ92="No tiene sello",0,1)</f>
        <v>0</v>
      </c>
      <c r="AL92" s="13" t="str">
        <f>IF(Q92&gt;=300,"Exceso en sodio",IFERROR(IF(AND(F92=0,Q92&gt;0),"No tiene sello",IF(Q92/F92&gt;1,"Exceso en sodio","No tiene sello")),"No tiene sello"))</f>
        <v>Exceso en sodio</v>
      </c>
      <c r="AM92" s="13" t="str">
        <f>IFERROR(IF(F92=0,"No tiene sello",IF(+(AG92/1000)*9*100/F92&gt;1,"Exceso en grasa trans", "No tiene sello")),"No tiene sello")</f>
        <v>No tiene sello</v>
      </c>
    </row>
    <row r="93" spans="1:39" ht="13.5" customHeight="1" x14ac:dyDescent="0.25">
      <c r="A93" s="20" t="s">
        <v>1748</v>
      </c>
      <c r="B93" s="20" t="s">
        <v>1670</v>
      </c>
      <c r="C93" s="20" t="s">
        <v>1835</v>
      </c>
      <c r="D93" s="46">
        <v>100</v>
      </c>
      <c r="E93" s="23">
        <v>52</v>
      </c>
      <c r="F93" s="24">
        <v>288</v>
      </c>
      <c r="G93" s="23">
        <v>1205</v>
      </c>
      <c r="H93" s="24">
        <v>0.1</v>
      </c>
      <c r="I93" s="24">
        <v>0.1</v>
      </c>
      <c r="J93" s="24">
        <v>12.7</v>
      </c>
      <c r="K93" s="23">
        <v>12.7</v>
      </c>
      <c r="L93" s="23">
        <v>12.7</v>
      </c>
      <c r="M93" s="24">
        <v>0</v>
      </c>
      <c r="N93" s="23">
        <v>0.3</v>
      </c>
      <c r="O93" s="25">
        <v>11</v>
      </c>
      <c r="P93" s="25">
        <v>0.1</v>
      </c>
      <c r="Q93" s="23">
        <v>9</v>
      </c>
      <c r="R93" s="25">
        <v>6</v>
      </c>
      <c r="S93" s="23">
        <v>0</v>
      </c>
      <c r="T93" s="23">
        <v>12</v>
      </c>
      <c r="U93" s="23">
        <v>148</v>
      </c>
      <c r="V93" s="23">
        <v>0.01</v>
      </c>
      <c r="W93" s="23">
        <v>7.0000000000000007E-2</v>
      </c>
      <c r="X93" s="23">
        <v>0.43</v>
      </c>
      <c r="Y93" s="23">
        <v>6</v>
      </c>
      <c r="Z93" s="23">
        <v>0</v>
      </c>
      <c r="AA93" s="25">
        <v>0</v>
      </c>
      <c r="AB93" s="25">
        <v>0</v>
      </c>
      <c r="AC93" s="25">
        <v>0</v>
      </c>
      <c r="AD93" s="23">
        <v>0</v>
      </c>
      <c r="AE93" s="23">
        <v>0</v>
      </c>
      <c r="AF93" s="23">
        <v>0</v>
      </c>
      <c r="AG93" s="23">
        <v>0</v>
      </c>
      <c r="AH93" s="24">
        <v>0</v>
      </c>
      <c r="AI93" s="23">
        <v>100</v>
      </c>
      <c r="AJ93" s="13" t="str">
        <f xml:space="preserve"> IF(AD93&gt;F93,"Exceso en grasa saturada",IFERROR(IF(F93=0,"No tiene sello",IF((AD93*9)*100/F93&gt;10,"Exceso en grasa saturada","No tiene sello")),"No tiene sello"))</f>
        <v>No tiene sello</v>
      </c>
      <c r="AK93" s="13">
        <f>IF(AJ93="No tiene sello",0,1)</f>
        <v>0</v>
      </c>
      <c r="AL93" s="13" t="str">
        <f>IF(Q93&gt;=300,"Exceso en sodio",IFERROR(IF(AND(F93=0,Q93&gt;0),"No tiene sello",IF(Q93/F93&gt;1,"Exceso en sodio","No tiene sello")),"No tiene sello"))</f>
        <v>No tiene sello</v>
      </c>
      <c r="AM93" s="13" t="str">
        <f>IFERROR(IF(F93=0,"No tiene sello",IF(+(AG93/1000)*9*100/F93&gt;1,"Exceso en grasa trans", "No tiene sello")),"No tiene sello")</f>
        <v>No tiene sello</v>
      </c>
    </row>
    <row r="94" spans="1:39" ht="13.5" customHeight="1" x14ac:dyDescent="0.25">
      <c r="A94" s="26" t="s">
        <v>1749</v>
      </c>
      <c r="B94" s="26" t="s">
        <v>1671</v>
      </c>
      <c r="C94" s="27" t="s">
        <v>1834</v>
      </c>
      <c r="D94" s="22">
        <v>100</v>
      </c>
      <c r="E94" s="28">
        <v>13</v>
      </c>
      <c r="F94" s="24">
        <v>335</v>
      </c>
      <c r="G94" s="28">
        <v>1402</v>
      </c>
      <c r="H94" s="24">
        <v>84.4</v>
      </c>
      <c r="I94" s="24">
        <v>0</v>
      </c>
      <c r="J94" s="24">
        <v>0</v>
      </c>
      <c r="K94" s="28">
        <v>0</v>
      </c>
      <c r="L94" s="28">
        <v>0</v>
      </c>
      <c r="M94" s="24">
        <v>0</v>
      </c>
      <c r="N94" s="28">
        <v>2.6</v>
      </c>
      <c r="O94" s="25">
        <v>0</v>
      </c>
      <c r="P94" s="25">
        <v>0.2</v>
      </c>
      <c r="Q94" s="28">
        <v>196</v>
      </c>
      <c r="R94" s="25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0.26</v>
      </c>
      <c r="X94" s="28">
        <v>0</v>
      </c>
      <c r="Y94" s="28">
        <v>0</v>
      </c>
      <c r="Z94" s="28">
        <v>0</v>
      </c>
      <c r="AA94" s="25">
        <v>0</v>
      </c>
      <c r="AB94" s="25">
        <v>0</v>
      </c>
      <c r="AC94" s="25">
        <v>0</v>
      </c>
      <c r="AD94" s="28">
        <v>0</v>
      </c>
      <c r="AE94" s="28">
        <v>0</v>
      </c>
      <c r="AF94" s="28">
        <v>0</v>
      </c>
      <c r="AG94" s="28">
        <v>0</v>
      </c>
      <c r="AH94" s="24">
        <v>0</v>
      </c>
      <c r="AI94" s="28">
        <v>100</v>
      </c>
      <c r="AJ94" s="13" t="str">
        <f xml:space="preserve"> IF(AD94&gt;F94,"Exceso en grasa saturada",IFERROR(IF(F94=0,"No tiene sello",IF((AD94*9)*100/F94&gt;10,"Exceso en grasa saturada","No tiene sello")),"No tiene sello"))</f>
        <v>No tiene sello</v>
      </c>
      <c r="AK94" s="13">
        <f>IF(AJ94="No tiene sello",0,1)</f>
        <v>0</v>
      </c>
      <c r="AL94" s="13" t="str">
        <f>IF(Q94&gt;=300,"Exceso en sodio",IFERROR(IF(AND(F94=0,Q94&gt;0),"No tiene sello",IF(Q94/F94&gt;1,"Exceso en sodio","No tiene sello")),"No tiene sello"))</f>
        <v>No tiene sello</v>
      </c>
      <c r="AM94" s="13" t="str">
        <f>IFERROR(IF(F94=0,"No tiene sello",IF(+(AG94/1000)*9*100/F94&gt;1,"Exceso en grasa trans", "No tiene sello")),"No tiene sello")</f>
        <v>No tiene sello</v>
      </c>
    </row>
    <row r="95" spans="1:39" ht="13.5" customHeight="1" x14ac:dyDescent="0.25">
      <c r="A95" s="20" t="s">
        <v>1750</v>
      </c>
      <c r="B95" s="20" t="s">
        <v>1751</v>
      </c>
      <c r="C95" s="20" t="s">
        <v>1834</v>
      </c>
      <c r="D95" s="46">
        <v>100</v>
      </c>
      <c r="E95" s="23">
        <v>2</v>
      </c>
      <c r="F95" s="24">
        <v>0</v>
      </c>
      <c r="G95" s="23">
        <v>0</v>
      </c>
      <c r="H95" s="24">
        <v>0</v>
      </c>
      <c r="I95" s="24">
        <v>0</v>
      </c>
      <c r="J95" s="24">
        <v>0</v>
      </c>
      <c r="K95" s="23">
        <v>0</v>
      </c>
      <c r="L95" s="23">
        <v>0</v>
      </c>
      <c r="M95" s="24">
        <v>0</v>
      </c>
      <c r="N95" s="23">
        <v>98</v>
      </c>
      <c r="O95" s="25">
        <v>0</v>
      </c>
      <c r="P95" s="25">
        <v>0</v>
      </c>
      <c r="Q95" s="23">
        <v>15200</v>
      </c>
      <c r="R95" s="25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5">
        <v>0</v>
      </c>
      <c r="AB95" s="25">
        <v>0</v>
      </c>
      <c r="AC95" s="25">
        <v>0</v>
      </c>
      <c r="AD95" s="23">
        <v>0</v>
      </c>
      <c r="AE95" s="23">
        <v>0</v>
      </c>
      <c r="AF95" s="23">
        <v>0</v>
      </c>
      <c r="AG95" s="23">
        <v>0</v>
      </c>
      <c r="AH95" s="24">
        <v>0</v>
      </c>
      <c r="AI95" s="23">
        <v>100</v>
      </c>
      <c r="AJ95" s="13" t="str">
        <f xml:space="preserve"> IF(AD95&gt;F95,"Exceso en grasa saturada",IFERROR(IF(F95=0,"No tiene sello",IF((AD95*9)*100/F95&gt;10,"Exceso en grasa saturada","No tiene sello")),"No tiene sello"))</f>
        <v>No tiene sello</v>
      </c>
      <c r="AK95" s="13">
        <f>IF(AJ95="No tiene sello",0,1)</f>
        <v>0</v>
      </c>
      <c r="AL95" s="13" t="str">
        <f>IF(Q95&gt;=300,"Exceso en sodio",IFERROR(IF(AND(F95=0,Q95&gt;0),"No tiene sello",IF(Q95/F95&gt;1,"Exceso en sodio","No tiene sello")),"No tiene sello"))</f>
        <v>Exceso en sodio</v>
      </c>
      <c r="AM95" s="13" t="str">
        <f>IFERROR(IF(F95=0,"No tiene sello",IF(+(AG95/1000)*9*100/F95&gt;1,"Exceso en grasa trans", "No tiene sello")),"No tiene sello")</f>
        <v>No tiene sello</v>
      </c>
    </row>
    <row r="96" spans="1:39" ht="13.5" customHeight="1" x14ac:dyDescent="0.25">
      <c r="A96" s="26" t="s">
        <v>1752</v>
      </c>
      <c r="B96" s="26" t="s">
        <v>1753</v>
      </c>
      <c r="C96" s="27" t="s">
        <v>1834</v>
      </c>
      <c r="D96" s="22">
        <v>100</v>
      </c>
      <c r="E96" s="28">
        <v>1.5</v>
      </c>
      <c r="F96" s="24">
        <v>0</v>
      </c>
      <c r="G96" s="28">
        <v>0</v>
      </c>
      <c r="H96" s="24">
        <v>0</v>
      </c>
      <c r="I96" s="24">
        <v>0</v>
      </c>
      <c r="J96" s="24">
        <v>0</v>
      </c>
      <c r="K96" s="28">
        <v>0</v>
      </c>
      <c r="L96" s="28">
        <v>0</v>
      </c>
      <c r="M96" s="24">
        <v>0</v>
      </c>
      <c r="N96" s="28">
        <v>98.5</v>
      </c>
      <c r="O96" s="25">
        <v>0</v>
      </c>
      <c r="P96" s="25">
        <v>0</v>
      </c>
      <c r="Q96" s="28">
        <v>8500</v>
      </c>
      <c r="R96" s="25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5">
        <v>0</v>
      </c>
      <c r="AB96" s="25">
        <v>0</v>
      </c>
      <c r="AC96" s="25">
        <v>0</v>
      </c>
      <c r="AD96" s="28">
        <v>0</v>
      </c>
      <c r="AE96" s="28">
        <v>0</v>
      </c>
      <c r="AF96" s="28">
        <v>0</v>
      </c>
      <c r="AG96" s="28">
        <v>0</v>
      </c>
      <c r="AH96" s="24">
        <v>0</v>
      </c>
      <c r="AI96" s="28">
        <v>100</v>
      </c>
      <c r="AJ96" s="13" t="str">
        <f xml:space="preserve"> IF(AD96&gt;F96,"Exceso en grasa saturada",IFERROR(IF(F96=0,"No tiene sello",IF((AD96*9)*100/F96&gt;10,"Exceso en grasa saturada","No tiene sello")),"No tiene sello"))</f>
        <v>No tiene sello</v>
      </c>
      <c r="AK96" s="13">
        <f>IF(AJ96="No tiene sello",0,1)</f>
        <v>0</v>
      </c>
      <c r="AL96" s="13" t="str">
        <f>IF(Q96&gt;=300,"Exceso en sodio",IFERROR(IF(AND(F96=0,Q96&gt;0),"No tiene sello",IF(Q96/F96&gt;1,"Exceso en sodio","No tiene sello")),"No tiene sello"))</f>
        <v>Exceso en sodio</v>
      </c>
      <c r="AM96" s="13" t="str">
        <f>IFERROR(IF(F96=0,"No tiene sello",IF(+(AG96/1000)*9*100/F96&gt;1,"Exceso en grasa trans", "No tiene sello")),"No tiene sello")</f>
        <v>No tiene sello</v>
      </c>
    </row>
    <row r="97" spans="1:39" ht="13.5" customHeight="1" x14ac:dyDescent="0.25">
      <c r="A97" s="20" t="s">
        <v>1754</v>
      </c>
      <c r="B97" s="20" t="s">
        <v>1755</v>
      </c>
      <c r="C97" s="20" t="s">
        <v>1834</v>
      </c>
      <c r="D97" s="46">
        <v>100</v>
      </c>
      <c r="E97" s="23">
        <v>3</v>
      </c>
      <c r="F97" s="24">
        <v>0</v>
      </c>
      <c r="G97" s="23">
        <v>0</v>
      </c>
      <c r="H97" s="24">
        <v>0</v>
      </c>
      <c r="I97" s="24">
        <v>0</v>
      </c>
      <c r="J97" s="24">
        <v>0</v>
      </c>
      <c r="K97" s="23">
        <v>0</v>
      </c>
      <c r="L97" s="23">
        <v>0</v>
      </c>
      <c r="M97" s="24">
        <v>0</v>
      </c>
      <c r="N97" s="23">
        <v>97</v>
      </c>
      <c r="O97" s="25">
        <v>0</v>
      </c>
      <c r="P97" s="25">
        <v>0</v>
      </c>
      <c r="Q97" s="23">
        <v>22000</v>
      </c>
      <c r="R97" s="25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5">
        <v>0</v>
      </c>
      <c r="AB97" s="25">
        <v>0</v>
      </c>
      <c r="AC97" s="25">
        <v>0</v>
      </c>
      <c r="AD97" s="23">
        <v>0</v>
      </c>
      <c r="AE97" s="23">
        <v>0</v>
      </c>
      <c r="AF97" s="23">
        <v>0</v>
      </c>
      <c r="AG97" s="23">
        <v>0</v>
      </c>
      <c r="AH97" s="24">
        <v>0</v>
      </c>
      <c r="AI97" s="23">
        <v>100</v>
      </c>
      <c r="AJ97" s="13" t="str">
        <f xml:space="preserve"> IF(AD97&gt;F97,"Exceso en grasa saturada",IFERROR(IF(F97=0,"No tiene sello",IF((AD97*9)*100/F97&gt;10,"Exceso en grasa saturada","No tiene sello")),"No tiene sello"))</f>
        <v>No tiene sello</v>
      </c>
      <c r="AK97" s="13">
        <f>IF(AJ97="No tiene sello",0,1)</f>
        <v>0</v>
      </c>
      <c r="AL97" s="13" t="str">
        <f>IF(Q97&gt;=300,"Exceso en sodio",IFERROR(IF(AND(F97=0,Q97&gt;0),"No tiene sello",IF(Q97/F97&gt;1,"Exceso en sodio","No tiene sello")),"No tiene sello"))</f>
        <v>Exceso en sodio</v>
      </c>
      <c r="AM97" s="13" t="str">
        <f>IFERROR(IF(F97=0,"No tiene sello",IF(+(AG97/1000)*9*100/F97&gt;1,"Exceso en grasa trans", "No tiene sello")),"No tiene sello")</f>
        <v>No tiene sello</v>
      </c>
    </row>
    <row r="98" spans="1:39" ht="13.5" customHeight="1" x14ac:dyDescent="0.25">
      <c r="A98" s="26" t="s">
        <v>1756</v>
      </c>
      <c r="B98" s="26" t="s">
        <v>1757</v>
      </c>
      <c r="C98" s="27" t="s">
        <v>1834</v>
      </c>
      <c r="D98" s="22">
        <v>100</v>
      </c>
      <c r="E98" s="28">
        <v>4</v>
      </c>
      <c r="F98" s="24">
        <v>0</v>
      </c>
      <c r="G98" s="28">
        <v>0</v>
      </c>
      <c r="H98" s="24">
        <v>0</v>
      </c>
      <c r="I98" s="24">
        <v>0</v>
      </c>
      <c r="J98" s="24">
        <v>0</v>
      </c>
      <c r="K98" s="28">
        <v>0</v>
      </c>
      <c r="L98" s="28">
        <v>0</v>
      </c>
      <c r="M98" s="24">
        <v>0</v>
      </c>
      <c r="N98" s="28">
        <v>96</v>
      </c>
      <c r="O98" s="25">
        <v>0</v>
      </c>
      <c r="P98" s="25">
        <v>0</v>
      </c>
      <c r="Q98" s="28">
        <v>18500</v>
      </c>
      <c r="R98" s="25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5">
        <v>0</v>
      </c>
      <c r="AB98" s="25">
        <v>0</v>
      </c>
      <c r="AC98" s="25">
        <v>0</v>
      </c>
      <c r="AD98" s="28">
        <v>0</v>
      </c>
      <c r="AE98" s="28">
        <v>0</v>
      </c>
      <c r="AF98" s="28">
        <v>0</v>
      </c>
      <c r="AG98" s="28">
        <v>0</v>
      </c>
      <c r="AH98" s="24">
        <v>0</v>
      </c>
      <c r="AI98" s="28">
        <v>100</v>
      </c>
      <c r="AJ98" s="13" t="str">
        <f xml:space="preserve"> IF(AD98&gt;F98,"Exceso en grasa saturada",IFERROR(IF(F98=0,"No tiene sello",IF((AD98*9)*100/F98&gt;10,"Exceso en grasa saturada","No tiene sello")),"No tiene sello"))</f>
        <v>No tiene sello</v>
      </c>
      <c r="AK98" s="13">
        <f>IF(AJ98="No tiene sello",0,1)</f>
        <v>0</v>
      </c>
      <c r="AL98" s="13" t="str">
        <f>IF(Q98&gt;=300,"Exceso en sodio",IFERROR(IF(AND(F98=0,Q98&gt;0),"No tiene sello",IF(Q98/F98&gt;1,"Exceso en sodio","No tiene sello")),"No tiene sello"))</f>
        <v>Exceso en sodio</v>
      </c>
      <c r="AM98" s="13" t="str">
        <f>IFERROR(IF(F98=0,"No tiene sello",IF(+(AG98/1000)*9*100/F98&gt;1,"Exceso en grasa trans", "No tiene sello")),"No tiene sello")</f>
        <v>No tiene sello</v>
      </c>
    </row>
    <row r="99" spans="1:39" s="5" customFormat="1" ht="13.5" customHeight="1" x14ac:dyDescent="0.25">
      <c r="A99" s="20" t="s">
        <v>1758</v>
      </c>
      <c r="B99" s="20" t="s">
        <v>1759</v>
      </c>
      <c r="C99" s="20" t="s">
        <v>1834</v>
      </c>
      <c r="D99" s="46">
        <v>100</v>
      </c>
      <c r="E99" s="23">
        <v>0.5</v>
      </c>
      <c r="F99" s="24">
        <v>0</v>
      </c>
      <c r="G99" s="23">
        <v>0</v>
      </c>
      <c r="H99" s="24">
        <v>0</v>
      </c>
      <c r="I99" s="24">
        <v>0</v>
      </c>
      <c r="J99" s="24">
        <v>0</v>
      </c>
      <c r="K99" s="23">
        <v>0</v>
      </c>
      <c r="L99" s="23">
        <v>0</v>
      </c>
      <c r="M99" s="24">
        <v>0</v>
      </c>
      <c r="N99" s="23">
        <v>99.5</v>
      </c>
      <c r="O99" s="25">
        <v>0</v>
      </c>
      <c r="P99" s="25">
        <v>0</v>
      </c>
      <c r="Q99" s="23">
        <v>0</v>
      </c>
      <c r="R99" s="25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5">
        <v>0</v>
      </c>
      <c r="AB99" s="25">
        <v>0</v>
      </c>
      <c r="AC99" s="25">
        <v>0</v>
      </c>
      <c r="AD99" s="23">
        <v>0</v>
      </c>
      <c r="AE99" s="23">
        <v>0</v>
      </c>
      <c r="AF99" s="23">
        <v>0</v>
      </c>
      <c r="AG99" s="23">
        <v>0</v>
      </c>
      <c r="AH99" s="24">
        <v>0</v>
      </c>
      <c r="AI99" s="23">
        <v>100</v>
      </c>
      <c r="AJ99" s="13" t="str">
        <f xml:space="preserve"> IF(AD99&gt;F99,"Exceso en grasa saturada",IFERROR(IF(F99=0,"No tiene sello",IF((AD99*9)*100/F99&gt;10,"Exceso en grasa saturada","No tiene sello")),"No tiene sello"))</f>
        <v>No tiene sello</v>
      </c>
      <c r="AK99" s="13">
        <f>IF(AJ99="No tiene sello",0,1)</f>
        <v>0</v>
      </c>
      <c r="AL99" s="13" t="str">
        <f>IF(Q99&gt;=300,"Exceso en sodio",IFERROR(IF(AND(F99=0,Q99&gt;0),"No tiene sello",IF(Q99/F99&gt;1,"Exceso en sodio","No tiene sello")),"No tiene sello"))</f>
        <v>No tiene sello</v>
      </c>
      <c r="AM99" s="13" t="str">
        <f>IFERROR(IF(F99=0,"No tiene sello",IF(+(AG99/1000)*9*100/F99&gt;1,"Exceso en grasa trans", "No tiene sello")),"No tiene sello")</f>
        <v>No tiene sello</v>
      </c>
    </row>
    <row r="100" spans="1:39" ht="13.5" customHeight="1" x14ac:dyDescent="0.25">
      <c r="A100" s="26" t="s">
        <v>1760</v>
      </c>
      <c r="B100" s="26" t="s">
        <v>1837</v>
      </c>
      <c r="C100" s="27" t="s">
        <v>1834</v>
      </c>
      <c r="D100" s="22">
        <v>100</v>
      </c>
      <c r="E100" s="28">
        <v>1</v>
      </c>
      <c r="F100" s="24">
        <v>0</v>
      </c>
      <c r="G100" s="28">
        <v>0</v>
      </c>
      <c r="H100" s="24">
        <v>0</v>
      </c>
      <c r="I100" s="24">
        <v>0</v>
      </c>
      <c r="J100" s="24">
        <v>0</v>
      </c>
      <c r="K100" s="28">
        <v>0</v>
      </c>
      <c r="L100" s="28">
        <v>0</v>
      </c>
      <c r="M100" s="24">
        <v>0</v>
      </c>
      <c r="N100" s="28">
        <v>99</v>
      </c>
      <c r="O100" s="25">
        <v>0</v>
      </c>
      <c r="P100" s="25">
        <v>0</v>
      </c>
      <c r="Q100" s="28">
        <v>0</v>
      </c>
      <c r="R100" s="25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5">
        <v>100000</v>
      </c>
      <c r="AB100" s="25">
        <v>0</v>
      </c>
      <c r="AC100" s="25">
        <v>0</v>
      </c>
      <c r="AD100" s="28">
        <v>0</v>
      </c>
      <c r="AE100" s="28">
        <v>0</v>
      </c>
      <c r="AF100" s="28">
        <v>0</v>
      </c>
      <c r="AG100" s="28">
        <v>0</v>
      </c>
      <c r="AH100" s="24">
        <v>0</v>
      </c>
      <c r="AI100" s="28">
        <v>100</v>
      </c>
      <c r="AJ100" s="13" t="str">
        <f xml:space="preserve"> IF(AD100&gt;F100,"Exceso en grasa saturada",IFERROR(IF(F100=0,"No tiene sello",IF((AD100*9)*100/F100&gt;10,"Exceso en grasa saturada","No tiene sello")),"No tiene sello"))</f>
        <v>No tiene sello</v>
      </c>
      <c r="AK100" s="13">
        <f>IF(AJ100="No tiene sello",0,1)</f>
        <v>0</v>
      </c>
      <c r="AL100" s="13" t="str">
        <f>IF(Q100&gt;=300,"Exceso en sodio",IFERROR(IF(AND(F100=0,Q100&gt;0),"No tiene sello",IF(Q100/F100&gt;1,"Exceso en sodio","No tiene sello")),"No tiene sello"))</f>
        <v>No tiene sello</v>
      </c>
      <c r="AM100" s="13" t="str">
        <f>IFERROR(IF(F100=0,"No tiene sello",IF(+(AG100/1000)*9*100/F100&gt;1,"Exceso en grasa trans", "No tiene sello")),"No tiene sello")</f>
        <v>No tiene sello</v>
      </c>
    </row>
    <row r="101" spans="1:39" ht="13.5" customHeight="1" x14ac:dyDescent="0.25">
      <c r="A101" s="20" t="s">
        <v>1761</v>
      </c>
      <c r="B101" s="20" t="s">
        <v>1762</v>
      </c>
      <c r="C101" s="20" t="s">
        <v>1834</v>
      </c>
      <c r="D101" s="46">
        <v>100</v>
      </c>
      <c r="E101" s="23">
        <v>2</v>
      </c>
      <c r="F101" s="24">
        <v>850</v>
      </c>
      <c r="G101" s="23">
        <v>3556</v>
      </c>
      <c r="H101" s="24">
        <v>0</v>
      </c>
      <c r="I101" s="24">
        <v>95</v>
      </c>
      <c r="J101" s="24">
        <v>0</v>
      </c>
      <c r="K101" s="23">
        <v>0</v>
      </c>
      <c r="L101" s="23">
        <v>0</v>
      </c>
      <c r="M101" s="24">
        <v>0</v>
      </c>
      <c r="N101" s="23">
        <v>3</v>
      </c>
      <c r="O101" s="25">
        <v>50</v>
      </c>
      <c r="P101" s="25">
        <v>2</v>
      </c>
      <c r="Q101" s="23">
        <v>15</v>
      </c>
      <c r="R101" s="25">
        <v>600</v>
      </c>
      <c r="S101" s="23">
        <v>0</v>
      </c>
      <c r="T101" s="23">
        <v>150</v>
      </c>
      <c r="U101" s="23">
        <v>200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5">
        <v>0</v>
      </c>
      <c r="AB101" s="25">
        <v>0</v>
      </c>
      <c r="AC101" s="25">
        <v>0</v>
      </c>
      <c r="AD101" s="23">
        <v>12</v>
      </c>
      <c r="AE101" s="23">
        <v>20</v>
      </c>
      <c r="AF101" s="23">
        <v>55</v>
      </c>
      <c r="AG101" s="23">
        <v>0</v>
      </c>
      <c r="AH101" s="24">
        <v>0</v>
      </c>
      <c r="AI101" s="23">
        <v>100</v>
      </c>
      <c r="AJ101" s="13" t="str">
        <f xml:space="preserve"> IF(AD101&gt;F101,"Exceso en grasa saturada",IFERROR(IF(F101=0,"No tiene sello",IF((AD101*9)*100/F101&gt;10,"Exceso en grasa saturada","No tiene sello")),"No tiene sello"))</f>
        <v>Exceso en grasa saturada</v>
      </c>
      <c r="AK101" s="13">
        <f>IF(AJ101="No tiene sello",0,1)</f>
        <v>1</v>
      </c>
      <c r="AL101" s="13" t="str">
        <f>IF(Q101&gt;=300,"Exceso en sodio",IFERROR(IF(AND(F101=0,Q101&gt;0),"No tiene sello",IF(Q101/F101&gt;1,"Exceso en sodio","No tiene sello")),"No tiene sello"))</f>
        <v>No tiene sello</v>
      </c>
      <c r="AM101" s="13" t="str">
        <f>IFERROR(IF(F101=0,"No tiene sello",IF(+(AG101/1000)*9*100/F101&gt;1,"Exceso en grasa trans", "No tiene sello")),"No tiene sello")</f>
        <v>No tiene sello</v>
      </c>
    </row>
    <row r="102" spans="1:39" ht="13.5" customHeight="1" x14ac:dyDescent="0.25">
      <c r="A102" s="26" t="s">
        <v>1763</v>
      </c>
      <c r="B102" s="26" t="s">
        <v>1764</v>
      </c>
      <c r="C102" s="27" t="s">
        <v>1834</v>
      </c>
      <c r="D102" s="22">
        <v>100</v>
      </c>
      <c r="E102" s="28">
        <v>12</v>
      </c>
      <c r="F102" s="24">
        <v>0</v>
      </c>
      <c r="G102" s="28">
        <v>0</v>
      </c>
      <c r="H102" s="24">
        <v>0</v>
      </c>
      <c r="I102" s="24">
        <v>0</v>
      </c>
      <c r="J102" s="24">
        <v>80</v>
      </c>
      <c r="K102" s="28">
        <v>0</v>
      </c>
      <c r="L102" s="28">
        <v>0</v>
      </c>
      <c r="M102" s="24">
        <v>80</v>
      </c>
      <c r="N102" s="28">
        <v>8</v>
      </c>
      <c r="O102" s="25">
        <v>0</v>
      </c>
      <c r="P102" s="25">
        <v>0</v>
      </c>
      <c r="Q102" s="28">
        <v>0</v>
      </c>
      <c r="R102" s="25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5">
        <v>0</v>
      </c>
      <c r="AB102" s="25">
        <v>0</v>
      </c>
      <c r="AC102" s="25">
        <v>0</v>
      </c>
      <c r="AD102" s="28">
        <v>0</v>
      </c>
      <c r="AE102" s="28">
        <v>0</v>
      </c>
      <c r="AF102" s="28">
        <v>0</v>
      </c>
      <c r="AG102" s="28">
        <v>0</v>
      </c>
      <c r="AH102" s="24">
        <v>0</v>
      </c>
      <c r="AI102" s="28">
        <v>100</v>
      </c>
      <c r="AJ102" s="13" t="str">
        <f xml:space="preserve"> IF(AD102&gt;F102,"Exceso en grasa saturada",IFERROR(IF(F102=0,"No tiene sello",IF((AD102*9)*100/F102&gt;10,"Exceso en grasa saturada","No tiene sello")),"No tiene sello"))</f>
        <v>No tiene sello</v>
      </c>
      <c r="AK102" s="13">
        <f>IF(AJ102="No tiene sello",0,1)</f>
        <v>0</v>
      </c>
      <c r="AL102" s="13" t="str">
        <f>IF(Q102&gt;=300,"Exceso en sodio",IFERROR(IF(AND(F102=0,Q102&gt;0),"No tiene sello",IF(Q102/F102&gt;1,"Exceso en sodio","No tiene sello")),"No tiene sello"))</f>
        <v>No tiene sello</v>
      </c>
      <c r="AM102" s="13" t="str">
        <f>IFERROR(IF(F102=0,"No tiene sello",IF(+(AG102/1000)*9*100/F102&gt;1,"Exceso en grasa trans", "No tiene sello")),"No tiene sello")</f>
        <v>No tiene sello</v>
      </c>
    </row>
    <row r="103" spans="1:39" ht="13.5" customHeight="1" x14ac:dyDescent="0.25">
      <c r="A103" s="20" t="s">
        <v>1765</v>
      </c>
      <c r="B103" s="20" t="s">
        <v>1766</v>
      </c>
      <c r="C103" s="20" t="s">
        <v>1834</v>
      </c>
      <c r="D103" s="46">
        <v>100</v>
      </c>
      <c r="E103" s="23">
        <v>15</v>
      </c>
      <c r="F103" s="24">
        <v>0</v>
      </c>
      <c r="G103" s="23">
        <v>0</v>
      </c>
      <c r="H103" s="24">
        <v>0</v>
      </c>
      <c r="I103" s="24">
        <v>0</v>
      </c>
      <c r="J103" s="24">
        <v>75</v>
      </c>
      <c r="K103" s="23">
        <v>0</v>
      </c>
      <c r="L103" s="23">
        <v>0</v>
      </c>
      <c r="M103" s="24">
        <v>75</v>
      </c>
      <c r="N103" s="23">
        <v>10</v>
      </c>
      <c r="O103" s="25">
        <v>0</v>
      </c>
      <c r="P103" s="25">
        <v>0</v>
      </c>
      <c r="Q103" s="23">
        <v>0</v>
      </c>
      <c r="R103" s="25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5">
        <v>0</v>
      </c>
      <c r="AB103" s="25">
        <v>0</v>
      </c>
      <c r="AC103" s="25">
        <v>0</v>
      </c>
      <c r="AD103" s="23">
        <v>0</v>
      </c>
      <c r="AE103" s="23">
        <v>0</v>
      </c>
      <c r="AF103" s="23">
        <v>0</v>
      </c>
      <c r="AG103" s="23">
        <v>0</v>
      </c>
      <c r="AH103" s="24">
        <v>0</v>
      </c>
      <c r="AI103" s="23">
        <v>100</v>
      </c>
      <c r="AJ103" s="13" t="str">
        <f xml:space="preserve"> IF(AD103&gt;F103,"Exceso en grasa saturada",IFERROR(IF(F103=0,"No tiene sello",IF((AD103*9)*100/F103&gt;10,"Exceso en grasa saturada","No tiene sello")),"No tiene sello"))</f>
        <v>No tiene sello</v>
      </c>
      <c r="AK103" s="13">
        <f>IF(AJ103="No tiene sello",0,1)</f>
        <v>0</v>
      </c>
      <c r="AL103" s="13" t="str">
        <f>IF(Q103&gt;=300,"Exceso en sodio",IFERROR(IF(AND(F103=0,Q103&gt;0),"No tiene sello",IF(Q103/F103&gt;1,"Exceso en sodio","No tiene sello")),"No tiene sello"))</f>
        <v>No tiene sello</v>
      </c>
      <c r="AM103" s="13" t="str">
        <f>IFERROR(IF(F103=0,"No tiene sello",IF(+(AG103/1000)*9*100/F103&gt;1,"Exceso en grasa trans", "No tiene sello")),"No tiene sello")</f>
        <v>No tiene sello</v>
      </c>
    </row>
    <row r="104" spans="1:39" s="4" customFormat="1" ht="13.5" customHeight="1" x14ac:dyDescent="0.25">
      <c r="A104" s="26" t="s">
        <v>1767</v>
      </c>
      <c r="B104" s="26" t="s">
        <v>1768</v>
      </c>
      <c r="C104" s="27" t="s">
        <v>1834</v>
      </c>
      <c r="D104" s="22">
        <v>100</v>
      </c>
      <c r="E104" s="28">
        <v>10</v>
      </c>
      <c r="F104" s="24">
        <v>0</v>
      </c>
      <c r="G104" s="28">
        <v>0</v>
      </c>
      <c r="H104" s="24">
        <v>0</v>
      </c>
      <c r="I104" s="24">
        <v>0</v>
      </c>
      <c r="J104" s="24">
        <v>85</v>
      </c>
      <c r="K104" s="28">
        <v>0</v>
      </c>
      <c r="L104" s="28">
        <v>0</v>
      </c>
      <c r="M104" s="24">
        <v>85</v>
      </c>
      <c r="N104" s="28">
        <v>5</v>
      </c>
      <c r="O104" s="25">
        <v>0</v>
      </c>
      <c r="P104" s="25">
        <v>0</v>
      </c>
      <c r="Q104" s="28">
        <v>0</v>
      </c>
      <c r="R104" s="25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5">
        <v>0</v>
      </c>
      <c r="AB104" s="25">
        <v>0</v>
      </c>
      <c r="AC104" s="25">
        <v>0</v>
      </c>
      <c r="AD104" s="28">
        <v>0</v>
      </c>
      <c r="AE104" s="28">
        <v>0</v>
      </c>
      <c r="AF104" s="28">
        <v>0</v>
      </c>
      <c r="AG104" s="28">
        <v>0</v>
      </c>
      <c r="AH104" s="24">
        <v>0</v>
      </c>
      <c r="AI104" s="28">
        <v>100</v>
      </c>
      <c r="AJ104" s="13" t="str">
        <f xml:space="preserve"> IF(AD104&gt;F104,"Exceso en grasa saturada",IFERROR(IF(F104=0,"No tiene sello",IF((AD104*9)*100/F104&gt;10,"Exceso en grasa saturada","No tiene sello")),"No tiene sello"))</f>
        <v>No tiene sello</v>
      </c>
      <c r="AK104" s="13">
        <f>IF(AJ104="No tiene sello",0,1)</f>
        <v>0</v>
      </c>
      <c r="AL104" s="13" t="str">
        <f>IF(Q104&gt;=300,"Exceso en sodio",IFERROR(IF(AND(F104=0,Q104&gt;0),"No tiene sello",IF(Q104/F104&gt;1,"Exceso en sodio","No tiene sello")),"No tiene sello"))</f>
        <v>No tiene sello</v>
      </c>
      <c r="AM104" s="13" t="str">
        <f>IFERROR(IF(F104=0,"No tiene sello",IF(+(AG104/1000)*9*100/F104&gt;1,"Exceso en grasa trans", "No tiene sello")),"No tiene sello")</f>
        <v>No tiene sello</v>
      </c>
    </row>
    <row r="105" spans="1:39" ht="13.5" customHeight="1" x14ac:dyDescent="0.25">
      <c r="A105" s="20" t="s">
        <v>1769</v>
      </c>
      <c r="B105" s="20" t="s">
        <v>1770</v>
      </c>
      <c r="C105" s="20" t="s">
        <v>1835</v>
      </c>
      <c r="D105" s="46">
        <v>100</v>
      </c>
      <c r="E105" s="23">
        <v>5</v>
      </c>
      <c r="F105" s="24">
        <v>0</v>
      </c>
      <c r="G105" s="23">
        <v>0</v>
      </c>
      <c r="H105" s="24">
        <v>0</v>
      </c>
      <c r="I105" s="24">
        <v>0</v>
      </c>
      <c r="J105" s="24">
        <v>0</v>
      </c>
      <c r="K105" s="23">
        <v>0</v>
      </c>
      <c r="L105" s="23">
        <v>0</v>
      </c>
      <c r="M105" s="24">
        <v>0</v>
      </c>
      <c r="N105" s="23">
        <v>95</v>
      </c>
      <c r="O105" s="25">
        <v>0</v>
      </c>
      <c r="P105" s="25">
        <v>0</v>
      </c>
      <c r="Q105" s="23">
        <v>0</v>
      </c>
      <c r="R105" s="25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5">
        <v>0</v>
      </c>
      <c r="AB105" s="25">
        <v>0</v>
      </c>
      <c r="AC105" s="25">
        <v>0</v>
      </c>
      <c r="AD105" s="23">
        <v>0</v>
      </c>
      <c r="AE105" s="23">
        <v>0</v>
      </c>
      <c r="AF105" s="23">
        <v>0</v>
      </c>
      <c r="AG105" s="23">
        <v>0</v>
      </c>
      <c r="AH105" s="24">
        <v>0</v>
      </c>
      <c r="AI105" s="23">
        <v>100</v>
      </c>
      <c r="AJ105" s="13" t="str">
        <f xml:space="preserve"> IF(AD105&gt;F105,"Exceso en grasa saturada",IFERROR(IF(F105=0,"No tiene sello",IF((AD105*9)*100/F105&gt;10,"Exceso en grasa saturada","No tiene sello")),"No tiene sello"))</f>
        <v>No tiene sello</v>
      </c>
      <c r="AK105" s="13">
        <f>IF(AJ105="No tiene sello",0,1)</f>
        <v>0</v>
      </c>
      <c r="AL105" s="13" t="str">
        <f>IF(Q105&gt;=300,"Exceso en sodio",IFERROR(IF(AND(F105=0,Q105&gt;0),"No tiene sello",IF(Q105/F105&gt;1,"Exceso en sodio","No tiene sello")),"No tiene sello"))</f>
        <v>No tiene sello</v>
      </c>
      <c r="AM105" s="13" t="str">
        <f>IFERROR(IF(F105=0,"No tiene sello",IF(+(AG105/1000)*9*100/F105&gt;1,"Exceso en grasa trans", "No tiene sello")),"No tiene sello")</f>
        <v>No tiene sello</v>
      </c>
    </row>
    <row r="106" spans="1:39" ht="13.5" customHeight="1" x14ac:dyDescent="0.25">
      <c r="A106" s="26" t="s">
        <v>1771</v>
      </c>
      <c r="B106" s="26" t="s">
        <v>1772</v>
      </c>
      <c r="C106" s="27" t="s">
        <v>1834</v>
      </c>
      <c r="D106" s="22">
        <v>100</v>
      </c>
      <c r="E106" s="28">
        <v>8</v>
      </c>
      <c r="F106" s="24">
        <v>0</v>
      </c>
      <c r="G106" s="28">
        <v>0</v>
      </c>
      <c r="H106" s="24">
        <v>0</v>
      </c>
      <c r="I106" s="24">
        <v>0</v>
      </c>
      <c r="J106" s="24">
        <v>0</v>
      </c>
      <c r="K106" s="28">
        <v>0</v>
      </c>
      <c r="L106" s="28">
        <v>0</v>
      </c>
      <c r="M106" s="24">
        <v>0</v>
      </c>
      <c r="N106" s="28">
        <v>92</v>
      </c>
      <c r="O106" s="25">
        <v>0</v>
      </c>
      <c r="P106" s="25">
        <v>0</v>
      </c>
      <c r="Q106" s="28">
        <v>0</v>
      </c>
      <c r="R106" s="25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5">
        <v>0</v>
      </c>
      <c r="AB106" s="25">
        <v>0</v>
      </c>
      <c r="AC106" s="25">
        <v>0</v>
      </c>
      <c r="AD106" s="28">
        <v>0</v>
      </c>
      <c r="AE106" s="28">
        <v>0</v>
      </c>
      <c r="AF106" s="28">
        <v>0</v>
      </c>
      <c r="AG106" s="28">
        <v>0</v>
      </c>
      <c r="AH106" s="24">
        <v>0</v>
      </c>
      <c r="AI106" s="28">
        <v>100</v>
      </c>
      <c r="AJ106" s="13" t="str">
        <f xml:space="preserve"> IF(AD106&gt;F106,"Exceso en grasa saturada",IFERROR(IF(F106=0,"No tiene sello",IF((AD106*9)*100/F106&gt;10,"Exceso en grasa saturada","No tiene sello")),"No tiene sello"))</f>
        <v>No tiene sello</v>
      </c>
      <c r="AK106" s="13">
        <f>IF(AJ106="No tiene sello",0,1)</f>
        <v>0</v>
      </c>
      <c r="AL106" s="13" t="str">
        <f>IF(Q106&gt;=300,"Exceso en sodio",IFERROR(IF(AND(F106=0,Q106&gt;0),"No tiene sello",IF(Q106/F106&gt;1,"Exceso en sodio","No tiene sello")),"No tiene sello"))</f>
        <v>No tiene sello</v>
      </c>
      <c r="AM106" s="13" t="str">
        <f>IFERROR(IF(F106=0,"No tiene sello",IF(+(AG106/1000)*9*100/F106&gt;1,"Exceso en grasa trans", "No tiene sello")),"No tiene sello")</f>
        <v>No tiene sello</v>
      </c>
    </row>
    <row r="107" spans="1:39" ht="13.5" customHeight="1" x14ac:dyDescent="0.25">
      <c r="A107" s="20" t="s">
        <v>1773</v>
      </c>
      <c r="B107" s="20" t="s">
        <v>1774</v>
      </c>
      <c r="C107" s="20" t="s">
        <v>1834</v>
      </c>
      <c r="D107" s="46">
        <v>100</v>
      </c>
      <c r="E107" s="23">
        <v>6</v>
      </c>
      <c r="F107" s="24">
        <v>0</v>
      </c>
      <c r="G107" s="23">
        <v>0</v>
      </c>
      <c r="H107" s="24">
        <v>0</v>
      </c>
      <c r="I107" s="24">
        <v>0</v>
      </c>
      <c r="J107" s="24">
        <v>0</v>
      </c>
      <c r="K107" s="23">
        <v>0</v>
      </c>
      <c r="L107" s="23">
        <v>0</v>
      </c>
      <c r="M107" s="24">
        <v>0</v>
      </c>
      <c r="N107" s="23">
        <v>94</v>
      </c>
      <c r="O107" s="25">
        <v>0</v>
      </c>
      <c r="P107" s="25">
        <v>0</v>
      </c>
      <c r="Q107" s="23">
        <v>0</v>
      </c>
      <c r="R107" s="25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5">
        <v>0</v>
      </c>
      <c r="AB107" s="25">
        <v>0</v>
      </c>
      <c r="AC107" s="25">
        <v>0</v>
      </c>
      <c r="AD107" s="23">
        <v>0</v>
      </c>
      <c r="AE107" s="23">
        <v>0</v>
      </c>
      <c r="AF107" s="23">
        <v>0</v>
      </c>
      <c r="AG107" s="23">
        <v>0</v>
      </c>
      <c r="AH107" s="24">
        <v>0</v>
      </c>
      <c r="AI107" s="23">
        <v>100</v>
      </c>
      <c r="AJ107" s="13" t="str">
        <f xml:space="preserve"> IF(AD107&gt;F107,"Exceso en grasa saturada",IFERROR(IF(F107=0,"No tiene sello",IF((AD107*9)*100/F107&gt;10,"Exceso en grasa saturada","No tiene sello")),"No tiene sello"))</f>
        <v>No tiene sello</v>
      </c>
      <c r="AK107" s="13">
        <f>IF(AJ107="No tiene sello",0,1)</f>
        <v>0</v>
      </c>
      <c r="AL107" s="13" t="str">
        <f>IF(Q107&gt;=300,"Exceso en sodio",IFERROR(IF(AND(F107=0,Q107&gt;0),"No tiene sello",IF(Q107/F107&gt;1,"Exceso en sodio","No tiene sello")),"No tiene sello"))</f>
        <v>No tiene sello</v>
      </c>
      <c r="AM107" s="13" t="str">
        <f>IFERROR(IF(F107=0,"No tiene sello",IF(+(AG107/1000)*9*100/F107&gt;1,"Exceso en grasa trans", "No tiene sello")),"No tiene sello")</f>
        <v>No tiene sello</v>
      </c>
    </row>
    <row r="108" spans="1:39" ht="13.5" customHeight="1" x14ac:dyDescent="0.25">
      <c r="A108" s="26" t="s">
        <v>1775</v>
      </c>
      <c r="B108" s="26" t="s">
        <v>1776</v>
      </c>
      <c r="C108" s="27" t="s">
        <v>1834</v>
      </c>
      <c r="D108" s="22">
        <v>100</v>
      </c>
      <c r="E108" s="28">
        <v>10</v>
      </c>
      <c r="F108" s="24">
        <v>0</v>
      </c>
      <c r="G108" s="28">
        <v>0</v>
      </c>
      <c r="H108" s="24">
        <v>0</v>
      </c>
      <c r="I108" s="24">
        <v>0</v>
      </c>
      <c r="J108" s="24">
        <v>0</v>
      </c>
      <c r="K108" s="28">
        <v>0</v>
      </c>
      <c r="L108" s="28">
        <v>0</v>
      </c>
      <c r="M108" s="24">
        <v>0</v>
      </c>
      <c r="N108" s="28">
        <v>90</v>
      </c>
      <c r="O108" s="25">
        <v>0</v>
      </c>
      <c r="P108" s="25">
        <v>0</v>
      </c>
      <c r="Q108" s="28">
        <v>0</v>
      </c>
      <c r="R108" s="25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5">
        <v>0</v>
      </c>
      <c r="AB108" s="25">
        <v>0</v>
      </c>
      <c r="AC108" s="25">
        <v>0</v>
      </c>
      <c r="AD108" s="28">
        <v>0</v>
      </c>
      <c r="AE108" s="28">
        <v>0</v>
      </c>
      <c r="AF108" s="28">
        <v>0</v>
      </c>
      <c r="AG108" s="28">
        <v>0</v>
      </c>
      <c r="AH108" s="24">
        <v>0</v>
      </c>
      <c r="AI108" s="28">
        <v>100</v>
      </c>
      <c r="AJ108" s="13" t="str">
        <f xml:space="preserve"> IF(AD108&gt;F108,"Exceso en grasa saturada",IFERROR(IF(F108=0,"No tiene sello",IF((AD108*9)*100/F108&gt;10,"Exceso en grasa saturada","No tiene sello")),"No tiene sello"))</f>
        <v>No tiene sello</v>
      </c>
      <c r="AK108" s="13">
        <f>IF(AJ108="No tiene sello",0,1)</f>
        <v>0</v>
      </c>
      <c r="AL108" s="13" t="str">
        <f>IF(Q108&gt;=300,"Exceso en sodio",IFERROR(IF(AND(F108=0,Q108&gt;0),"No tiene sello",IF(Q108/F108&gt;1,"Exceso en sodio","No tiene sello")),"No tiene sello"))</f>
        <v>No tiene sello</v>
      </c>
      <c r="AM108" s="13" t="str">
        <f>IFERROR(IF(F108=0,"No tiene sello",IF(+(AG108/1000)*9*100/F108&gt;1,"Exceso en grasa trans", "No tiene sello")),"No tiene sello")</f>
        <v>No tiene sello</v>
      </c>
    </row>
    <row r="109" spans="1:39" ht="13.5" customHeight="1" x14ac:dyDescent="0.25">
      <c r="A109" s="20" t="s">
        <v>1777</v>
      </c>
      <c r="B109" s="20" t="s">
        <v>1778</v>
      </c>
      <c r="C109" s="20" t="s">
        <v>1834</v>
      </c>
      <c r="D109" s="46">
        <v>100</v>
      </c>
      <c r="E109" s="23">
        <v>1</v>
      </c>
      <c r="F109" s="24">
        <v>0</v>
      </c>
      <c r="G109" s="23">
        <v>0</v>
      </c>
      <c r="H109" s="24">
        <v>0</v>
      </c>
      <c r="I109" s="24">
        <v>0</v>
      </c>
      <c r="J109" s="24">
        <v>0</v>
      </c>
      <c r="K109" s="23">
        <v>0</v>
      </c>
      <c r="L109" s="23">
        <v>0</v>
      </c>
      <c r="M109" s="24">
        <v>0</v>
      </c>
      <c r="N109" s="23">
        <v>99</v>
      </c>
      <c r="O109" s="25">
        <v>0</v>
      </c>
      <c r="P109" s="25">
        <v>0</v>
      </c>
      <c r="Q109" s="23">
        <v>12300</v>
      </c>
      <c r="R109" s="25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5">
        <v>0</v>
      </c>
      <c r="AB109" s="25">
        <v>0</v>
      </c>
      <c r="AC109" s="25">
        <v>0</v>
      </c>
      <c r="AD109" s="23">
        <v>0</v>
      </c>
      <c r="AE109" s="23">
        <v>0</v>
      </c>
      <c r="AF109" s="23">
        <v>0</v>
      </c>
      <c r="AG109" s="23">
        <v>0</v>
      </c>
      <c r="AH109" s="24">
        <v>0</v>
      </c>
      <c r="AI109" s="23">
        <v>100</v>
      </c>
      <c r="AJ109" s="13" t="str">
        <f xml:space="preserve"> IF(AD109&gt;F109,"Exceso en grasa saturada",IFERROR(IF(F109=0,"No tiene sello",IF((AD109*9)*100/F109&gt;10,"Exceso en grasa saturada","No tiene sello")),"No tiene sello"))</f>
        <v>No tiene sello</v>
      </c>
      <c r="AK109" s="13">
        <f>IF(AJ109="No tiene sello",0,1)</f>
        <v>0</v>
      </c>
      <c r="AL109" s="13" t="str">
        <f>IF(Q109&gt;=300,"Exceso en sodio",IFERROR(IF(AND(F109=0,Q109&gt;0),"No tiene sello",IF(Q109/F109&gt;1,"Exceso en sodio","No tiene sello")),"No tiene sello"))</f>
        <v>Exceso en sodio</v>
      </c>
      <c r="AM109" s="13" t="str">
        <f>IFERROR(IF(F109=0,"No tiene sello",IF(+(AG109/1000)*9*100/F109&gt;1,"Exceso en grasa trans", "No tiene sello")),"No tiene sello")</f>
        <v>No tiene sello</v>
      </c>
    </row>
    <row r="110" spans="1:39" ht="13.5" customHeight="1" x14ac:dyDescent="0.25">
      <c r="A110" s="26" t="s">
        <v>1779</v>
      </c>
      <c r="B110" s="26" t="s">
        <v>1780</v>
      </c>
      <c r="C110" s="27" t="s">
        <v>1834</v>
      </c>
      <c r="D110" s="22">
        <v>100</v>
      </c>
      <c r="E110" s="28">
        <v>2</v>
      </c>
      <c r="F110" s="24">
        <v>0</v>
      </c>
      <c r="G110" s="28">
        <v>0</v>
      </c>
      <c r="H110" s="24">
        <v>0</v>
      </c>
      <c r="I110" s="24">
        <v>0</v>
      </c>
      <c r="J110" s="24">
        <v>0</v>
      </c>
      <c r="K110" s="28">
        <v>0</v>
      </c>
      <c r="L110" s="28">
        <v>0</v>
      </c>
      <c r="M110" s="24">
        <v>0</v>
      </c>
      <c r="N110" s="28">
        <v>98</v>
      </c>
      <c r="O110" s="25">
        <v>0</v>
      </c>
      <c r="P110" s="25">
        <v>0</v>
      </c>
      <c r="Q110" s="28">
        <v>8500</v>
      </c>
      <c r="R110" s="25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5">
        <v>0</v>
      </c>
      <c r="AB110" s="25">
        <v>0</v>
      </c>
      <c r="AC110" s="25">
        <v>0</v>
      </c>
      <c r="AD110" s="28">
        <v>0</v>
      </c>
      <c r="AE110" s="28">
        <v>0</v>
      </c>
      <c r="AF110" s="28">
        <v>0</v>
      </c>
      <c r="AG110" s="28">
        <v>0</v>
      </c>
      <c r="AH110" s="24">
        <v>0</v>
      </c>
      <c r="AI110" s="28">
        <v>100</v>
      </c>
      <c r="AJ110" s="13" t="str">
        <f xml:space="preserve"> IF(AD110&gt;F110,"Exceso en grasa saturada",IFERROR(IF(F110=0,"No tiene sello",IF((AD110*9)*100/F110&gt;10,"Exceso en grasa saturada","No tiene sello")),"No tiene sello"))</f>
        <v>No tiene sello</v>
      </c>
      <c r="AK110" s="13">
        <f>IF(AJ110="No tiene sello",0,1)</f>
        <v>0</v>
      </c>
      <c r="AL110" s="13" t="str">
        <f>IF(Q110&gt;=300,"Exceso en sodio",IFERROR(IF(AND(F110=0,Q110&gt;0),"No tiene sello",IF(Q110/F110&gt;1,"Exceso en sodio","No tiene sello")),"No tiene sello"))</f>
        <v>Exceso en sodio</v>
      </c>
      <c r="AM110" s="13" t="str">
        <f>IFERROR(IF(F110=0,"No tiene sello",IF(+(AG110/1000)*9*100/F110&gt;1,"Exceso en grasa trans", "No tiene sello")),"No tiene sello")</f>
        <v>No tiene sello</v>
      </c>
    </row>
    <row r="111" spans="1:39" ht="13.5" customHeight="1" x14ac:dyDescent="0.25">
      <c r="A111" s="20" t="s">
        <v>1781</v>
      </c>
      <c r="B111" s="20" t="s">
        <v>1782</v>
      </c>
      <c r="C111" s="20" t="s">
        <v>1834</v>
      </c>
      <c r="D111" s="46">
        <v>100</v>
      </c>
      <c r="E111" s="23">
        <v>2</v>
      </c>
      <c r="F111" s="24">
        <v>0</v>
      </c>
      <c r="G111" s="23">
        <v>0</v>
      </c>
      <c r="H111" s="24">
        <v>0</v>
      </c>
      <c r="I111" s="24">
        <v>0</v>
      </c>
      <c r="J111" s="24">
        <v>0</v>
      </c>
      <c r="K111" s="23">
        <v>0</v>
      </c>
      <c r="L111" s="23">
        <v>0</v>
      </c>
      <c r="M111" s="24">
        <v>0</v>
      </c>
      <c r="N111" s="23">
        <v>98</v>
      </c>
      <c r="O111" s="25">
        <v>0</v>
      </c>
      <c r="P111" s="25">
        <v>0</v>
      </c>
      <c r="Q111" s="23">
        <v>8200</v>
      </c>
      <c r="R111" s="25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5">
        <v>0</v>
      </c>
      <c r="AB111" s="25">
        <v>0</v>
      </c>
      <c r="AC111" s="25">
        <v>0</v>
      </c>
      <c r="AD111" s="23">
        <v>0</v>
      </c>
      <c r="AE111" s="23">
        <v>0</v>
      </c>
      <c r="AF111" s="23">
        <v>0</v>
      </c>
      <c r="AG111" s="23">
        <v>0</v>
      </c>
      <c r="AH111" s="24">
        <v>0</v>
      </c>
      <c r="AI111" s="23">
        <v>100</v>
      </c>
      <c r="AJ111" s="13" t="str">
        <f xml:space="preserve"> IF(AD111&gt;F111,"Exceso en grasa saturada",IFERROR(IF(F111=0,"No tiene sello",IF((AD111*9)*100/F111&gt;10,"Exceso en grasa saturada","No tiene sello")),"No tiene sello"))</f>
        <v>No tiene sello</v>
      </c>
      <c r="AK111" s="13">
        <f>IF(AJ111="No tiene sello",0,1)</f>
        <v>0</v>
      </c>
      <c r="AL111" s="13" t="str">
        <f>IF(Q111&gt;=300,"Exceso en sodio",IFERROR(IF(AND(F111=0,Q111&gt;0),"No tiene sello",IF(Q111/F111&gt;1,"Exceso en sodio","No tiene sello")),"No tiene sello"))</f>
        <v>Exceso en sodio</v>
      </c>
      <c r="AM111" s="13" t="str">
        <f>IFERROR(IF(F111=0,"No tiene sello",IF(+(AG111/1000)*9*100/F111&gt;1,"Exceso en grasa trans", "No tiene sello")),"No tiene sello")</f>
        <v>No tiene sello</v>
      </c>
    </row>
    <row r="112" spans="1:39" s="4" customFormat="1" ht="13.5" customHeight="1" x14ac:dyDescent="0.25">
      <c r="A112" s="26" t="s">
        <v>1783</v>
      </c>
      <c r="B112" s="26" t="s">
        <v>1784</v>
      </c>
      <c r="C112" s="27" t="s">
        <v>1834</v>
      </c>
      <c r="D112" s="22">
        <v>100</v>
      </c>
      <c r="E112" s="28">
        <v>0.5</v>
      </c>
      <c r="F112" s="24">
        <v>0</v>
      </c>
      <c r="G112" s="28">
        <v>0</v>
      </c>
      <c r="H112" s="24">
        <v>0</v>
      </c>
      <c r="I112" s="24">
        <v>0</v>
      </c>
      <c r="J112" s="24">
        <v>0</v>
      </c>
      <c r="K112" s="28">
        <v>0</v>
      </c>
      <c r="L112" s="28">
        <v>0</v>
      </c>
      <c r="M112" s="24">
        <v>0</v>
      </c>
      <c r="N112" s="28">
        <v>99.5</v>
      </c>
      <c r="O112" s="25">
        <v>0</v>
      </c>
      <c r="P112" s="25">
        <v>0</v>
      </c>
      <c r="Q112" s="28">
        <v>0</v>
      </c>
      <c r="R112" s="25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5">
        <v>0</v>
      </c>
      <c r="AB112" s="25">
        <v>0</v>
      </c>
      <c r="AC112" s="25">
        <v>0</v>
      </c>
      <c r="AD112" s="28">
        <v>0</v>
      </c>
      <c r="AE112" s="28">
        <v>0</v>
      </c>
      <c r="AF112" s="28">
        <v>0</v>
      </c>
      <c r="AG112" s="28">
        <v>0</v>
      </c>
      <c r="AH112" s="24">
        <v>0</v>
      </c>
      <c r="AI112" s="28">
        <v>100</v>
      </c>
      <c r="AJ112" s="13" t="str">
        <f xml:space="preserve"> IF(AD112&gt;F112,"Exceso en grasa saturada",IFERROR(IF(F112=0,"No tiene sello",IF((AD112*9)*100/F112&gt;10,"Exceso en grasa saturada","No tiene sello")),"No tiene sello"))</f>
        <v>No tiene sello</v>
      </c>
      <c r="AK112" s="13">
        <f>IF(AJ112="No tiene sello",0,1)</f>
        <v>0</v>
      </c>
      <c r="AL112" s="13" t="str">
        <f>IF(Q112&gt;=300,"Exceso en sodio",IFERROR(IF(AND(F112=0,Q112&gt;0),"No tiene sello",IF(Q112/F112&gt;1,"Exceso en sodio","No tiene sello")),"No tiene sello"))</f>
        <v>No tiene sello</v>
      </c>
      <c r="AM112" s="13" t="str">
        <f>IFERROR(IF(F112=0,"No tiene sello",IF(+(AG112/1000)*9*100/F112&gt;1,"Exceso en grasa trans", "No tiene sello")),"No tiene sello")</f>
        <v>No tiene sello</v>
      </c>
    </row>
    <row r="113" spans="1:39" ht="13.5" customHeight="1" x14ac:dyDescent="0.25">
      <c r="A113" s="20" t="s">
        <v>1785</v>
      </c>
      <c r="B113" s="20" t="s">
        <v>1786</v>
      </c>
      <c r="C113" s="20" t="s">
        <v>1834</v>
      </c>
      <c r="D113" s="46">
        <v>100</v>
      </c>
      <c r="E113" s="23">
        <v>1</v>
      </c>
      <c r="F113" s="24">
        <v>0</v>
      </c>
      <c r="G113" s="23">
        <v>0</v>
      </c>
      <c r="H113" s="24">
        <v>0</v>
      </c>
      <c r="I113" s="24">
        <v>0</v>
      </c>
      <c r="J113" s="24">
        <v>0</v>
      </c>
      <c r="K113" s="23">
        <v>0</v>
      </c>
      <c r="L113" s="23">
        <v>0</v>
      </c>
      <c r="M113" s="24">
        <v>0</v>
      </c>
      <c r="N113" s="23">
        <v>99</v>
      </c>
      <c r="O113" s="25">
        <v>0</v>
      </c>
      <c r="P113" s="25">
        <v>0</v>
      </c>
      <c r="Q113" s="23">
        <v>0</v>
      </c>
      <c r="R113" s="25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5">
        <v>0</v>
      </c>
      <c r="AB113" s="25">
        <v>0</v>
      </c>
      <c r="AC113" s="25">
        <v>0</v>
      </c>
      <c r="AD113" s="23">
        <v>0</v>
      </c>
      <c r="AE113" s="23">
        <v>0</v>
      </c>
      <c r="AF113" s="23">
        <v>0</v>
      </c>
      <c r="AG113" s="23">
        <v>0</v>
      </c>
      <c r="AH113" s="24">
        <v>0</v>
      </c>
      <c r="AI113" s="23">
        <v>100</v>
      </c>
      <c r="AJ113" s="13" t="str">
        <f xml:space="preserve"> IF(AD113&gt;F113,"Exceso en grasa saturada",IFERROR(IF(F113=0,"No tiene sello",IF((AD113*9)*100/F113&gt;10,"Exceso en grasa saturada","No tiene sello")),"No tiene sello"))</f>
        <v>No tiene sello</v>
      </c>
      <c r="AK113" s="13">
        <f>IF(AJ113="No tiene sello",0,1)</f>
        <v>0</v>
      </c>
      <c r="AL113" s="13" t="str">
        <f>IF(Q113&gt;=300,"Exceso en sodio",IFERROR(IF(AND(F113=0,Q113&gt;0),"No tiene sello",IF(Q113/F113&gt;1,"Exceso en sodio","No tiene sello")),"No tiene sello"))</f>
        <v>No tiene sello</v>
      </c>
      <c r="AM113" s="13" t="str">
        <f>IFERROR(IF(F113=0,"No tiene sello",IF(+(AG113/1000)*9*100/F113&gt;1,"Exceso en grasa trans", "No tiene sello")),"No tiene sello")</f>
        <v>No tiene sello</v>
      </c>
    </row>
    <row r="114" spans="1:39" ht="13.5" customHeight="1" x14ac:dyDescent="0.25">
      <c r="A114" s="26" t="s">
        <v>1787</v>
      </c>
      <c r="B114" s="26" t="s">
        <v>1788</v>
      </c>
      <c r="C114" s="27" t="s">
        <v>1834</v>
      </c>
      <c r="D114" s="22">
        <v>100</v>
      </c>
      <c r="E114" s="28">
        <v>0.8</v>
      </c>
      <c r="F114" s="24">
        <v>0</v>
      </c>
      <c r="G114" s="28">
        <v>0</v>
      </c>
      <c r="H114" s="24">
        <v>0</v>
      </c>
      <c r="I114" s="24">
        <v>0</v>
      </c>
      <c r="J114" s="24">
        <v>0</v>
      </c>
      <c r="K114" s="28">
        <v>0</v>
      </c>
      <c r="L114" s="28">
        <v>0</v>
      </c>
      <c r="M114" s="24">
        <v>0</v>
      </c>
      <c r="N114" s="28">
        <v>99.2</v>
      </c>
      <c r="O114" s="25">
        <v>0</v>
      </c>
      <c r="P114" s="25">
        <v>0</v>
      </c>
      <c r="Q114" s="28">
        <v>0</v>
      </c>
      <c r="R114" s="25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5">
        <v>0</v>
      </c>
      <c r="AB114" s="25">
        <v>0</v>
      </c>
      <c r="AC114" s="25">
        <v>0</v>
      </c>
      <c r="AD114" s="28">
        <v>0</v>
      </c>
      <c r="AE114" s="28">
        <v>0</v>
      </c>
      <c r="AF114" s="28">
        <v>0</v>
      </c>
      <c r="AG114" s="28">
        <v>0</v>
      </c>
      <c r="AH114" s="24">
        <v>0</v>
      </c>
      <c r="AI114" s="28">
        <v>100</v>
      </c>
      <c r="AJ114" s="13" t="str">
        <f xml:space="preserve"> IF(AD114&gt;F114,"Exceso en grasa saturada",IFERROR(IF(F114=0,"No tiene sello",IF((AD114*9)*100/F114&gt;10,"Exceso en grasa saturada","No tiene sello")),"No tiene sello"))</f>
        <v>No tiene sello</v>
      </c>
      <c r="AK114" s="13">
        <f>IF(AJ114="No tiene sello",0,1)</f>
        <v>0</v>
      </c>
      <c r="AL114" s="13" t="str">
        <f>IF(Q114&gt;=300,"Exceso en sodio",IFERROR(IF(AND(F114=0,Q114&gt;0),"No tiene sello",IF(Q114/F114&gt;1,"Exceso en sodio","No tiene sello")),"No tiene sello"))</f>
        <v>No tiene sello</v>
      </c>
      <c r="AM114" s="13" t="str">
        <f>IFERROR(IF(F114=0,"No tiene sello",IF(+(AG114/1000)*9*100/F114&gt;1,"Exceso en grasa trans", "No tiene sello")),"No tiene sello")</f>
        <v>No tiene sello</v>
      </c>
    </row>
    <row r="115" spans="1:39" ht="13.5" customHeight="1" x14ac:dyDescent="0.25">
      <c r="A115" s="20" t="s">
        <v>1789</v>
      </c>
      <c r="B115" s="20" t="s">
        <v>1790</v>
      </c>
      <c r="C115" s="20" t="s">
        <v>1834</v>
      </c>
      <c r="D115" s="46">
        <v>100</v>
      </c>
      <c r="E115" s="23">
        <v>1.5</v>
      </c>
      <c r="F115" s="24">
        <v>0</v>
      </c>
      <c r="G115" s="23">
        <v>0</v>
      </c>
      <c r="H115" s="24">
        <v>0</v>
      </c>
      <c r="I115" s="24">
        <v>0</v>
      </c>
      <c r="J115" s="24">
        <v>0</v>
      </c>
      <c r="K115" s="23">
        <v>0</v>
      </c>
      <c r="L115" s="23">
        <v>0</v>
      </c>
      <c r="M115" s="24">
        <v>0</v>
      </c>
      <c r="N115" s="23">
        <v>98.5</v>
      </c>
      <c r="O115" s="25">
        <v>0</v>
      </c>
      <c r="P115" s="25">
        <v>0</v>
      </c>
      <c r="Q115" s="23">
        <v>12000</v>
      </c>
      <c r="R115" s="25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5">
        <v>0</v>
      </c>
      <c r="AB115" s="25">
        <v>0</v>
      </c>
      <c r="AC115" s="25">
        <v>0</v>
      </c>
      <c r="AD115" s="23">
        <v>0</v>
      </c>
      <c r="AE115" s="23">
        <v>0</v>
      </c>
      <c r="AF115" s="23">
        <v>0</v>
      </c>
      <c r="AG115" s="23">
        <v>0</v>
      </c>
      <c r="AH115" s="24">
        <v>0</v>
      </c>
      <c r="AI115" s="23">
        <v>100</v>
      </c>
      <c r="AJ115" s="13" t="str">
        <f xml:space="preserve"> IF(AD115&gt;F115,"Exceso en grasa saturada",IFERROR(IF(F115=0,"No tiene sello",IF((AD115*9)*100/F115&gt;10,"Exceso en grasa saturada","No tiene sello")),"No tiene sello"))</f>
        <v>No tiene sello</v>
      </c>
      <c r="AK115" s="13">
        <f>IF(AJ115="No tiene sello",0,1)</f>
        <v>0</v>
      </c>
      <c r="AL115" s="13" t="str">
        <f>IF(Q115&gt;=300,"Exceso en sodio",IFERROR(IF(AND(F115=0,Q115&gt;0),"No tiene sello",IF(Q115/F115&gt;1,"Exceso en sodio","No tiene sello")),"No tiene sello"))</f>
        <v>Exceso en sodio</v>
      </c>
      <c r="AM115" s="13" t="str">
        <f>IFERROR(IF(F115=0,"No tiene sello",IF(+(AG115/1000)*9*100/F115&gt;1,"Exceso en grasa trans", "No tiene sello")),"No tiene sello")</f>
        <v>No tiene sello</v>
      </c>
    </row>
    <row r="116" spans="1:39" ht="13.5" customHeight="1" x14ac:dyDescent="0.25">
      <c r="A116" s="26" t="s">
        <v>1791</v>
      </c>
      <c r="B116" s="26" t="s">
        <v>1792</v>
      </c>
      <c r="C116" s="27" t="s">
        <v>1834</v>
      </c>
      <c r="D116" s="22">
        <v>100</v>
      </c>
      <c r="E116" s="28">
        <v>0.2</v>
      </c>
      <c r="F116" s="24">
        <v>0</v>
      </c>
      <c r="G116" s="28">
        <v>0</v>
      </c>
      <c r="H116" s="24">
        <v>0</v>
      </c>
      <c r="I116" s="24">
        <v>0</v>
      </c>
      <c r="J116" s="24">
        <v>0</v>
      </c>
      <c r="K116" s="28">
        <v>0</v>
      </c>
      <c r="L116" s="28">
        <v>0</v>
      </c>
      <c r="M116" s="24">
        <v>0</v>
      </c>
      <c r="N116" s="28">
        <v>99.8</v>
      </c>
      <c r="O116" s="25">
        <v>0</v>
      </c>
      <c r="P116" s="25">
        <v>0</v>
      </c>
      <c r="Q116" s="28">
        <v>0</v>
      </c>
      <c r="R116" s="25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5">
        <v>0</v>
      </c>
      <c r="AB116" s="25">
        <v>0</v>
      </c>
      <c r="AC116" s="25">
        <v>0</v>
      </c>
      <c r="AD116" s="28">
        <v>0</v>
      </c>
      <c r="AE116" s="28">
        <v>0</v>
      </c>
      <c r="AF116" s="28">
        <v>0</v>
      </c>
      <c r="AG116" s="28">
        <v>0</v>
      </c>
      <c r="AH116" s="24">
        <v>0</v>
      </c>
      <c r="AI116" s="28">
        <v>100</v>
      </c>
      <c r="AJ116" s="13" t="str">
        <f xml:space="preserve"> IF(AD116&gt;F116,"Exceso en grasa saturada",IFERROR(IF(F116=0,"No tiene sello",IF((AD116*9)*100/F116&gt;10,"Exceso en grasa saturada","No tiene sello")),"No tiene sello"))</f>
        <v>No tiene sello</v>
      </c>
      <c r="AK116" s="13">
        <f>IF(AJ116="No tiene sello",0,1)</f>
        <v>0</v>
      </c>
      <c r="AL116" s="13" t="str">
        <f>IF(Q116&gt;=300,"Exceso en sodio",IFERROR(IF(AND(F116=0,Q116&gt;0),"No tiene sello",IF(Q116/F116&gt;1,"Exceso en sodio","No tiene sello")),"No tiene sello"))</f>
        <v>No tiene sello</v>
      </c>
      <c r="AM116" s="13" t="str">
        <f>IFERROR(IF(F116=0,"No tiene sello",IF(+(AG116/1000)*9*100/F116&gt;1,"Exceso en grasa trans", "No tiene sello")),"No tiene sello")</f>
        <v>No tiene sello</v>
      </c>
    </row>
    <row r="117" spans="1:39" ht="13.5" customHeight="1" x14ac:dyDescent="0.25">
      <c r="A117" s="20" t="s">
        <v>1793</v>
      </c>
      <c r="B117" s="20" t="s">
        <v>1794</v>
      </c>
      <c r="C117" s="20" t="s">
        <v>1834</v>
      </c>
      <c r="D117" s="46">
        <v>100</v>
      </c>
      <c r="E117" s="23">
        <v>0.3</v>
      </c>
      <c r="F117" s="24">
        <v>0</v>
      </c>
      <c r="G117" s="23">
        <v>0</v>
      </c>
      <c r="H117" s="24">
        <v>0</v>
      </c>
      <c r="I117" s="24">
        <v>0</v>
      </c>
      <c r="J117" s="24">
        <v>0</v>
      </c>
      <c r="K117" s="23">
        <v>0</v>
      </c>
      <c r="L117" s="23">
        <v>0</v>
      </c>
      <c r="M117" s="24">
        <v>0</v>
      </c>
      <c r="N117" s="23">
        <v>99.7</v>
      </c>
      <c r="O117" s="25">
        <v>0</v>
      </c>
      <c r="P117" s="25">
        <v>0</v>
      </c>
      <c r="Q117" s="23">
        <v>0</v>
      </c>
      <c r="R117" s="25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5">
        <v>0</v>
      </c>
      <c r="AB117" s="25">
        <v>0</v>
      </c>
      <c r="AC117" s="25">
        <v>0</v>
      </c>
      <c r="AD117" s="23">
        <v>0</v>
      </c>
      <c r="AE117" s="23">
        <v>0</v>
      </c>
      <c r="AF117" s="23">
        <v>0</v>
      </c>
      <c r="AG117" s="23">
        <v>0</v>
      </c>
      <c r="AH117" s="24">
        <v>0</v>
      </c>
      <c r="AI117" s="23">
        <v>100</v>
      </c>
      <c r="AJ117" s="13" t="str">
        <f xml:space="preserve"> IF(AD117&gt;F117,"Exceso en grasa saturada",IFERROR(IF(F117=0,"No tiene sello",IF((AD117*9)*100/F117&gt;10,"Exceso en grasa saturada","No tiene sello")),"No tiene sello"))</f>
        <v>No tiene sello</v>
      </c>
      <c r="AK117" s="13">
        <f>IF(AJ117="No tiene sello",0,1)</f>
        <v>0</v>
      </c>
      <c r="AL117" s="13" t="str">
        <f>IF(Q117&gt;=300,"Exceso en sodio",IFERROR(IF(AND(F117=0,Q117&gt;0),"No tiene sello",IF(Q117/F117&gt;1,"Exceso en sodio","No tiene sello")),"No tiene sello"))</f>
        <v>No tiene sello</v>
      </c>
      <c r="AM117" s="13" t="str">
        <f>IFERROR(IF(F117=0,"No tiene sello",IF(+(AG117/1000)*9*100/F117&gt;1,"Exceso en grasa trans", "No tiene sello")),"No tiene sello")</f>
        <v>No tiene sello</v>
      </c>
    </row>
    <row r="118" spans="1:39" ht="13.5" customHeight="1" x14ac:dyDescent="0.25">
      <c r="A118" s="26" t="s">
        <v>1795</v>
      </c>
      <c r="B118" s="26" t="s">
        <v>1796</v>
      </c>
      <c r="C118" s="27" t="s">
        <v>1834</v>
      </c>
      <c r="D118" s="22">
        <v>100</v>
      </c>
      <c r="E118" s="28">
        <v>0.1</v>
      </c>
      <c r="F118" s="24">
        <v>0</v>
      </c>
      <c r="G118" s="28">
        <v>0</v>
      </c>
      <c r="H118" s="24">
        <v>0</v>
      </c>
      <c r="I118" s="24">
        <v>0</v>
      </c>
      <c r="J118" s="24">
        <v>0</v>
      </c>
      <c r="K118" s="28">
        <v>0</v>
      </c>
      <c r="L118" s="28">
        <v>0</v>
      </c>
      <c r="M118" s="24">
        <v>0</v>
      </c>
      <c r="N118" s="28">
        <v>99.9</v>
      </c>
      <c r="O118" s="25">
        <v>0</v>
      </c>
      <c r="P118" s="25">
        <v>0</v>
      </c>
      <c r="Q118" s="28">
        <v>0</v>
      </c>
      <c r="R118" s="25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5">
        <v>0</v>
      </c>
      <c r="AB118" s="25">
        <v>0</v>
      </c>
      <c r="AC118" s="25">
        <v>0</v>
      </c>
      <c r="AD118" s="28">
        <v>0</v>
      </c>
      <c r="AE118" s="28">
        <v>0</v>
      </c>
      <c r="AF118" s="28">
        <v>0</v>
      </c>
      <c r="AG118" s="28">
        <v>0</v>
      </c>
      <c r="AH118" s="24">
        <v>0</v>
      </c>
      <c r="AI118" s="28">
        <v>100</v>
      </c>
      <c r="AJ118" s="13" t="str">
        <f xml:space="preserve"> IF(AD118&gt;F118,"Exceso en grasa saturada",IFERROR(IF(F118=0,"No tiene sello",IF((AD118*9)*100/F118&gt;10,"Exceso en grasa saturada","No tiene sello")),"No tiene sello"))</f>
        <v>No tiene sello</v>
      </c>
      <c r="AK118" s="13">
        <f>IF(AJ118="No tiene sello",0,1)</f>
        <v>0</v>
      </c>
      <c r="AL118" s="13" t="str">
        <f>IF(Q118&gt;=300,"Exceso en sodio",IFERROR(IF(AND(F118=0,Q118&gt;0),"No tiene sello",IF(Q118/F118&gt;1,"Exceso en sodio","No tiene sello")),"No tiene sello"))</f>
        <v>No tiene sello</v>
      </c>
      <c r="AM118" s="13" t="str">
        <f>IFERROR(IF(F118=0,"No tiene sello",IF(+(AG118/1000)*9*100/F118&gt;1,"Exceso en grasa trans", "No tiene sello")),"No tiene sello")</f>
        <v>No tiene sello</v>
      </c>
    </row>
    <row r="119" spans="1:39" ht="13.5" customHeight="1" x14ac:dyDescent="0.25">
      <c r="A119" s="20" t="s">
        <v>1797</v>
      </c>
      <c r="B119" s="32" t="s">
        <v>1798</v>
      </c>
      <c r="C119" s="20" t="s">
        <v>1834</v>
      </c>
      <c r="D119" s="46">
        <v>100</v>
      </c>
      <c r="E119" s="23">
        <v>3</v>
      </c>
      <c r="F119" s="24">
        <v>0</v>
      </c>
      <c r="G119" s="23">
        <v>0</v>
      </c>
      <c r="H119" s="24">
        <v>0</v>
      </c>
      <c r="I119" s="24">
        <v>0</v>
      </c>
      <c r="J119" s="24">
        <v>0</v>
      </c>
      <c r="K119" s="23">
        <v>0</v>
      </c>
      <c r="L119" s="23">
        <v>0</v>
      </c>
      <c r="M119" s="24">
        <v>0</v>
      </c>
      <c r="N119" s="23">
        <v>97</v>
      </c>
      <c r="O119" s="25">
        <v>20000</v>
      </c>
      <c r="P119" s="25">
        <v>0</v>
      </c>
      <c r="Q119" s="23">
        <v>0</v>
      </c>
      <c r="R119" s="25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5">
        <v>0</v>
      </c>
      <c r="AB119" s="25">
        <v>0</v>
      </c>
      <c r="AC119" s="25">
        <v>0</v>
      </c>
      <c r="AD119" s="23">
        <v>0</v>
      </c>
      <c r="AE119" s="23">
        <v>0</v>
      </c>
      <c r="AF119" s="23">
        <v>0</v>
      </c>
      <c r="AG119" s="23">
        <v>0</v>
      </c>
      <c r="AH119" s="24">
        <v>0</v>
      </c>
      <c r="AI119" s="23">
        <v>100</v>
      </c>
      <c r="AJ119" s="13" t="str">
        <f xml:space="preserve"> IF(AD119&gt;F119,"Exceso en grasa saturada",IFERROR(IF(F119=0,"No tiene sello",IF((AD119*9)*100/F119&gt;10,"Exceso en grasa saturada","No tiene sello")),"No tiene sello"))</f>
        <v>No tiene sello</v>
      </c>
      <c r="AK119" s="13">
        <f>IF(AJ119="No tiene sello",0,1)</f>
        <v>0</v>
      </c>
      <c r="AL119" s="13" t="str">
        <f>IF(Q119&gt;=300,"Exceso en sodio",IFERROR(IF(AND(F119=0,Q119&gt;0),"No tiene sello",IF(Q119/F119&gt;1,"Exceso en sodio","No tiene sello")),"No tiene sello"))</f>
        <v>No tiene sello</v>
      </c>
      <c r="AM119" s="13" t="str">
        <f>IFERROR(IF(F119=0,"No tiene sello",IF(+(AG119/1000)*9*100/F119&gt;1,"Exceso en grasa trans", "No tiene sello")),"No tiene sello")</f>
        <v>No tiene sello</v>
      </c>
    </row>
    <row r="120" spans="1:39" s="4" customFormat="1" ht="13.5" customHeight="1" x14ac:dyDescent="0.25">
      <c r="A120" s="26" t="s">
        <v>1799</v>
      </c>
      <c r="B120" s="26" t="s">
        <v>1800</v>
      </c>
      <c r="C120" s="27" t="s">
        <v>1836</v>
      </c>
      <c r="D120" s="22">
        <v>100</v>
      </c>
      <c r="E120" s="28">
        <v>0</v>
      </c>
      <c r="F120" s="24">
        <v>0</v>
      </c>
      <c r="G120" s="28">
        <v>0</v>
      </c>
      <c r="H120" s="24">
        <v>0</v>
      </c>
      <c r="I120" s="24">
        <v>0</v>
      </c>
      <c r="J120" s="24">
        <v>0</v>
      </c>
      <c r="K120" s="28">
        <v>0</v>
      </c>
      <c r="L120" s="28">
        <v>0</v>
      </c>
      <c r="M120" s="24">
        <v>0</v>
      </c>
      <c r="N120" s="28">
        <v>100</v>
      </c>
      <c r="O120" s="25">
        <v>0</v>
      </c>
      <c r="P120" s="25">
        <v>0</v>
      </c>
      <c r="Q120" s="28">
        <v>0</v>
      </c>
      <c r="R120" s="25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5">
        <v>0</v>
      </c>
      <c r="AB120" s="25">
        <v>0</v>
      </c>
      <c r="AC120" s="25">
        <v>0</v>
      </c>
      <c r="AD120" s="28">
        <v>0</v>
      </c>
      <c r="AE120" s="28">
        <v>0</v>
      </c>
      <c r="AF120" s="28">
        <v>0</v>
      </c>
      <c r="AG120" s="28">
        <v>0</v>
      </c>
      <c r="AH120" s="24">
        <v>0</v>
      </c>
      <c r="AI120" s="28">
        <v>100</v>
      </c>
      <c r="AJ120" s="13" t="str">
        <f xml:space="preserve"> IF(AD120&gt;F120,"Exceso en grasa saturada",IFERROR(IF(F120=0,"No tiene sello",IF((AD120*9)*100/F120&gt;10,"Exceso en grasa saturada","No tiene sello")),"No tiene sello"))</f>
        <v>No tiene sello</v>
      </c>
      <c r="AK120" s="13">
        <f>IF(AJ120="No tiene sello",0,1)</f>
        <v>0</v>
      </c>
      <c r="AL120" s="13" t="str">
        <f>IF(Q120&gt;=300,"Exceso en sodio",IFERROR(IF(AND(F120=0,Q120&gt;0),"No tiene sello",IF(Q120/F120&gt;1,"Exceso en sodio","No tiene sello")),"No tiene sello"))</f>
        <v>No tiene sello</v>
      </c>
      <c r="AM120" s="13" t="str">
        <f>IFERROR(IF(F120=0,"No tiene sello",IF(+(AG120/1000)*9*100/F120&gt;1,"Exceso en grasa trans", "No tiene sello")),"No tiene sello")</f>
        <v>No tiene sello</v>
      </c>
    </row>
    <row r="121" spans="1:39" ht="13.5" customHeight="1" x14ac:dyDescent="0.25">
      <c r="A121" s="26" t="s">
        <v>1840</v>
      </c>
      <c r="B121" s="38" t="s">
        <v>1842</v>
      </c>
      <c r="C121" s="27" t="s">
        <v>1839</v>
      </c>
      <c r="D121" s="46">
        <v>100</v>
      </c>
      <c r="E121" s="28">
        <v>1</v>
      </c>
      <c r="F121" s="24">
        <v>0</v>
      </c>
      <c r="G121" s="28">
        <v>0</v>
      </c>
      <c r="H121" s="24">
        <v>0</v>
      </c>
      <c r="I121" s="24">
        <v>0</v>
      </c>
      <c r="J121" s="24">
        <v>0</v>
      </c>
      <c r="K121" s="28">
        <v>0</v>
      </c>
      <c r="L121" s="28">
        <v>0</v>
      </c>
      <c r="M121" s="24">
        <v>0</v>
      </c>
      <c r="N121" s="28">
        <v>99</v>
      </c>
      <c r="O121" s="25">
        <v>0</v>
      </c>
      <c r="P121" s="25">
        <v>0</v>
      </c>
      <c r="Q121" s="40">
        <v>23930</v>
      </c>
      <c r="R121" s="25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100</v>
      </c>
      <c r="AJ121" s="13" t="str">
        <f xml:space="preserve"> IF(AD121&gt;F121,"Exceso en grasa saturada",IFERROR(IF(F121=0,"No tiene sello",IF((AD121*9)*100/F121&gt;10,"Exceso en grasa saturada","No tiene sello")),"No tiene sello"))</f>
        <v>No tiene sello</v>
      </c>
      <c r="AK121" s="13">
        <f>IF(AJ121="No tiene sello",0,1)</f>
        <v>0</v>
      </c>
      <c r="AL121" s="13" t="str">
        <f>IF(Q121&gt;=300,"Exceso en sodio",IFERROR(IF(AND(F121=0,Q121&gt;0),"No tiene sello",IF(Q121/F121&gt;1,"Exceso en sodio","No tiene sello")),"No tiene sello"))</f>
        <v>Exceso en sodio</v>
      </c>
      <c r="AM121" s="13" t="str">
        <f>IFERROR(IF(F121=0,"No tiene sello",IF(+(AG121/1000)*9*100/F121&gt;1,"Exceso en grasa trans", "No tiene sello")),"No tiene sello")</f>
        <v>No tiene sello</v>
      </c>
    </row>
    <row r="122" spans="1:39" ht="13.5" customHeight="1" x14ac:dyDescent="0.25">
      <c r="A122" s="38" t="s">
        <v>1841</v>
      </c>
      <c r="B122" s="38" t="s">
        <v>1870</v>
      </c>
      <c r="C122" s="41" t="s">
        <v>1834</v>
      </c>
      <c r="D122" s="22">
        <v>100</v>
      </c>
      <c r="E122" s="28">
        <v>2</v>
      </c>
      <c r="F122" s="24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98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>
        <v>0</v>
      </c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8">
        <v>100</v>
      </c>
      <c r="AJ122" s="13" t="str">
        <f xml:space="preserve"> IF(AD122&gt;F122,"Exceso en grasa saturada",IFERROR(IF(F122=0,"No tiene sello",IF((AD122*9)*100/F122&gt;10,"Exceso en grasa saturada","No tiene sello")),"No tiene sello"))</f>
        <v>No tiene sello</v>
      </c>
      <c r="AK122" s="13">
        <f>IF(AJ122="No tiene sello",0,1)</f>
        <v>0</v>
      </c>
      <c r="AL122" s="13" t="str">
        <f>IF(Q122&gt;=300,"Exceso en sodio",IFERROR(IF(AND(F122=0,Q122&gt;0),"No tiene sello",IF(Q122/F122&gt;1,"Exceso en sodio","No tiene sello")),"No tiene sello"))</f>
        <v>No tiene sello</v>
      </c>
      <c r="AM122" s="13" t="str">
        <f>IFERROR(IF(F122=0,"No tiene sello",IF(+(AG122/1000)*9*100/F122&gt;1,"Exceso en grasa trans", "No tiene sello")),"No tiene sello")</f>
        <v>No tiene sello</v>
      </c>
    </row>
    <row r="123" spans="1:39" ht="13.5" customHeight="1" x14ac:dyDescent="0.25">
      <c r="A123" s="38" t="s">
        <v>1869</v>
      </c>
      <c r="B123" s="26" t="s">
        <v>1863</v>
      </c>
      <c r="C123" s="27" t="s">
        <v>1845</v>
      </c>
      <c r="D123" s="46">
        <v>100</v>
      </c>
      <c r="E123" s="28">
        <v>0.3</v>
      </c>
      <c r="F123" s="24">
        <v>399</v>
      </c>
      <c r="G123" s="28">
        <v>1670</v>
      </c>
      <c r="H123" s="24">
        <v>0</v>
      </c>
      <c r="I123" s="24">
        <v>0</v>
      </c>
      <c r="J123" s="24">
        <v>99.7</v>
      </c>
      <c r="K123" s="28">
        <v>99.7</v>
      </c>
      <c r="L123" s="28">
        <v>0</v>
      </c>
      <c r="M123" s="24">
        <v>0</v>
      </c>
      <c r="N123" s="28">
        <v>0</v>
      </c>
      <c r="O123" s="25">
        <v>0</v>
      </c>
      <c r="P123" s="25">
        <v>0</v>
      </c>
      <c r="Q123" s="28">
        <v>0</v>
      </c>
      <c r="R123" s="25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5">
        <v>0</v>
      </c>
      <c r="AB123" s="25">
        <v>0</v>
      </c>
      <c r="AC123" s="25">
        <v>0</v>
      </c>
      <c r="AD123" s="28">
        <v>0</v>
      </c>
      <c r="AE123" s="28">
        <v>0</v>
      </c>
      <c r="AF123" s="28">
        <v>0</v>
      </c>
      <c r="AG123" s="28">
        <v>0</v>
      </c>
      <c r="AH123" s="24">
        <v>0</v>
      </c>
      <c r="AI123" s="28">
        <v>100</v>
      </c>
      <c r="AJ123" s="13" t="str">
        <f xml:space="preserve"> IF(AD123&gt;F123,"Exceso en grasa saturada",IFERROR(IF(F123=0,"No tiene sello",IF((AD123*9)*100/F123&gt;10,"Exceso en grasa saturada","No tiene sello")),"No tiene sello"))</f>
        <v>No tiene sello</v>
      </c>
      <c r="AK123" s="13">
        <f>IF(AJ123="No tiene sello",0,1)</f>
        <v>0</v>
      </c>
      <c r="AL123" s="13" t="str">
        <f>IF(Q123&gt;=300,"Exceso en sodio",IFERROR(IF(AND(F123=0,Q123&gt;0),"No tiene sello",IF(Q123/F123&gt;1,"Exceso en sodio","No tiene sello")),"No tiene sello"))</f>
        <v>No tiene sello</v>
      </c>
      <c r="AM123" s="13" t="str">
        <f>IFERROR(IF(F123=0,"No tiene sello",IF(+(AG123/1000)*9*100/F123&gt;1,"Exceso en grasa trans", "No tiene sello")),"No tiene sello")</f>
        <v>No tiene sello</v>
      </c>
    </row>
    <row r="124" spans="1:39" ht="13.5" customHeight="1" x14ac:dyDescent="0.25">
      <c r="A124" s="29" t="s">
        <v>1424</v>
      </c>
      <c r="B124" s="29" t="s">
        <v>1425</v>
      </c>
      <c r="C124" s="29" t="s">
        <v>1150</v>
      </c>
      <c r="D124" s="22">
        <v>100</v>
      </c>
      <c r="E124" s="31">
        <v>74.8</v>
      </c>
      <c r="F124" s="24">
        <v>176</v>
      </c>
      <c r="G124" s="31">
        <v>730</v>
      </c>
      <c r="H124" s="24">
        <v>1.1000000000000001</v>
      </c>
      <c r="I124" s="24">
        <v>14.7</v>
      </c>
      <c r="J124" s="24">
        <v>8.3000000000000007</v>
      </c>
      <c r="K124" s="31">
        <v>5</v>
      </c>
      <c r="L124" s="31">
        <v>0.83</v>
      </c>
      <c r="M124" s="24">
        <v>3.3</v>
      </c>
      <c r="N124" s="31">
        <v>1.1000000000000001</v>
      </c>
      <c r="O124" s="31">
        <v>52</v>
      </c>
      <c r="P124" s="31">
        <v>0.5</v>
      </c>
      <c r="Q124" s="31">
        <v>1556</v>
      </c>
      <c r="R124" s="31">
        <v>7</v>
      </c>
      <c r="S124" s="31">
        <v>0</v>
      </c>
      <c r="T124" s="31">
        <v>11</v>
      </c>
      <c r="U124" s="31">
        <v>42</v>
      </c>
      <c r="V124" s="31">
        <v>0.02</v>
      </c>
      <c r="W124" s="31">
        <v>0.01</v>
      </c>
      <c r="X124" s="31">
        <v>0.2</v>
      </c>
      <c r="Y124" s="31">
        <v>3</v>
      </c>
      <c r="Z124" s="31">
        <v>0</v>
      </c>
      <c r="AA124" s="31">
        <v>1</v>
      </c>
      <c r="AB124" s="31">
        <v>24</v>
      </c>
      <c r="AC124" s="31">
        <v>0</v>
      </c>
      <c r="AD124" s="31">
        <v>0</v>
      </c>
      <c r="AE124" s="31">
        <v>0</v>
      </c>
      <c r="AF124" s="31">
        <v>0</v>
      </c>
      <c r="AG124" s="31">
        <v>0</v>
      </c>
      <c r="AH124" s="31">
        <v>0</v>
      </c>
      <c r="AI124" s="31">
        <v>100</v>
      </c>
      <c r="AJ124" s="13" t="str">
        <f xml:space="preserve"> IF(AD124&gt;F124,"Exceso en grasa saturada",IFERROR(IF(F124=0,"No tiene sello",IF((AD124*9)*100/F124&gt;10,"Exceso en grasa saturada","No tiene sello")),"No tiene sello"))</f>
        <v>No tiene sello</v>
      </c>
      <c r="AK124" s="13">
        <f>IF(AJ124="No tiene sello",0,1)</f>
        <v>0</v>
      </c>
      <c r="AL124" s="13" t="str">
        <f>IF(Q124&gt;=300,"Exceso en sodio",IFERROR(IF(AND(F124=0,Q124&gt;0),"No tiene sello",IF(Q124/F124&gt;1,"Exceso en sodio","No tiene sello")),"No tiene sello"))</f>
        <v>Exceso en sodio</v>
      </c>
      <c r="AM124" s="13" t="str">
        <f>IFERROR(IF(F124=0,"No tiene sello",IF(+(AG124/1000)*9*100/F124&gt;1,"Exceso en grasa trans", "No tiene sello")),"No tiene sello")</f>
        <v>No tiene sello</v>
      </c>
    </row>
    <row r="125" spans="1:39" ht="13.5" customHeight="1" x14ac:dyDescent="0.25">
      <c r="A125" s="26" t="s">
        <v>1422</v>
      </c>
      <c r="B125" s="26" t="s">
        <v>1423</v>
      </c>
      <c r="C125" s="26" t="s">
        <v>1150</v>
      </c>
      <c r="D125" s="16">
        <v>100</v>
      </c>
      <c r="E125" s="28">
        <v>75.8</v>
      </c>
      <c r="F125" s="24">
        <v>153</v>
      </c>
      <c r="G125" s="28">
        <v>632</v>
      </c>
      <c r="H125" s="24">
        <v>1.2</v>
      </c>
      <c r="I125" s="24">
        <v>13.6</v>
      </c>
      <c r="J125" s="24">
        <v>4.8</v>
      </c>
      <c r="K125" s="28">
        <v>1.5</v>
      </c>
      <c r="L125" s="28">
        <v>0.48</v>
      </c>
      <c r="M125" s="24">
        <v>3.3</v>
      </c>
      <c r="N125" s="28">
        <v>4.5999999999999996</v>
      </c>
      <c r="O125" s="25">
        <v>56</v>
      </c>
      <c r="P125" s="25">
        <v>0.5</v>
      </c>
      <c r="Q125" s="28">
        <v>1842</v>
      </c>
      <c r="R125" s="25">
        <v>5</v>
      </c>
      <c r="S125" s="28">
        <v>0</v>
      </c>
      <c r="T125" s="28">
        <v>11</v>
      </c>
      <c r="U125" s="28">
        <v>42</v>
      </c>
      <c r="V125" s="28">
        <v>0.03</v>
      </c>
      <c r="W125" s="28">
        <v>0.01</v>
      </c>
      <c r="X125" s="28">
        <v>0</v>
      </c>
      <c r="Y125" s="28">
        <v>2</v>
      </c>
      <c r="Z125" s="28">
        <v>0</v>
      </c>
      <c r="AA125" s="25">
        <v>0</v>
      </c>
      <c r="AB125" s="25">
        <v>29</v>
      </c>
      <c r="AC125" s="25">
        <v>0</v>
      </c>
      <c r="AD125" s="28">
        <v>0</v>
      </c>
      <c r="AE125" s="28">
        <v>0</v>
      </c>
      <c r="AF125" s="28">
        <v>0</v>
      </c>
      <c r="AG125" s="28">
        <v>0</v>
      </c>
      <c r="AH125" s="24">
        <v>0</v>
      </c>
      <c r="AI125" s="28">
        <v>100</v>
      </c>
      <c r="AJ125" s="13" t="str">
        <f xml:space="preserve"> IF(AD125&gt;F125,"Exceso en grasa saturada",IFERROR(IF(F125=0,"No tiene sello",IF((AD125*9)*100/F125&gt;10,"Exceso en grasa saturada","No tiene sello")),"No tiene sello"))</f>
        <v>No tiene sello</v>
      </c>
      <c r="AK125" s="13">
        <f>IF(AJ125="No tiene sello",0,1)</f>
        <v>0</v>
      </c>
      <c r="AL125" s="13" t="str">
        <f>IF(Q125&gt;=300,"Exceso en sodio",IFERROR(IF(AND(F125=0,Q125&gt;0),"No tiene sello",IF(Q125/F125&gt;1,"Exceso en sodio","No tiene sello")),"No tiene sello"))</f>
        <v>Exceso en sodio</v>
      </c>
      <c r="AM125" s="13" t="str">
        <f>IFERROR(IF(F125=0,"No tiene sello",IF(+(AG125/1000)*9*100/F125&gt;1,"Exceso en grasa trans", "No tiene sello")),"No tiene sello")</f>
        <v>No tiene sello</v>
      </c>
    </row>
    <row r="126" spans="1:39" ht="13.5" customHeight="1" x14ac:dyDescent="0.25">
      <c r="A126" s="20" t="s">
        <v>1420</v>
      </c>
      <c r="B126" s="20" t="s">
        <v>1421</v>
      </c>
      <c r="C126" s="20" t="s">
        <v>176</v>
      </c>
      <c r="D126" s="22">
        <v>100</v>
      </c>
      <c r="E126" s="23">
        <v>90</v>
      </c>
      <c r="F126" s="24">
        <v>38</v>
      </c>
      <c r="G126" s="23">
        <v>161</v>
      </c>
      <c r="H126" s="24">
        <v>2.4</v>
      </c>
      <c r="I126" s="24">
        <v>0.2</v>
      </c>
      <c r="J126" s="24">
        <v>5.3</v>
      </c>
      <c r="K126" s="23">
        <v>2.5</v>
      </c>
      <c r="L126" s="23">
        <v>0.53</v>
      </c>
      <c r="M126" s="24">
        <v>2.8</v>
      </c>
      <c r="N126" s="23">
        <v>2.1</v>
      </c>
      <c r="O126" s="25">
        <v>49</v>
      </c>
      <c r="P126" s="25">
        <v>1.8</v>
      </c>
      <c r="Q126" s="23">
        <v>212</v>
      </c>
      <c r="R126" s="25">
        <v>52</v>
      </c>
      <c r="S126" s="23">
        <v>0.4</v>
      </c>
      <c r="T126" s="23">
        <v>81</v>
      </c>
      <c r="U126" s="23">
        <v>441</v>
      </c>
      <c r="V126" s="23">
        <v>7.0000000000000007E-2</v>
      </c>
      <c r="W126" s="23">
        <v>0.15</v>
      </c>
      <c r="X126" s="23">
        <v>0.4</v>
      </c>
      <c r="Y126" s="23">
        <v>165</v>
      </c>
      <c r="Z126" s="23">
        <v>0</v>
      </c>
      <c r="AA126" s="25">
        <v>30</v>
      </c>
      <c r="AB126" s="25">
        <v>413</v>
      </c>
      <c r="AC126" s="25">
        <v>0</v>
      </c>
      <c r="AD126" s="23">
        <v>0</v>
      </c>
      <c r="AE126" s="23">
        <v>0</v>
      </c>
      <c r="AF126" s="23">
        <v>0</v>
      </c>
      <c r="AG126" s="23">
        <v>0</v>
      </c>
      <c r="AH126" s="24">
        <v>0</v>
      </c>
      <c r="AI126" s="23">
        <v>85</v>
      </c>
      <c r="AJ126" s="13" t="str">
        <f xml:space="preserve"> IF(AD126&gt;F126,"Exceso en grasa saturada",IFERROR(IF(F126=0,"No tiene sello",IF((AD126*9)*100/F126&gt;10,"Exceso en grasa saturada","No tiene sello")),"No tiene sello"))</f>
        <v>No tiene sello</v>
      </c>
      <c r="AK126" s="13">
        <f>IF(AJ126="No tiene sello",0,1)</f>
        <v>0</v>
      </c>
      <c r="AL126" s="13" t="str">
        <f>IF(Q126&gt;=300,"Exceso en sodio",IFERROR(IF(AND(F126=0,Q126&gt;0),"No tiene sello",IF(Q126/F126&gt;1,"Exceso en sodio","No tiene sello")),"No tiene sello"))</f>
        <v>Exceso en sodio</v>
      </c>
      <c r="AM126" s="13" t="str">
        <f>IFERROR(IF(F126=0,"No tiene sello",IF(+(AG126/1000)*9*100/F126&gt;1,"Exceso en grasa trans", "No tiene sello")),"No tiene sello")</f>
        <v>No tiene sello</v>
      </c>
    </row>
    <row r="127" spans="1:39" ht="13.5" customHeight="1" x14ac:dyDescent="0.25">
      <c r="A127" s="33" t="s">
        <v>1418</v>
      </c>
      <c r="B127" s="33" t="s">
        <v>1419</v>
      </c>
      <c r="C127" s="33" t="s">
        <v>1298</v>
      </c>
      <c r="D127" s="16">
        <v>100</v>
      </c>
      <c r="E127" s="35">
        <v>94.5</v>
      </c>
      <c r="F127" s="24">
        <v>19</v>
      </c>
      <c r="G127" s="35">
        <v>79</v>
      </c>
      <c r="H127" s="24">
        <v>0.8</v>
      </c>
      <c r="I127" s="24">
        <v>0.1</v>
      </c>
      <c r="J127" s="24">
        <v>3</v>
      </c>
      <c r="K127" s="35">
        <v>1.6</v>
      </c>
      <c r="L127" s="35">
        <v>0.3</v>
      </c>
      <c r="M127" s="24">
        <v>1.4</v>
      </c>
      <c r="N127" s="35">
        <v>1.6</v>
      </c>
      <c r="O127" s="35">
        <v>31</v>
      </c>
      <c r="P127" s="35">
        <v>0.8</v>
      </c>
      <c r="Q127" s="35">
        <v>150</v>
      </c>
      <c r="R127" s="35">
        <v>14</v>
      </c>
      <c r="S127" s="35">
        <v>0.3</v>
      </c>
      <c r="T127" s="35">
        <v>10</v>
      </c>
      <c r="U127" s="35">
        <v>427</v>
      </c>
      <c r="V127" s="35">
        <v>0.02</v>
      </c>
      <c r="W127" s="35">
        <v>0.03</v>
      </c>
      <c r="X127" s="35">
        <v>0.1</v>
      </c>
      <c r="Y127" s="35">
        <v>22</v>
      </c>
      <c r="Z127" s="35">
        <v>0</v>
      </c>
      <c r="AA127" s="35">
        <v>3</v>
      </c>
      <c r="AB127" s="35">
        <v>263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100</v>
      </c>
      <c r="AJ127" s="13" t="str">
        <f xml:space="preserve"> IF(AD127&gt;F127,"Exceso en grasa saturada",IFERROR(IF(F127=0,"No tiene sello",IF((AD127*9)*100/F127&gt;10,"Exceso en grasa saturada","No tiene sello")),"No tiene sello"))</f>
        <v>No tiene sello</v>
      </c>
      <c r="AK127" s="13">
        <f>IF(AJ127="No tiene sello",0,1)</f>
        <v>0</v>
      </c>
      <c r="AL127" s="13" t="str">
        <f>IF(Q127&gt;=300,"Exceso en sodio",IFERROR(IF(AND(F127=0,Q127&gt;0),"No tiene sello",IF(Q127/F127&gt;1,"Exceso en sodio","No tiene sello")),"No tiene sello"))</f>
        <v>Exceso en sodio</v>
      </c>
      <c r="AM127" s="13" t="str">
        <f>IFERROR(IF(F127=0,"No tiene sello",IF(+(AG127/1000)*9*100/F127&gt;1,"Exceso en grasa trans", "No tiene sello")),"No tiene sello")</f>
        <v>No tiene sello</v>
      </c>
    </row>
    <row r="128" spans="1:39" ht="13.5" customHeight="1" x14ac:dyDescent="0.25">
      <c r="A128" s="20" t="s">
        <v>1416</v>
      </c>
      <c r="B128" s="20" t="s">
        <v>1417</v>
      </c>
      <c r="C128" s="20" t="s">
        <v>154</v>
      </c>
      <c r="D128" s="22">
        <v>100</v>
      </c>
      <c r="E128" s="23">
        <v>89.2</v>
      </c>
      <c r="F128" s="24">
        <v>48</v>
      </c>
      <c r="G128" s="23">
        <v>201</v>
      </c>
      <c r="H128" s="24">
        <v>0.7</v>
      </c>
      <c r="I128" s="24">
        <v>0.7</v>
      </c>
      <c r="J128" s="24">
        <v>8.4</v>
      </c>
      <c r="K128" s="23">
        <v>5.9</v>
      </c>
      <c r="L128" s="23">
        <v>0.84</v>
      </c>
      <c r="M128" s="24">
        <v>2.5</v>
      </c>
      <c r="N128" s="23">
        <v>1</v>
      </c>
      <c r="O128" s="25">
        <v>14</v>
      </c>
      <c r="P128" s="25">
        <v>0.3</v>
      </c>
      <c r="Q128" s="23">
        <v>1</v>
      </c>
      <c r="R128" s="25">
        <v>24</v>
      </c>
      <c r="S128" s="23">
        <v>0.2</v>
      </c>
      <c r="T128" s="23">
        <v>11</v>
      </c>
      <c r="U128" s="23">
        <v>218</v>
      </c>
      <c r="V128" s="23">
        <v>0.05</v>
      </c>
      <c r="W128" s="23">
        <v>0.04</v>
      </c>
      <c r="X128" s="23">
        <v>0.3</v>
      </c>
      <c r="Y128" s="23">
        <v>0</v>
      </c>
      <c r="Z128" s="23">
        <v>0</v>
      </c>
      <c r="AA128" s="25">
        <v>3</v>
      </c>
      <c r="AB128" s="25">
        <v>1093</v>
      </c>
      <c r="AC128" s="25">
        <v>0</v>
      </c>
      <c r="AD128" s="23">
        <v>0</v>
      </c>
      <c r="AE128" s="23">
        <v>0</v>
      </c>
      <c r="AF128" s="23">
        <v>0</v>
      </c>
      <c r="AG128" s="23">
        <v>0</v>
      </c>
      <c r="AH128" s="24">
        <v>0</v>
      </c>
      <c r="AI128" s="23">
        <v>100</v>
      </c>
      <c r="AJ128" s="13" t="str">
        <f xml:space="preserve"> IF(AD128&gt;F128,"Exceso en grasa saturada",IFERROR(IF(F128=0,"No tiene sello",IF((AD128*9)*100/F128&gt;10,"Exceso en grasa saturada","No tiene sello")),"No tiene sello"))</f>
        <v>No tiene sello</v>
      </c>
      <c r="AK128" s="13">
        <f>IF(AJ128="No tiene sello",0,1)</f>
        <v>0</v>
      </c>
      <c r="AL128" s="13" t="str">
        <f>IF(Q128&gt;=300,"Exceso en sodio",IFERROR(IF(AND(F128=0,Q128&gt;0),"No tiene sello",IF(Q128/F128&gt;1,"Exceso en sodio","No tiene sello")),"No tiene sello"))</f>
        <v>No tiene sello</v>
      </c>
      <c r="AM128" s="13" t="str">
        <f>IFERROR(IF(F128=0,"No tiene sello",IF(+(AG128/1000)*9*100/F128&gt;1,"Exceso en grasa trans", "No tiene sello")),"No tiene sello")</f>
        <v>No tiene sello</v>
      </c>
    </row>
    <row r="129" spans="1:39" s="5" customFormat="1" ht="13.5" customHeight="1" x14ac:dyDescent="0.25">
      <c r="A129" s="26" t="s">
        <v>1414</v>
      </c>
      <c r="B129" s="26" t="s">
        <v>1415</v>
      </c>
      <c r="C129" s="26" t="s">
        <v>154</v>
      </c>
      <c r="D129" s="16">
        <v>100</v>
      </c>
      <c r="E129" s="28">
        <v>92.7</v>
      </c>
      <c r="F129" s="24">
        <v>30</v>
      </c>
      <c r="G129" s="28">
        <v>126</v>
      </c>
      <c r="H129" s="24">
        <v>0.8</v>
      </c>
      <c r="I129" s="24">
        <v>0.2</v>
      </c>
      <c r="J129" s="24">
        <v>5.8</v>
      </c>
      <c r="K129" s="28">
        <v>4.7</v>
      </c>
      <c r="L129" s="28">
        <v>0.57999999999999996</v>
      </c>
      <c r="M129" s="24">
        <v>1.1000000000000001</v>
      </c>
      <c r="N129" s="28">
        <v>0.6</v>
      </c>
      <c r="O129" s="25">
        <v>20</v>
      </c>
      <c r="P129" s="25">
        <v>0.8</v>
      </c>
      <c r="Q129" s="28">
        <v>1</v>
      </c>
      <c r="R129" s="25">
        <v>34</v>
      </c>
      <c r="S129" s="28">
        <v>0.2</v>
      </c>
      <c r="T129" s="28">
        <v>12</v>
      </c>
      <c r="U129" s="28">
        <v>340</v>
      </c>
      <c r="V129" s="28">
        <v>0.05</v>
      </c>
      <c r="W129" s="28">
        <v>0.05</v>
      </c>
      <c r="X129" s="28">
        <v>0.6</v>
      </c>
      <c r="Y129" s="28">
        <v>16</v>
      </c>
      <c r="Z129" s="28">
        <v>0</v>
      </c>
      <c r="AA129" s="25">
        <v>9</v>
      </c>
      <c r="AB129" s="25">
        <v>1775</v>
      </c>
      <c r="AC129" s="25">
        <v>0</v>
      </c>
      <c r="AD129" s="28">
        <v>0</v>
      </c>
      <c r="AE129" s="28">
        <v>0</v>
      </c>
      <c r="AF129" s="28">
        <v>0</v>
      </c>
      <c r="AG129" s="28">
        <v>0</v>
      </c>
      <c r="AH129" s="24">
        <v>0</v>
      </c>
      <c r="AI129" s="28">
        <v>85</v>
      </c>
      <c r="AJ129" s="13" t="str">
        <f xml:space="preserve"> IF(AD129&gt;F129,"Exceso en grasa saturada",IFERROR(IF(F129=0,"No tiene sello",IF((AD129*9)*100/F129&gt;10,"Exceso en grasa saturada","No tiene sello")),"No tiene sello"))</f>
        <v>No tiene sello</v>
      </c>
      <c r="AK129" s="13">
        <f>IF(AJ129="No tiene sello",0,1)</f>
        <v>0</v>
      </c>
      <c r="AL129" s="13" t="str">
        <f>IF(Q129&gt;=300,"Exceso en sodio",IFERROR(IF(AND(F129=0,Q129&gt;0),"No tiene sello",IF(Q129/F129&gt;1,"Exceso en sodio","No tiene sello")),"No tiene sello"))</f>
        <v>No tiene sello</v>
      </c>
      <c r="AM129" s="13" t="str">
        <f>IFERROR(IF(F129=0,"No tiene sello",IF(+(AG129/1000)*9*100/F129&gt;1,"Exceso en grasa trans", "No tiene sello")),"No tiene sello")</f>
        <v>No tiene sello</v>
      </c>
    </row>
    <row r="130" spans="1:39" ht="13.5" customHeight="1" x14ac:dyDescent="0.25">
      <c r="A130" s="20" t="s">
        <v>1412</v>
      </c>
      <c r="B130" s="20" t="s">
        <v>1413</v>
      </c>
      <c r="C130" s="20" t="s">
        <v>154</v>
      </c>
      <c r="D130" s="22">
        <v>100</v>
      </c>
      <c r="E130" s="23">
        <v>91.9</v>
      </c>
      <c r="F130" s="24">
        <v>42</v>
      </c>
      <c r="G130" s="23">
        <v>177</v>
      </c>
      <c r="H130" s="24">
        <v>1</v>
      </c>
      <c r="I130" s="24">
        <v>1.6</v>
      </c>
      <c r="J130" s="24">
        <v>5.0999999999999996</v>
      </c>
      <c r="K130" s="23">
        <v>3.3</v>
      </c>
      <c r="L130" s="23">
        <v>4.08</v>
      </c>
      <c r="M130" s="24">
        <v>1.8</v>
      </c>
      <c r="N130" s="23">
        <v>0.5</v>
      </c>
      <c r="O130" s="25">
        <v>13</v>
      </c>
      <c r="P130" s="25">
        <v>1</v>
      </c>
      <c r="Q130" s="23">
        <v>2</v>
      </c>
      <c r="R130" s="25">
        <v>29</v>
      </c>
      <c r="S130" s="23">
        <v>0.2</v>
      </c>
      <c r="T130" s="23">
        <v>12</v>
      </c>
      <c r="U130" s="23">
        <v>211</v>
      </c>
      <c r="V130" s="23">
        <v>7.0000000000000007E-2</v>
      </c>
      <c r="W130" s="23">
        <v>0.09</v>
      </c>
      <c r="X130" s="23">
        <v>1.6</v>
      </c>
      <c r="Y130" s="23">
        <v>18</v>
      </c>
      <c r="Z130" s="23">
        <v>0</v>
      </c>
      <c r="AA130" s="25">
        <v>100</v>
      </c>
      <c r="AB130" s="25">
        <v>460</v>
      </c>
      <c r="AC130" s="25">
        <v>0</v>
      </c>
      <c r="AD130" s="23">
        <v>0</v>
      </c>
      <c r="AE130" s="23">
        <v>0</v>
      </c>
      <c r="AF130" s="23">
        <v>0</v>
      </c>
      <c r="AG130" s="23">
        <v>0</v>
      </c>
      <c r="AH130" s="24">
        <v>0</v>
      </c>
      <c r="AI130" s="23">
        <v>90</v>
      </c>
      <c r="AJ130" s="13" t="str">
        <f xml:space="preserve"> IF(AD130&gt;F130,"Exceso en grasa saturada",IFERROR(IF(F130=0,"No tiene sello",IF((AD130*9)*100/F130&gt;10,"Exceso en grasa saturada","No tiene sello")),"No tiene sello"))</f>
        <v>No tiene sello</v>
      </c>
      <c r="AK130" s="13">
        <f>IF(AJ130="No tiene sello",0,1)</f>
        <v>0</v>
      </c>
      <c r="AL130" s="13" t="str">
        <f>IF(Q130&gt;=300,"Exceso en sodio",IFERROR(IF(AND(F130=0,Q130&gt;0),"No tiene sello",IF(Q130/F130&gt;1,"Exceso en sodio","No tiene sello")),"No tiene sello"))</f>
        <v>No tiene sello</v>
      </c>
      <c r="AM130" s="13" t="str">
        <f>IFERROR(IF(F130=0,"No tiene sello",IF(+(AG130/1000)*9*100/F130&gt;1,"Exceso en grasa trans", "No tiene sello")),"No tiene sello")</f>
        <v>No tiene sello</v>
      </c>
    </row>
    <row r="131" spans="1:39" ht="13.5" customHeight="1" x14ac:dyDescent="0.25">
      <c r="A131" s="26" t="s">
        <v>1410</v>
      </c>
      <c r="B131" s="26" t="s">
        <v>1411</v>
      </c>
      <c r="C131" s="26" t="s">
        <v>154</v>
      </c>
      <c r="D131" s="16">
        <v>100</v>
      </c>
      <c r="E131" s="28">
        <v>80.099999999999994</v>
      </c>
      <c r="F131" s="24">
        <v>80</v>
      </c>
      <c r="G131" s="28">
        <v>338</v>
      </c>
      <c r="H131" s="24">
        <v>1.7</v>
      </c>
      <c r="I131" s="24">
        <v>0.4</v>
      </c>
      <c r="J131" s="24">
        <v>16.600000000000001</v>
      </c>
      <c r="K131" s="28">
        <v>15.1</v>
      </c>
      <c r="L131" s="28">
        <v>1.66</v>
      </c>
      <c r="M131" s="24">
        <v>1.5</v>
      </c>
      <c r="N131" s="28">
        <v>1.2</v>
      </c>
      <c r="O131" s="25">
        <v>19</v>
      </c>
      <c r="P131" s="25">
        <v>1.1000000000000001</v>
      </c>
      <c r="Q131" s="28">
        <v>8</v>
      </c>
      <c r="R131" s="25">
        <v>48</v>
      </c>
      <c r="S131" s="28">
        <v>0.3</v>
      </c>
      <c r="T131" s="28">
        <v>23</v>
      </c>
      <c r="U131" s="28">
        <v>334</v>
      </c>
      <c r="V131" s="28">
        <v>0.08</v>
      </c>
      <c r="W131" s="28">
        <v>0.12</v>
      </c>
      <c r="X131" s="28">
        <v>1.4</v>
      </c>
      <c r="Y131" s="28">
        <v>23</v>
      </c>
      <c r="Z131" s="28">
        <v>0</v>
      </c>
      <c r="AA131" s="25">
        <v>234</v>
      </c>
      <c r="AB131" s="25">
        <v>544</v>
      </c>
      <c r="AC131" s="25">
        <v>0</v>
      </c>
      <c r="AD131" s="28">
        <v>0</v>
      </c>
      <c r="AE131" s="28">
        <v>0</v>
      </c>
      <c r="AF131" s="28">
        <v>0</v>
      </c>
      <c r="AG131" s="28">
        <v>0</v>
      </c>
      <c r="AH131" s="24">
        <v>0</v>
      </c>
      <c r="AI131" s="28">
        <v>90</v>
      </c>
      <c r="AJ131" s="13" t="str">
        <f xml:space="preserve"> IF(AD131&gt;F131,"Exceso en grasa saturada",IFERROR(IF(F131=0,"No tiene sello",IF((AD131*9)*100/F131&gt;10,"Exceso en grasa saturada","No tiene sello")),"No tiene sello"))</f>
        <v>No tiene sello</v>
      </c>
      <c r="AK131" s="13">
        <f>IF(AJ131="No tiene sello",0,1)</f>
        <v>0</v>
      </c>
      <c r="AL131" s="13" t="str">
        <f>IF(Q131&gt;=300,"Exceso en sodio",IFERROR(IF(AND(F131=0,Q131&gt;0),"No tiene sello",IF(Q131/F131&gt;1,"Exceso en sodio","No tiene sello")),"No tiene sello"))</f>
        <v>No tiene sello</v>
      </c>
      <c r="AM131" s="13" t="str">
        <f>IFERROR(IF(F131=0,"No tiene sello",IF(+(AG131/1000)*9*100/F131&gt;1,"Exceso en grasa trans", "No tiene sello")),"No tiene sello")</f>
        <v>No tiene sello</v>
      </c>
    </row>
    <row r="132" spans="1:39" ht="13.5" customHeight="1" x14ac:dyDescent="0.25">
      <c r="A132" s="20" t="s">
        <v>1408</v>
      </c>
      <c r="B132" s="20" t="s">
        <v>1409</v>
      </c>
      <c r="C132" s="20" t="s">
        <v>143</v>
      </c>
      <c r="D132" s="22">
        <v>100</v>
      </c>
      <c r="E132" s="23">
        <v>64.2</v>
      </c>
      <c r="F132" s="24">
        <v>144</v>
      </c>
      <c r="G132" s="23">
        <v>611</v>
      </c>
      <c r="H132" s="24">
        <v>4.7</v>
      </c>
      <c r="I132" s="24">
        <v>0.3</v>
      </c>
      <c r="J132" s="24">
        <v>29.3</v>
      </c>
      <c r="K132" s="23">
        <v>26.5</v>
      </c>
      <c r="L132" s="23">
        <v>2.93</v>
      </c>
      <c r="M132" s="24">
        <v>2.8</v>
      </c>
      <c r="N132" s="23">
        <v>1.5</v>
      </c>
      <c r="O132" s="25">
        <v>40</v>
      </c>
      <c r="P132" s="25">
        <v>1.3</v>
      </c>
      <c r="Q132" s="23">
        <v>19</v>
      </c>
      <c r="R132" s="25">
        <v>135</v>
      </c>
      <c r="S132" s="23">
        <v>1</v>
      </c>
      <c r="T132" s="23">
        <v>23</v>
      </c>
      <c r="U132" s="23">
        <v>520</v>
      </c>
      <c r="V132" s="23">
        <v>0.12</v>
      </c>
      <c r="W132" s="23">
        <v>7.0000000000000007E-2</v>
      </c>
      <c r="X132" s="23">
        <v>0.7</v>
      </c>
      <c r="Y132" s="23">
        <v>4</v>
      </c>
      <c r="Z132" s="23">
        <v>0</v>
      </c>
      <c r="AA132" s="25">
        <v>9</v>
      </c>
      <c r="AB132" s="25">
        <v>0</v>
      </c>
      <c r="AC132" s="25">
        <v>0</v>
      </c>
      <c r="AD132" s="23">
        <v>0</v>
      </c>
      <c r="AE132" s="23">
        <v>0</v>
      </c>
      <c r="AF132" s="23">
        <v>0</v>
      </c>
      <c r="AG132" s="23">
        <v>0</v>
      </c>
      <c r="AH132" s="24">
        <v>0</v>
      </c>
      <c r="AI132" s="23">
        <v>95</v>
      </c>
      <c r="AJ132" s="13" t="str">
        <f xml:space="preserve"> IF(AD132&gt;F132,"Exceso en grasa saturada",IFERROR(IF(F132=0,"No tiene sello",IF((AD132*9)*100/F132&gt;10,"Exceso en grasa saturada","No tiene sello")),"No tiene sello"))</f>
        <v>No tiene sello</v>
      </c>
      <c r="AK132" s="13">
        <f>IF(AJ132="No tiene sello",0,1)</f>
        <v>0</v>
      </c>
      <c r="AL132" s="13" t="str">
        <f>IF(Q132&gt;=300,"Exceso en sodio",IFERROR(IF(AND(F132=0,Q132&gt;0),"No tiene sello",IF(Q132/F132&gt;1,"Exceso en sodio","No tiene sello")),"No tiene sello"))</f>
        <v>No tiene sello</v>
      </c>
      <c r="AM132" s="13" t="str">
        <f>IFERROR(IF(F132=0,"No tiene sello",IF(+(AG132/1000)*9*100/F132&gt;1,"Exceso en grasa trans", "No tiene sello")),"No tiene sello")</f>
        <v>No tiene sello</v>
      </c>
    </row>
    <row r="133" spans="1:39" ht="13.5" customHeight="1" x14ac:dyDescent="0.25">
      <c r="A133" s="26" t="s">
        <v>1406</v>
      </c>
      <c r="B133" s="26" t="s">
        <v>1407</v>
      </c>
      <c r="C133" s="26" t="s">
        <v>1347</v>
      </c>
      <c r="D133" s="16">
        <v>100</v>
      </c>
      <c r="E133" s="28">
        <v>86.4</v>
      </c>
      <c r="F133" s="24">
        <v>61</v>
      </c>
      <c r="G133" s="28">
        <v>257</v>
      </c>
      <c r="H133" s="24">
        <v>2.6</v>
      </c>
      <c r="I133" s="24">
        <v>0.2</v>
      </c>
      <c r="J133" s="24">
        <v>9.6999999999999993</v>
      </c>
      <c r="K133" s="28">
        <v>4.5999999999999996</v>
      </c>
      <c r="L133" s="28">
        <v>0.97</v>
      </c>
      <c r="M133" s="24">
        <v>5.0999999999999996</v>
      </c>
      <c r="N133" s="28">
        <v>1.1000000000000001</v>
      </c>
      <c r="O133" s="25">
        <v>47</v>
      </c>
      <c r="P133" s="25">
        <v>0.9</v>
      </c>
      <c r="Q133" s="28">
        <v>94</v>
      </c>
      <c r="R133" s="25">
        <v>66</v>
      </c>
      <c r="S133" s="28">
        <v>0.5</v>
      </c>
      <c r="T133" s="28">
        <v>60</v>
      </c>
      <c r="U133" s="28">
        <v>368</v>
      </c>
      <c r="V133" s="28">
        <v>0.06</v>
      </c>
      <c r="W133" s="28">
        <v>0.06</v>
      </c>
      <c r="X133" s="28">
        <v>0.8</v>
      </c>
      <c r="Y133" s="28">
        <v>68</v>
      </c>
      <c r="Z133" s="28">
        <v>0</v>
      </c>
      <c r="AA133" s="25">
        <v>10</v>
      </c>
      <c r="AB133" s="25">
        <v>6</v>
      </c>
      <c r="AC133" s="25">
        <v>0</v>
      </c>
      <c r="AD133" s="28">
        <v>0</v>
      </c>
      <c r="AE133" s="28">
        <v>0</v>
      </c>
      <c r="AF133" s="28">
        <v>0</v>
      </c>
      <c r="AG133" s="28">
        <v>0</v>
      </c>
      <c r="AH133" s="24">
        <v>0</v>
      </c>
      <c r="AI133" s="28">
        <v>30</v>
      </c>
      <c r="AJ133" s="13" t="str">
        <f xml:space="preserve"> IF(AD133&gt;F133,"Exceso en grasa saturada",IFERROR(IF(F133=0,"No tiene sello",IF((AD133*9)*100/F133&gt;10,"Exceso en grasa saturada","No tiene sello")),"No tiene sello"))</f>
        <v>No tiene sello</v>
      </c>
      <c r="AK133" s="13">
        <f>IF(AJ133="No tiene sello",0,1)</f>
        <v>0</v>
      </c>
      <c r="AL133" s="13" t="str">
        <f>IF(Q133&gt;=300,"Exceso en sodio",IFERROR(IF(AND(F133=0,Q133&gt;0),"No tiene sello",IF(Q133/F133&gt;1,"Exceso en sodio","No tiene sello")),"No tiene sello"))</f>
        <v>Exceso en sodio</v>
      </c>
      <c r="AM133" s="13" t="str">
        <f>IFERROR(IF(F133=0,"No tiene sello",IF(+(AG133/1000)*9*100/F133&gt;1,"Exceso en grasa trans", "No tiene sello")),"No tiene sello")</f>
        <v>No tiene sello</v>
      </c>
    </row>
    <row r="134" spans="1:39" ht="13.5" customHeight="1" x14ac:dyDescent="0.25">
      <c r="A134" s="20" t="s">
        <v>1404</v>
      </c>
      <c r="B134" s="20" t="s">
        <v>1405</v>
      </c>
      <c r="C134" s="20" t="s">
        <v>143</v>
      </c>
      <c r="D134" s="22">
        <v>100</v>
      </c>
      <c r="E134" s="23">
        <v>85</v>
      </c>
      <c r="F134" s="24">
        <v>39</v>
      </c>
      <c r="G134" s="23">
        <v>161</v>
      </c>
      <c r="H134" s="24">
        <v>2.2999999999999998</v>
      </c>
      <c r="I134" s="24">
        <v>0.9</v>
      </c>
      <c r="J134" s="24">
        <v>3.8</v>
      </c>
      <c r="K134" s="23">
        <v>0.6</v>
      </c>
      <c r="L134" s="23">
        <v>0.38</v>
      </c>
      <c r="M134" s="24">
        <v>3.2</v>
      </c>
      <c r="N134" s="23">
        <v>8</v>
      </c>
      <c r="O134" s="25">
        <v>40</v>
      </c>
      <c r="P134" s="25">
        <v>1.7</v>
      </c>
      <c r="Q134" s="23">
        <v>2348</v>
      </c>
      <c r="R134" s="25">
        <v>8</v>
      </c>
      <c r="S134" s="23">
        <v>0.3</v>
      </c>
      <c r="T134" s="23">
        <v>33</v>
      </c>
      <c r="U134" s="23">
        <v>40</v>
      </c>
      <c r="V134" s="23">
        <v>0.02</v>
      </c>
      <c r="W134" s="23">
        <v>0.15</v>
      </c>
      <c r="X134" s="23">
        <v>0.7</v>
      </c>
      <c r="Y134" s="23">
        <v>23</v>
      </c>
      <c r="Z134" s="23">
        <v>0</v>
      </c>
      <c r="AA134" s="25">
        <v>4</v>
      </c>
      <c r="AB134" s="25">
        <v>1</v>
      </c>
      <c r="AC134" s="25">
        <v>0</v>
      </c>
      <c r="AD134" s="23">
        <v>0</v>
      </c>
      <c r="AE134" s="23">
        <v>0</v>
      </c>
      <c r="AF134" s="23">
        <v>0</v>
      </c>
      <c r="AG134" s="23">
        <v>0</v>
      </c>
      <c r="AH134" s="24">
        <v>0</v>
      </c>
      <c r="AI134" s="23">
        <v>100</v>
      </c>
      <c r="AJ134" s="13" t="str">
        <f xml:space="preserve"> IF(AD134&gt;F134,"Exceso en grasa saturada",IFERROR(IF(F134=0,"No tiene sello",IF((AD134*9)*100/F134&gt;10,"Exceso en grasa saturada","No tiene sello")),"No tiene sello"))</f>
        <v>No tiene sello</v>
      </c>
      <c r="AK134" s="13">
        <f>IF(AJ134="No tiene sello",0,1)</f>
        <v>0</v>
      </c>
      <c r="AL134" s="13" t="str">
        <f>IF(Q134&gt;=300,"Exceso en sodio",IFERROR(IF(AND(F134=0,Q134&gt;0),"No tiene sello",IF(Q134/F134&gt;1,"Exceso en sodio","No tiene sello")),"No tiene sello"))</f>
        <v>Exceso en sodio</v>
      </c>
      <c r="AM134" s="13" t="str">
        <f>IFERROR(IF(F134=0,"No tiene sello",IF(+(AG134/1000)*9*100/F134&gt;1,"Exceso en grasa trans", "No tiene sello")),"No tiene sello")</f>
        <v>No tiene sello</v>
      </c>
    </row>
    <row r="135" spans="1:39" ht="13.5" customHeight="1" x14ac:dyDescent="0.25">
      <c r="A135" s="26" t="s">
        <v>1402</v>
      </c>
      <c r="B135" s="26" t="s">
        <v>1403</v>
      </c>
      <c r="C135" s="27"/>
      <c r="D135" s="16">
        <v>100</v>
      </c>
      <c r="E135" s="28">
        <v>17.100000000000001</v>
      </c>
      <c r="F135" s="24">
        <v>331</v>
      </c>
      <c r="G135" s="28">
        <v>1407</v>
      </c>
      <c r="H135" s="24">
        <v>0.4</v>
      </c>
      <c r="I135" s="24">
        <v>0.1</v>
      </c>
      <c r="J135" s="24">
        <v>82.1</v>
      </c>
      <c r="K135" s="28">
        <v>82.1</v>
      </c>
      <c r="L135" s="28">
        <v>0.1</v>
      </c>
      <c r="M135" s="24">
        <v>0</v>
      </c>
      <c r="N135" s="28">
        <v>0.3</v>
      </c>
      <c r="O135" s="25">
        <v>0</v>
      </c>
      <c r="P135" s="25">
        <v>0</v>
      </c>
      <c r="Q135" s="28">
        <v>0</v>
      </c>
      <c r="R135" s="25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5">
        <v>0</v>
      </c>
      <c r="AB135" s="25">
        <v>0</v>
      </c>
      <c r="AC135" s="25">
        <v>0</v>
      </c>
      <c r="AD135" s="28">
        <v>0</v>
      </c>
      <c r="AE135" s="28">
        <v>0</v>
      </c>
      <c r="AF135" s="28">
        <v>0</v>
      </c>
      <c r="AG135" s="28">
        <v>0</v>
      </c>
      <c r="AH135" s="24">
        <v>0</v>
      </c>
      <c r="AI135" s="28">
        <v>100</v>
      </c>
      <c r="AJ135" s="13" t="str">
        <f xml:space="preserve"> IF(AD135&gt;F135,"Exceso en grasa saturada",IFERROR(IF(F135=0,"No tiene sello",IF((AD135*9)*100/F135&gt;10,"Exceso en grasa saturada","No tiene sello")),"No tiene sello"))</f>
        <v>No tiene sello</v>
      </c>
      <c r="AK135" s="13">
        <f>IF(AJ135="No tiene sello",0,1)</f>
        <v>0</v>
      </c>
      <c r="AL135" s="13" t="str">
        <f>IF(Q135&gt;=300,"Exceso en sodio",IFERROR(IF(AND(F135=0,Q135&gt;0),"No tiene sello",IF(Q135/F135&gt;1,"Exceso en sodio","No tiene sello")),"No tiene sello"))</f>
        <v>No tiene sello</v>
      </c>
      <c r="AM135" s="13" t="str">
        <f>IFERROR(IF(F135=0,"No tiene sello",IF(+(AG135/1000)*9*100/F135&gt;1,"Exceso en grasa trans", "No tiene sello")),"No tiene sello")</f>
        <v>No tiene sello</v>
      </c>
    </row>
    <row r="136" spans="1:39" s="4" customFormat="1" ht="13.5" customHeight="1" x14ac:dyDescent="0.25">
      <c r="A136" s="20" t="s">
        <v>1400</v>
      </c>
      <c r="B136" s="20" t="s">
        <v>1401</v>
      </c>
      <c r="C136" s="21"/>
      <c r="D136" s="22">
        <v>100</v>
      </c>
      <c r="E136" s="23">
        <v>15.1</v>
      </c>
      <c r="F136" s="24">
        <v>340</v>
      </c>
      <c r="G136" s="23">
        <v>1445</v>
      </c>
      <c r="H136" s="24">
        <v>0.4</v>
      </c>
      <c r="I136" s="24">
        <v>0.4</v>
      </c>
      <c r="J136" s="24">
        <v>83.6</v>
      </c>
      <c r="K136" s="23">
        <v>83.3</v>
      </c>
      <c r="L136" s="23">
        <v>0.1</v>
      </c>
      <c r="M136" s="24">
        <v>0.3</v>
      </c>
      <c r="N136" s="23">
        <v>0.5</v>
      </c>
      <c r="O136" s="25">
        <v>27</v>
      </c>
      <c r="P136" s="25">
        <v>0.4</v>
      </c>
      <c r="Q136" s="23">
        <v>31</v>
      </c>
      <c r="R136" s="25">
        <v>16</v>
      </c>
      <c r="S136" s="23">
        <v>0.7</v>
      </c>
      <c r="T136" s="23">
        <v>46</v>
      </c>
      <c r="U136" s="23">
        <v>48</v>
      </c>
      <c r="V136" s="23">
        <v>0.01</v>
      </c>
      <c r="W136" s="23">
        <v>0.02</v>
      </c>
      <c r="X136" s="23">
        <v>0.5</v>
      </c>
      <c r="Y136" s="23">
        <v>59</v>
      </c>
      <c r="Z136" s="23">
        <v>0</v>
      </c>
      <c r="AA136" s="25">
        <v>0</v>
      </c>
      <c r="AB136" s="25">
        <v>0</v>
      </c>
      <c r="AC136" s="25">
        <v>0</v>
      </c>
      <c r="AD136" s="23">
        <v>0</v>
      </c>
      <c r="AE136" s="23">
        <v>0</v>
      </c>
      <c r="AF136" s="23">
        <v>0</v>
      </c>
      <c r="AG136" s="23">
        <v>0</v>
      </c>
      <c r="AH136" s="24">
        <v>0</v>
      </c>
      <c r="AI136" s="23">
        <v>100</v>
      </c>
      <c r="AJ136" s="13" t="str">
        <f xml:space="preserve"> IF(AD136&gt;F136,"Exceso en grasa saturada",IFERROR(IF(F136=0,"No tiene sello",IF((AD136*9)*100/F136&gt;10,"Exceso en grasa saturada","No tiene sello")),"No tiene sello"))</f>
        <v>No tiene sello</v>
      </c>
      <c r="AK136" s="13">
        <f>IF(AJ136="No tiene sello",0,1)</f>
        <v>0</v>
      </c>
      <c r="AL136" s="13" t="str">
        <f>IF(Q136&gt;=300,"Exceso en sodio",IFERROR(IF(AND(F136=0,Q136&gt;0),"No tiene sello",IF(Q136/F136&gt;1,"Exceso en sodio","No tiene sello")),"No tiene sello"))</f>
        <v>No tiene sello</v>
      </c>
      <c r="AM136" s="13" t="str">
        <f>IFERROR(IF(F136=0,"No tiene sello",IF(+(AG136/1000)*9*100/F136&gt;1,"Exceso en grasa trans", "No tiene sello")),"No tiene sello")</f>
        <v>No tiene sello</v>
      </c>
    </row>
    <row r="137" spans="1:39" ht="13.5" customHeight="1" x14ac:dyDescent="0.25">
      <c r="A137" s="33" t="s">
        <v>1398</v>
      </c>
      <c r="B137" s="33" t="s">
        <v>1399</v>
      </c>
      <c r="C137" s="33" t="s">
        <v>1298</v>
      </c>
      <c r="D137" s="16">
        <v>100</v>
      </c>
      <c r="E137" s="35">
        <v>93.7</v>
      </c>
      <c r="F137" s="24">
        <v>26</v>
      </c>
      <c r="G137" s="35">
        <v>111</v>
      </c>
      <c r="H137" s="24">
        <v>0.7</v>
      </c>
      <c r="I137" s="24">
        <v>0.2</v>
      </c>
      <c r="J137" s="24">
        <v>4.5999999999999996</v>
      </c>
      <c r="K137" s="35">
        <v>2.7</v>
      </c>
      <c r="L137" s="35">
        <v>0.46</v>
      </c>
      <c r="M137" s="24">
        <v>1.9</v>
      </c>
      <c r="N137" s="35">
        <v>0.8</v>
      </c>
      <c r="O137" s="25">
        <v>42</v>
      </c>
      <c r="P137" s="25">
        <v>0.4</v>
      </c>
      <c r="Q137" s="35">
        <v>80</v>
      </c>
      <c r="R137" s="25">
        <v>33</v>
      </c>
      <c r="S137" s="35">
        <v>0.2</v>
      </c>
      <c r="T137" s="35">
        <v>14</v>
      </c>
      <c r="U137" s="35">
        <v>367</v>
      </c>
      <c r="V137" s="35">
        <v>0.04</v>
      </c>
      <c r="W137" s="35">
        <v>0.04</v>
      </c>
      <c r="X137" s="35">
        <v>0.3</v>
      </c>
      <c r="Y137" s="35">
        <v>36</v>
      </c>
      <c r="Z137" s="35">
        <v>0</v>
      </c>
      <c r="AA137" s="25">
        <v>5</v>
      </c>
      <c r="AB137" s="25">
        <v>22</v>
      </c>
      <c r="AC137" s="25">
        <v>0</v>
      </c>
      <c r="AD137" s="35">
        <v>0</v>
      </c>
      <c r="AE137" s="35">
        <v>0</v>
      </c>
      <c r="AF137" s="35">
        <v>0</v>
      </c>
      <c r="AG137" s="35">
        <v>0</v>
      </c>
      <c r="AH137" s="24">
        <v>0</v>
      </c>
      <c r="AI137" s="35">
        <v>50</v>
      </c>
      <c r="AJ137" s="13" t="str">
        <f xml:space="preserve"> IF(AD137&gt;F137,"Exceso en grasa saturada",IFERROR(IF(F137=0,"No tiene sello",IF((AD137*9)*100/F137&gt;10,"Exceso en grasa saturada","No tiene sello")),"No tiene sello"))</f>
        <v>No tiene sello</v>
      </c>
      <c r="AK137" s="13">
        <f>IF(AJ137="No tiene sello",0,1)</f>
        <v>0</v>
      </c>
      <c r="AL137" s="13" t="str">
        <f>IF(Q137&gt;=300,"Exceso en sodio",IFERROR(IF(AND(F137=0,Q137&gt;0),"No tiene sello",IF(Q137/F137&gt;1,"Exceso en sodio","No tiene sello")),"No tiene sello"))</f>
        <v>Exceso en sodio</v>
      </c>
      <c r="AM137" s="13" t="str">
        <f>IFERROR(IF(F137=0,"No tiene sello",IF(+(AG137/1000)*9*100/F137&gt;1,"Exceso en grasa trans", "No tiene sello")),"No tiene sello")</f>
        <v>No tiene sello</v>
      </c>
    </row>
    <row r="138" spans="1:39" ht="13.5" customHeight="1" x14ac:dyDescent="0.25">
      <c r="A138" s="20" t="s">
        <v>1396</v>
      </c>
      <c r="B138" s="20" t="s">
        <v>1397</v>
      </c>
      <c r="C138" s="20" t="s">
        <v>339</v>
      </c>
      <c r="D138" s="22">
        <v>100</v>
      </c>
      <c r="E138" s="23">
        <v>71.5</v>
      </c>
      <c r="F138" s="24">
        <v>111</v>
      </c>
      <c r="G138" s="23">
        <v>472</v>
      </c>
      <c r="H138" s="24">
        <v>0.9</v>
      </c>
      <c r="I138" s="24">
        <v>0.1</v>
      </c>
      <c r="J138" s="24">
        <v>26.3</v>
      </c>
      <c r="K138" s="23">
        <v>25.7</v>
      </c>
      <c r="L138" s="23">
        <v>2.63</v>
      </c>
      <c r="M138" s="24">
        <v>0.6</v>
      </c>
      <c r="N138" s="23">
        <v>1.2</v>
      </c>
      <c r="O138" s="25">
        <v>21</v>
      </c>
      <c r="P138" s="25">
        <v>0.9</v>
      </c>
      <c r="Q138" s="23">
        <v>1</v>
      </c>
      <c r="R138" s="25">
        <v>52</v>
      </c>
      <c r="S138" s="23">
        <v>0</v>
      </c>
      <c r="T138" s="23">
        <v>12</v>
      </c>
      <c r="U138" s="23">
        <v>505</v>
      </c>
      <c r="V138" s="23">
        <v>0.06</v>
      </c>
      <c r="W138" s="23">
        <v>0.06</v>
      </c>
      <c r="X138" s="23">
        <v>3.8</v>
      </c>
      <c r="Y138" s="23">
        <v>0</v>
      </c>
      <c r="Z138" s="23">
        <v>0</v>
      </c>
      <c r="AA138" s="25">
        <v>20</v>
      </c>
      <c r="AB138" s="25">
        <v>57</v>
      </c>
      <c r="AC138" s="25">
        <v>0</v>
      </c>
      <c r="AD138" s="23">
        <v>0</v>
      </c>
      <c r="AE138" s="23">
        <v>0</v>
      </c>
      <c r="AF138" s="23">
        <v>0</v>
      </c>
      <c r="AG138" s="23">
        <v>0</v>
      </c>
      <c r="AH138" s="24">
        <v>0</v>
      </c>
      <c r="AI138" s="23">
        <v>80</v>
      </c>
      <c r="AJ138" s="13" t="str">
        <f xml:space="preserve"> IF(AD138&gt;F138,"Exceso en grasa saturada",IFERROR(IF(F138=0,"No tiene sello",IF((AD138*9)*100/F138&gt;10,"Exceso en grasa saturada","No tiene sello")),"No tiene sello"))</f>
        <v>No tiene sello</v>
      </c>
      <c r="AK138" s="13">
        <f>IF(AJ138="No tiene sello",0,1)</f>
        <v>0</v>
      </c>
      <c r="AL138" s="13" t="str">
        <f>IF(Q138&gt;=300,"Exceso en sodio",IFERROR(IF(AND(F138=0,Q138&gt;0),"No tiene sello",IF(Q138/F138&gt;1,"Exceso en sodio","No tiene sello")),"No tiene sello"))</f>
        <v>No tiene sello</v>
      </c>
      <c r="AM138" s="13" t="str">
        <f>IFERROR(IF(F138=0,"No tiene sello",IF(+(AG138/1000)*9*100/F138&gt;1,"Exceso en grasa trans", "No tiene sello")),"No tiene sello")</f>
        <v>No tiene sello</v>
      </c>
    </row>
    <row r="139" spans="1:39" ht="13.5" customHeight="1" x14ac:dyDescent="0.25">
      <c r="A139" s="26" t="s">
        <v>1394</v>
      </c>
      <c r="B139" s="26" t="s">
        <v>1395</v>
      </c>
      <c r="C139" s="26" t="s">
        <v>339</v>
      </c>
      <c r="D139" s="16">
        <v>100</v>
      </c>
      <c r="E139" s="28">
        <v>72.7</v>
      </c>
      <c r="F139" s="24">
        <v>109</v>
      </c>
      <c r="G139" s="28">
        <v>463</v>
      </c>
      <c r="H139" s="24">
        <v>0.8</v>
      </c>
      <c r="I139" s="24">
        <v>0.1</v>
      </c>
      <c r="J139" s="24">
        <v>25.2</v>
      </c>
      <c r="K139" s="28">
        <v>23.1</v>
      </c>
      <c r="L139" s="28">
        <v>2.52</v>
      </c>
      <c r="M139" s="24">
        <v>2.1</v>
      </c>
      <c r="N139" s="28">
        <v>1.2</v>
      </c>
      <c r="O139" s="25">
        <v>23</v>
      </c>
      <c r="P139" s="25">
        <v>1.1000000000000001</v>
      </c>
      <c r="Q139" s="28">
        <v>1</v>
      </c>
      <c r="R139" s="25">
        <v>40</v>
      </c>
      <c r="S139" s="28">
        <v>0</v>
      </c>
      <c r="T139" s="28">
        <v>12</v>
      </c>
      <c r="U139" s="28">
        <v>505</v>
      </c>
      <c r="V139" s="28">
        <v>0.05</v>
      </c>
      <c r="W139" s="28">
        <v>0.06</v>
      </c>
      <c r="X139" s="28">
        <v>3.9</v>
      </c>
      <c r="Y139" s="28">
        <v>0</v>
      </c>
      <c r="Z139" s="28">
        <v>0</v>
      </c>
      <c r="AA139" s="25">
        <v>15</v>
      </c>
      <c r="AB139" s="25">
        <v>1</v>
      </c>
      <c r="AC139" s="25">
        <v>0</v>
      </c>
      <c r="AD139" s="28">
        <v>0</v>
      </c>
      <c r="AE139" s="28">
        <v>0</v>
      </c>
      <c r="AF139" s="28">
        <v>0</v>
      </c>
      <c r="AG139" s="28">
        <v>0</v>
      </c>
      <c r="AH139" s="24">
        <v>0</v>
      </c>
      <c r="AI139" s="28">
        <v>85</v>
      </c>
      <c r="AJ139" s="13" t="str">
        <f xml:space="preserve"> IF(AD139&gt;F139,"Exceso en grasa saturada",IFERROR(IF(F139=0,"No tiene sello",IF((AD139*9)*100/F139&gt;10,"Exceso en grasa saturada","No tiene sello")),"No tiene sello"))</f>
        <v>No tiene sello</v>
      </c>
      <c r="AK139" s="13">
        <f>IF(AJ139="No tiene sello",0,1)</f>
        <v>0</v>
      </c>
      <c r="AL139" s="13" t="str">
        <f>IF(Q139&gt;=300,"Exceso en sodio",IFERROR(IF(AND(F139=0,Q139&gt;0),"No tiene sello",IF(Q139/F139&gt;1,"Exceso en sodio","No tiene sello")),"No tiene sello"))</f>
        <v>No tiene sello</v>
      </c>
      <c r="AM139" s="13" t="str">
        <f>IFERROR(IF(F139=0,"No tiene sello",IF(+(AG139/1000)*9*100/F139&gt;1,"Exceso en grasa trans", "No tiene sello")),"No tiene sello")</f>
        <v>No tiene sello</v>
      </c>
    </row>
    <row r="140" spans="1:39" ht="13.5" customHeight="1" x14ac:dyDescent="0.25">
      <c r="A140" s="20" t="s">
        <v>1392</v>
      </c>
      <c r="B140" s="20" t="s">
        <v>1393</v>
      </c>
      <c r="C140" s="20" t="s">
        <v>339</v>
      </c>
      <c r="D140" s="22">
        <v>100</v>
      </c>
      <c r="E140" s="23">
        <v>71.5</v>
      </c>
      <c r="F140" s="24">
        <v>114</v>
      </c>
      <c r="G140" s="23">
        <v>483</v>
      </c>
      <c r="H140" s="24">
        <v>0.9</v>
      </c>
      <c r="I140" s="24">
        <v>0.1</v>
      </c>
      <c r="J140" s="24">
        <v>26.3</v>
      </c>
      <c r="K140" s="23">
        <v>24.2</v>
      </c>
      <c r="L140" s="23">
        <v>2.63</v>
      </c>
      <c r="M140" s="24">
        <v>2.1</v>
      </c>
      <c r="N140" s="23">
        <v>1.2</v>
      </c>
      <c r="O140" s="25">
        <v>24</v>
      </c>
      <c r="P140" s="25">
        <v>1.1000000000000001</v>
      </c>
      <c r="Q140" s="23">
        <v>0</v>
      </c>
      <c r="R140" s="25">
        <v>50</v>
      </c>
      <c r="S140" s="23">
        <v>0.2</v>
      </c>
      <c r="T140" s="23">
        <v>12</v>
      </c>
      <c r="U140" s="23">
        <v>505</v>
      </c>
      <c r="V140" s="23">
        <v>0.05</v>
      </c>
      <c r="W140" s="23">
        <v>0.04</v>
      </c>
      <c r="X140" s="23">
        <v>3.4</v>
      </c>
      <c r="Y140" s="23">
        <v>0</v>
      </c>
      <c r="Z140" s="23">
        <v>0</v>
      </c>
      <c r="AA140" s="25">
        <v>18</v>
      </c>
      <c r="AB140" s="25">
        <v>2</v>
      </c>
      <c r="AC140" s="25">
        <v>0</v>
      </c>
      <c r="AD140" s="23">
        <v>0</v>
      </c>
      <c r="AE140" s="23">
        <v>0</v>
      </c>
      <c r="AF140" s="23">
        <v>0</v>
      </c>
      <c r="AG140" s="23">
        <v>0</v>
      </c>
      <c r="AH140" s="24">
        <v>0</v>
      </c>
      <c r="AI140" s="23">
        <v>80</v>
      </c>
      <c r="AJ140" s="13" t="str">
        <f xml:space="preserve"> IF(AD140&gt;F140,"Exceso en grasa saturada",IFERROR(IF(F140=0,"No tiene sello",IF((AD140*9)*100/F140&gt;10,"Exceso en grasa saturada","No tiene sello")),"No tiene sello"))</f>
        <v>No tiene sello</v>
      </c>
      <c r="AK140" s="13">
        <f>IF(AJ140="No tiene sello",0,1)</f>
        <v>0</v>
      </c>
      <c r="AL140" s="13" t="str">
        <f>IF(Q140&gt;=300,"Exceso en sodio",IFERROR(IF(AND(F140=0,Q140&gt;0),"No tiene sello",IF(Q140/F140&gt;1,"Exceso en sodio","No tiene sello")),"No tiene sello"))</f>
        <v>No tiene sello</v>
      </c>
      <c r="AM140" s="13" t="str">
        <f>IFERROR(IF(F140=0,"No tiene sello",IF(+(AG140/1000)*9*100/F140&gt;1,"Exceso en grasa trans", "No tiene sello")),"No tiene sello")</f>
        <v>No tiene sello</v>
      </c>
    </row>
    <row r="141" spans="1:39" ht="13.5" customHeight="1" x14ac:dyDescent="0.25">
      <c r="A141" s="26" t="s">
        <v>1390</v>
      </c>
      <c r="B141" s="26" t="s">
        <v>1391</v>
      </c>
      <c r="C141" s="26" t="s">
        <v>3</v>
      </c>
      <c r="D141" s="16">
        <v>100</v>
      </c>
      <c r="E141" s="28">
        <v>72</v>
      </c>
      <c r="F141" s="24">
        <v>120</v>
      </c>
      <c r="G141" s="28">
        <v>508</v>
      </c>
      <c r="H141" s="24">
        <v>6.7</v>
      </c>
      <c r="I141" s="24">
        <v>0.3</v>
      </c>
      <c r="J141" s="24">
        <v>19.7</v>
      </c>
      <c r="K141" s="28">
        <v>13.7</v>
      </c>
      <c r="L141" s="28">
        <v>1.97</v>
      </c>
      <c r="M141" s="24">
        <v>6</v>
      </c>
      <c r="N141" s="28">
        <v>1.3</v>
      </c>
      <c r="O141" s="25">
        <v>19</v>
      </c>
      <c r="P141" s="25">
        <v>1.5</v>
      </c>
      <c r="Q141" s="28">
        <v>3</v>
      </c>
      <c r="R141" s="25">
        <v>112</v>
      </c>
      <c r="S141" s="28">
        <v>1.2</v>
      </c>
      <c r="T141" s="28">
        <v>39</v>
      </c>
      <c r="U141" s="28">
        <v>251</v>
      </c>
      <c r="V141" s="28">
        <v>0.26</v>
      </c>
      <c r="W141" s="28">
        <v>0.1</v>
      </c>
      <c r="X141" s="28">
        <v>1.7</v>
      </c>
      <c r="Y141" s="28">
        <v>63</v>
      </c>
      <c r="Z141" s="28">
        <v>0</v>
      </c>
      <c r="AA141" s="25">
        <v>14</v>
      </c>
      <c r="AB141" s="25">
        <v>41</v>
      </c>
      <c r="AC141" s="25">
        <v>0</v>
      </c>
      <c r="AD141" s="28">
        <v>0</v>
      </c>
      <c r="AE141" s="28">
        <v>0</v>
      </c>
      <c r="AF141" s="28">
        <v>0</v>
      </c>
      <c r="AG141" s="28">
        <v>0</v>
      </c>
      <c r="AH141" s="24">
        <v>0</v>
      </c>
      <c r="AI141" s="28">
        <v>100</v>
      </c>
      <c r="AJ141" s="13" t="str">
        <f xml:space="preserve"> IF(AD141&gt;F141,"Exceso en grasa saturada",IFERROR(IF(F141=0,"No tiene sello",IF((AD141*9)*100/F141&gt;10,"Exceso en grasa saturada","No tiene sello")),"No tiene sello"))</f>
        <v>No tiene sello</v>
      </c>
      <c r="AK141" s="13">
        <f>IF(AJ141="No tiene sello",0,1)</f>
        <v>0</v>
      </c>
      <c r="AL141" s="13" t="str">
        <f>IF(Q141&gt;=300,"Exceso en sodio",IFERROR(IF(AND(F141=0,Q141&gt;0),"No tiene sello",IF(Q141/F141&gt;1,"Exceso en sodio","No tiene sello")),"No tiene sello"))</f>
        <v>No tiene sello</v>
      </c>
      <c r="AM141" s="13" t="str">
        <f>IFERROR(IF(F141=0,"No tiene sello",IF(+(AG141/1000)*9*100/F141&gt;1,"Exceso en grasa trans", "No tiene sello")),"No tiene sello")</f>
        <v>No tiene sello</v>
      </c>
    </row>
    <row r="142" spans="1:39" ht="13.5" customHeight="1" x14ac:dyDescent="0.25">
      <c r="A142" s="29" t="s">
        <v>1388</v>
      </c>
      <c r="B142" s="29" t="s">
        <v>1389</v>
      </c>
      <c r="C142" s="29" t="s">
        <v>3</v>
      </c>
      <c r="D142" s="22">
        <v>100</v>
      </c>
      <c r="E142" s="31">
        <v>77.3</v>
      </c>
      <c r="F142" s="24">
        <v>99</v>
      </c>
      <c r="G142" s="31">
        <v>418</v>
      </c>
      <c r="H142" s="24">
        <v>5.9</v>
      </c>
      <c r="I142" s="24">
        <v>0.3</v>
      </c>
      <c r="J142" s="24">
        <v>15.5</v>
      </c>
      <c r="K142" s="31">
        <v>10.199999999999999</v>
      </c>
      <c r="L142" s="31">
        <v>1.55</v>
      </c>
      <c r="M142" s="24">
        <v>5.3</v>
      </c>
      <c r="N142" s="31">
        <v>1</v>
      </c>
      <c r="O142" s="31">
        <v>36</v>
      </c>
      <c r="P142" s="25">
        <v>1.5</v>
      </c>
      <c r="Q142" s="31">
        <v>5</v>
      </c>
      <c r="R142" s="31">
        <v>110</v>
      </c>
      <c r="S142" s="31">
        <v>1.2</v>
      </c>
      <c r="T142" s="31">
        <v>33</v>
      </c>
      <c r="U142" s="31">
        <v>244</v>
      </c>
      <c r="V142" s="31">
        <v>0.36</v>
      </c>
      <c r="W142" s="31">
        <v>0.12</v>
      </c>
      <c r="X142" s="31">
        <v>2.2000000000000002</v>
      </c>
      <c r="Y142" s="31">
        <v>65</v>
      </c>
      <c r="Z142" s="31">
        <v>0</v>
      </c>
      <c r="AA142" s="25">
        <v>33</v>
      </c>
      <c r="AB142" s="25">
        <v>51</v>
      </c>
      <c r="AC142" s="25">
        <v>0</v>
      </c>
      <c r="AD142" s="31">
        <v>0</v>
      </c>
      <c r="AE142" s="31">
        <v>0</v>
      </c>
      <c r="AF142" s="31">
        <v>0</v>
      </c>
      <c r="AG142" s="31">
        <v>0</v>
      </c>
      <c r="AH142" s="24">
        <v>0</v>
      </c>
      <c r="AI142" s="31">
        <v>40</v>
      </c>
      <c r="AJ142" s="13" t="str">
        <f xml:space="preserve"> IF(AD142&gt;F142,"Exceso en grasa saturada",IFERROR(IF(F142=0,"No tiene sello",IF((AD142*9)*100/F142&gt;10,"Exceso en grasa saturada","No tiene sello")),"No tiene sello"))</f>
        <v>No tiene sello</v>
      </c>
      <c r="AK142" s="13">
        <f>IF(AJ142="No tiene sello",0,1)</f>
        <v>0</v>
      </c>
      <c r="AL142" s="13" t="str">
        <f>IF(Q142&gt;=300,"Exceso en sodio",IFERROR(IF(AND(F142=0,Q142&gt;0),"No tiene sello",IF(Q142/F142&gt;1,"Exceso en sodio","No tiene sello")),"No tiene sello"))</f>
        <v>No tiene sello</v>
      </c>
      <c r="AM142" s="13" t="str">
        <f>IFERROR(IF(F142=0,"No tiene sello",IF(+(AG142/1000)*9*100/F142&gt;1,"Exceso en grasa trans", "No tiene sello")),"No tiene sello")</f>
        <v>No tiene sello</v>
      </c>
    </row>
    <row r="143" spans="1:39" ht="13.5" customHeight="1" x14ac:dyDescent="0.25">
      <c r="A143" s="26" t="s">
        <v>1386</v>
      </c>
      <c r="B143" s="26" t="s">
        <v>1387</v>
      </c>
      <c r="C143" s="26" t="s">
        <v>3</v>
      </c>
      <c r="D143" s="16">
        <v>100</v>
      </c>
      <c r="E143" s="28">
        <v>80.5</v>
      </c>
      <c r="F143" s="24">
        <v>74</v>
      </c>
      <c r="G143" s="28">
        <v>315</v>
      </c>
      <c r="H143" s="24">
        <v>4</v>
      </c>
      <c r="I143" s="24">
        <v>0.1</v>
      </c>
      <c r="J143" s="24">
        <v>14.3</v>
      </c>
      <c r="K143" s="28">
        <v>0</v>
      </c>
      <c r="L143" s="28">
        <v>1.43</v>
      </c>
      <c r="M143" s="24">
        <v>0</v>
      </c>
      <c r="N143" s="28">
        <v>1.1000000000000001</v>
      </c>
      <c r="O143" s="25">
        <v>16</v>
      </c>
      <c r="P143" s="25">
        <v>1.2</v>
      </c>
      <c r="Q143" s="28">
        <v>0</v>
      </c>
      <c r="R143" s="25">
        <v>78</v>
      </c>
      <c r="S143" s="28">
        <v>0</v>
      </c>
      <c r="T143" s="28">
        <v>0</v>
      </c>
      <c r="U143" s="28">
        <v>0</v>
      </c>
      <c r="V143" s="28">
        <v>0.09</v>
      </c>
      <c r="W143" s="28">
        <v>0.05</v>
      </c>
      <c r="X143" s="28">
        <v>0.9</v>
      </c>
      <c r="Y143" s="28">
        <v>0</v>
      </c>
      <c r="Z143" s="28">
        <v>0</v>
      </c>
      <c r="AA143" s="25">
        <v>15</v>
      </c>
      <c r="AB143" s="25">
        <v>0</v>
      </c>
      <c r="AC143" s="25">
        <v>0</v>
      </c>
      <c r="AD143" s="28">
        <v>0</v>
      </c>
      <c r="AE143" s="28">
        <v>0</v>
      </c>
      <c r="AF143" s="28">
        <v>0</v>
      </c>
      <c r="AG143" s="28">
        <v>0</v>
      </c>
      <c r="AH143" s="24">
        <v>0</v>
      </c>
      <c r="AI143" s="28">
        <v>100</v>
      </c>
      <c r="AJ143" s="13" t="str">
        <f xml:space="preserve"> IF(AD143&gt;F143,"Exceso en grasa saturada",IFERROR(IF(F143=0,"No tiene sello",IF((AD143*9)*100/F143&gt;10,"Exceso en grasa saturada","No tiene sello")),"No tiene sello"))</f>
        <v>No tiene sello</v>
      </c>
      <c r="AK143" s="13">
        <f>IF(AJ143="No tiene sello",0,1)</f>
        <v>0</v>
      </c>
      <c r="AL143" s="13" t="str">
        <f>IF(Q143&gt;=300,"Exceso en sodio",IFERROR(IF(AND(F143=0,Q143&gt;0),"No tiene sello",IF(Q143/F143&gt;1,"Exceso en sodio","No tiene sello")),"No tiene sello"))</f>
        <v>No tiene sello</v>
      </c>
      <c r="AM143" s="13" t="str">
        <f>IFERROR(IF(F143=0,"No tiene sello",IF(+(AG143/1000)*9*100/F143&gt;1,"Exceso en grasa trans", "No tiene sello")),"No tiene sello")</f>
        <v>No tiene sello</v>
      </c>
    </row>
    <row r="144" spans="1:39" s="4" customFormat="1" ht="13.5" customHeight="1" x14ac:dyDescent="0.25">
      <c r="A144" s="20" t="s">
        <v>1384</v>
      </c>
      <c r="B144" s="20" t="s">
        <v>1385</v>
      </c>
      <c r="C144" s="20" t="s">
        <v>187</v>
      </c>
      <c r="D144" s="22">
        <v>100</v>
      </c>
      <c r="E144" s="23">
        <v>75.8</v>
      </c>
      <c r="F144" s="24">
        <v>99</v>
      </c>
      <c r="G144" s="23">
        <v>419</v>
      </c>
      <c r="H144" s="24">
        <v>1.2</v>
      </c>
      <c r="I144" s="24">
        <v>0.1</v>
      </c>
      <c r="J144" s="24">
        <v>21.9</v>
      </c>
      <c r="K144" s="23">
        <v>19</v>
      </c>
      <c r="L144" s="23">
        <v>2.19</v>
      </c>
      <c r="M144" s="24">
        <v>2.8</v>
      </c>
      <c r="N144" s="23">
        <v>1</v>
      </c>
      <c r="O144" s="25">
        <v>25</v>
      </c>
      <c r="P144" s="25">
        <v>0.4</v>
      </c>
      <c r="Q144" s="23">
        <v>21</v>
      </c>
      <c r="R144" s="25">
        <v>40</v>
      </c>
      <c r="S144" s="23">
        <v>0.3</v>
      </c>
      <c r="T144" s="23">
        <v>17</v>
      </c>
      <c r="U144" s="23">
        <v>340</v>
      </c>
      <c r="V144" s="23">
        <v>7.0000000000000007E-2</v>
      </c>
      <c r="W144" s="23">
        <v>0.03</v>
      </c>
      <c r="X144" s="23">
        <v>0.6</v>
      </c>
      <c r="Y144" s="23">
        <v>13</v>
      </c>
      <c r="Z144" s="23">
        <v>0</v>
      </c>
      <c r="AA144" s="25">
        <v>20</v>
      </c>
      <c r="AB144" s="25">
        <v>673</v>
      </c>
      <c r="AC144" s="25">
        <v>0</v>
      </c>
      <c r="AD144" s="23">
        <v>0</v>
      </c>
      <c r="AE144" s="23">
        <v>0</v>
      </c>
      <c r="AF144" s="23">
        <v>0</v>
      </c>
      <c r="AG144" s="23">
        <v>0</v>
      </c>
      <c r="AH144" s="24">
        <v>0</v>
      </c>
      <c r="AI144" s="23">
        <v>80</v>
      </c>
      <c r="AJ144" s="13" t="str">
        <f xml:space="preserve"> IF(AD144&gt;F144,"Exceso en grasa saturada",IFERROR(IF(F144=0,"No tiene sello",IF((AD144*9)*100/F144&gt;10,"Exceso en grasa saturada","No tiene sello")),"No tiene sello"))</f>
        <v>No tiene sello</v>
      </c>
      <c r="AK144" s="13">
        <f>IF(AJ144="No tiene sello",0,1)</f>
        <v>0</v>
      </c>
      <c r="AL144" s="13" t="str">
        <f>IF(Q144&gt;=300,"Exceso en sodio",IFERROR(IF(AND(F144=0,Q144&gt;0),"No tiene sello",IF(Q144/F144&gt;1,"Exceso en sodio","No tiene sello")),"No tiene sello"))</f>
        <v>No tiene sello</v>
      </c>
      <c r="AM144" s="13" t="str">
        <f>IFERROR(IF(F144=0,"No tiene sello",IF(+(AG144/1000)*9*100/F144&gt;1,"Exceso en grasa trans", "No tiene sello")),"No tiene sello")</f>
        <v>No tiene sello</v>
      </c>
    </row>
    <row r="145" spans="1:39" ht="13.5" customHeight="1" x14ac:dyDescent="0.25">
      <c r="A145" s="26" t="s">
        <v>1382</v>
      </c>
      <c r="B145" s="26" t="s">
        <v>1383</v>
      </c>
      <c r="C145" s="26" t="s">
        <v>143</v>
      </c>
      <c r="D145" s="16">
        <v>100</v>
      </c>
      <c r="E145" s="28">
        <v>91.8</v>
      </c>
      <c r="F145" s="24">
        <v>37</v>
      </c>
      <c r="G145" s="28">
        <v>155</v>
      </c>
      <c r="H145" s="24">
        <v>0.8</v>
      </c>
      <c r="I145" s="24">
        <v>0.2</v>
      </c>
      <c r="J145" s="24">
        <v>6.7</v>
      </c>
      <c r="K145" s="28">
        <v>4.2</v>
      </c>
      <c r="L145" s="28">
        <v>0.67</v>
      </c>
      <c r="M145" s="24">
        <v>2.5</v>
      </c>
      <c r="N145" s="28">
        <v>0.5</v>
      </c>
      <c r="O145" s="25">
        <v>7</v>
      </c>
      <c r="P145" s="25">
        <v>0.2</v>
      </c>
      <c r="Q145" s="28">
        <v>1</v>
      </c>
      <c r="R145" s="25">
        <v>15</v>
      </c>
      <c r="S145" s="28">
        <v>0.1</v>
      </c>
      <c r="T145" s="28">
        <v>11</v>
      </c>
      <c r="U145" s="28">
        <v>118</v>
      </c>
      <c r="V145" s="28">
        <v>0.08</v>
      </c>
      <c r="W145" s="28">
        <v>0.02</v>
      </c>
      <c r="X145" s="28">
        <v>0.6</v>
      </c>
      <c r="Y145" s="28">
        <v>14</v>
      </c>
      <c r="Z145" s="28">
        <v>0</v>
      </c>
      <c r="AA145" s="25">
        <v>1</v>
      </c>
      <c r="AB145" s="25">
        <v>6</v>
      </c>
      <c r="AC145" s="25">
        <v>0</v>
      </c>
      <c r="AD145" s="28">
        <v>0</v>
      </c>
      <c r="AE145" s="28">
        <v>0</v>
      </c>
      <c r="AF145" s="28">
        <v>0</v>
      </c>
      <c r="AG145" s="28">
        <v>0</v>
      </c>
      <c r="AH145" s="24">
        <v>0</v>
      </c>
      <c r="AI145" s="28">
        <v>100</v>
      </c>
      <c r="AJ145" s="13" t="str">
        <f xml:space="preserve"> IF(AD145&gt;F145,"Exceso en grasa saturada",IFERROR(IF(F145=0,"No tiene sello",IF((AD145*9)*100/F145&gt;10,"Exceso en grasa saturada","No tiene sello")),"No tiene sello"))</f>
        <v>No tiene sello</v>
      </c>
      <c r="AK145" s="13">
        <f>IF(AJ145="No tiene sello",0,1)</f>
        <v>0</v>
      </c>
      <c r="AL145" s="13" t="str">
        <f>IF(Q145&gt;=300,"Exceso en sodio",IFERROR(IF(AND(F145=0,Q145&gt;0),"No tiene sello",IF(Q145/F145&gt;1,"Exceso en sodio","No tiene sello")),"No tiene sello"))</f>
        <v>No tiene sello</v>
      </c>
      <c r="AM145" s="13" t="str">
        <f>IFERROR(IF(F145=0,"No tiene sello",IF(+(AG145/1000)*9*100/F145&gt;1,"Exceso en grasa trans", "No tiene sello")),"No tiene sello")</f>
        <v>No tiene sello</v>
      </c>
    </row>
    <row r="146" spans="1:39" ht="13.5" customHeight="1" x14ac:dyDescent="0.25">
      <c r="A146" s="20" t="s">
        <v>1380</v>
      </c>
      <c r="B146" s="20" t="s">
        <v>1381</v>
      </c>
      <c r="C146" s="20" t="s">
        <v>143</v>
      </c>
      <c r="D146" s="22">
        <v>100</v>
      </c>
      <c r="E146" s="23">
        <v>92.5</v>
      </c>
      <c r="F146" s="24">
        <v>35</v>
      </c>
      <c r="G146" s="23">
        <v>145</v>
      </c>
      <c r="H146" s="24">
        <v>1</v>
      </c>
      <c r="I146" s="24">
        <v>0.2</v>
      </c>
      <c r="J146" s="24">
        <v>5.7</v>
      </c>
      <c r="K146" s="23">
        <v>2.7</v>
      </c>
      <c r="L146" s="23">
        <v>0.56999999999999995</v>
      </c>
      <c r="M146" s="24">
        <v>3</v>
      </c>
      <c r="N146" s="23">
        <v>0.5</v>
      </c>
      <c r="O146" s="25">
        <v>10</v>
      </c>
      <c r="P146" s="25">
        <v>0.4</v>
      </c>
      <c r="Q146" s="23">
        <v>2</v>
      </c>
      <c r="R146" s="25">
        <v>29</v>
      </c>
      <c r="S146" s="23">
        <v>0.1</v>
      </c>
      <c r="T146" s="23">
        <v>14</v>
      </c>
      <c r="U146" s="23">
        <v>227</v>
      </c>
      <c r="V146" s="23">
        <v>0.08</v>
      </c>
      <c r="W146" s="23">
        <v>0.05</v>
      </c>
      <c r="X146" s="23">
        <v>1</v>
      </c>
      <c r="Y146" s="23">
        <v>21</v>
      </c>
      <c r="Z146" s="23">
        <v>0</v>
      </c>
      <c r="AA146" s="25">
        <v>5</v>
      </c>
      <c r="AB146" s="25">
        <v>10</v>
      </c>
      <c r="AC146" s="25">
        <v>0</v>
      </c>
      <c r="AD146" s="23">
        <v>0</v>
      </c>
      <c r="AE146" s="23">
        <v>0</v>
      </c>
      <c r="AF146" s="23">
        <v>0</v>
      </c>
      <c r="AG146" s="23">
        <v>0</v>
      </c>
      <c r="AH146" s="24">
        <v>0</v>
      </c>
      <c r="AI146" s="23">
        <v>75</v>
      </c>
      <c r="AJ146" s="13" t="str">
        <f xml:space="preserve"> IF(AD146&gt;F146,"Exceso en grasa saturada",IFERROR(IF(F146=0,"No tiene sello",IF((AD146*9)*100/F146&gt;10,"Exceso en grasa saturada","No tiene sello")),"No tiene sello"))</f>
        <v>No tiene sello</v>
      </c>
      <c r="AK146" s="13">
        <f>IF(AJ146="No tiene sello",0,1)</f>
        <v>0</v>
      </c>
      <c r="AL146" s="13" t="str">
        <f>IF(Q146&gt;=300,"Exceso en sodio",IFERROR(IF(AND(F146=0,Q146&gt;0),"No tiene sello",IF(Q146/F146&gt;1,"Exceso en sodio","No tiene sello")),"No tiene sello"))</f>
        <v>No tiene sello</v>
      </c>
      <c r="AM146" s="13" t="str">
        <f>IFERROR(IF(F146=0,"No tiene sello",IF(+(AG146/1000)*9*100/F146&gt;1,"Exceso en grasa trans", "No tiene sello")),"No tiene sello")</f>
        <v>No tiene sello</v>
      </c>
    </row>
    <row r="147" spans="1:39" ht="13.5" customHeight="1" x14ac:dyDescent="0.25">
      <c r="A147" s="26" t="s">
        <v>1378</v>
      </c>
      <c r="B147" s="26" t="s">
        <v>1379</v>
      </c>
      <c r="C147" s="26" t="s">
        <v>176</v>
      </c>
      <c r="D147" s="16">
        <v>100</v>
      </c>
      <c r="E147" s="28">
        <v>93.6</v>
      </c>
      <c r="F147" s="24">
        <v>27</v>
      </c>
      <c r="G147" s="28">
        <v>112</v>
      </c>
      <c r="H147" s="24">
        <v>1.7</v>
      </c>
      <c r="I147" s="24">
        <v>0.3</v>
      </c>
      <c r="J147" s="24">
        <v>3.3</v>
      </c>
      <c r="K147" s="28">
        <v>1.3</v>
      </c>
      <c r="L147" s="28">
        <v>0.33</v>
      </c>
      <c r="M147" s="24">
        <v>2</v>
      </c>
      <c r="N147" s="28">
        <v>1.1000000000000001</v>
      </c>
      <c r="O147" s="25">
        <v>195</v>
      </c>
      <c r="P147" s="25">
        <v>1.6</v>
      </c>
      <c r="Q147" s="28">
        <v>50</v>
      </c>
      <c r="R147" s="25">
        <v>58</v>
      </c>
      <c r="S147" s="28">
        <v>0.2</v>
      </c>
      <c r="T147" s="28">
        <v>19</v>
      </c>
      <c r="U147" s="28">
        <v>317</v>
      </c>
      <c r="V147" s="28">
        <v>0.08</v>
      </c>
      <c r="W147" s="28">
        <v>0.16</v>
      </c>
      <c r="X147" s="28">
        <v>0.8</v>
      </c>
      <c r="Y147" s="28">
        <v>80</v>
      </c>
      <c r="Z147" s="28">
        <v>0</v>
      </c>
      <c r="AA147" s="25">
        <v>70</v>
      </c>
      <c r="AB147" s="25">
        <v>240</v>
      </c>
      <c r="AC147" s="25">
        <v>0</v>
      </c>
      <c r="AD147" s="28">
        <v>0</v>
      </c>
      <c r="AE147" s="28">
        <v>0</v>
      </c>
      <c r="AF147" s="28">
        <v>0</v>
      </c>
      <c r="AG147" s="28">
        <v>0</v>
      </c>
      <c r="AH147" s="24">
        <v>0</v>
      </c>
      <c r="AI147" s="28">
        <v>90</v>
      </c>
      <c r="AJ147" s="13" t="str">
        <f xml:space="preserve"> IF(AD147&gt;F147,"Exceso en grasa saturada",IFERROR(IF(F147=0,"No tiene sello",IF((AD147*9)*100/F147&gt;10,"Exceso en grasa saturada","No tiene sello")),"No tiene sello"))</f>
        <v>No tiene sello</v>
      </c>
      <c r="AK147" s="13">
        <f>IF(AJ147="No tiene sello",0,1)</f>
        <v>0</v>
      </c>
      <c r="AL147" s="13" t="str">
        <f>IF(Q147&gt;=300,"Exceso en sodio",IFERROR(IF(AND(F147=0,Q147&gt;0),"No tiene sello",IF(Q147/F147&gt;1,"Exceso en sodio","No tiene sello")),"No tiene sello"))</f>
        <v>Exceso en sodio</v>
      </c>
      <c r="AM147" s="13" t="str">
        <f>IFERROR(IF(F147=0,"No tiene sello",IF(+(AG147/1000)*9*100/F147&gt;1,"Exceso en grasa trans", "No tiene sello")),"No tiene sello")</f>
        <v>No tiene sello</v>
      </c>
    </row>
    <row r="148" spans="1:39" ht="13.5" customHeight="1" x14ac:dyDescent="0.25">
      <c r="A148" s="20" t="s">
        <v>1376</v>
      </c>
      <c r="B148" s="20" t="s">
        <v>1377</v>
      </c>
      <c r="C148" s="20" t="s">
        <v>1347</v>
      </c>
      <c r="D148" s="22">
        <v>100</v>
      </c>
      <c r="E148" s="23">
        <v>88.9</v>
      </c>
      <c r="F148" s="24">
        <v>46</v>
      </c>
      <c r="G148" s="23">
        <v>195</v>
      </c>
      <c r="H148" s="24">
        <v>3</v>
      </c>
      <c r="I148" s="24">
        <v>0.3</v>
      </c>
      <c r="J148" s="24">
        <v>6.6</v>
      </c>
      <c r="K148" s="23">
        <v>4</v>
      </c>
      <c r="L148" s="23">
        <v>0.66</v>
      </c>
      <c r="M148" s="24">
        <v>2.6</v>
      </c>
      <c r="N148" s="23">
        <v>1.2</v>
      </c>
      <c r="O148" s="25">
        <v>60</v>
      </c>
      <c r="P148" s="25">
        <v>1.1000000000000001</v>
      </c>
      <c r="Q148" s="23">
        <v>33</v>
      </c>
      <c r="R148" s="25">
        <v>70</v>
      </c>
      <c r="S148" s="23">
        <v>0.4</v>
      </c>
      <c r="T148" s="23">
        <v>21</v>
      </c>
      <c r="U148" s="23">
        <v>317</v>
      </c>
      <c r="V148" s="23">
        <v>7.0000000000000007E-2</v>
      </c>
      <c r="W148" s="23">
        <v>0.14000000000000001</v>
      </c>
      <c r="X148" s="23">
        <v>0.9</v>
      </c>
      <c r="Y148" s="23">
        <v>63</v>
      </c>
      <c r="Z148" s="23">
        <v>0</v>
      </c>
      <c r="AA148" s="25">
        <v>89</v>
      </c>
      <c r="AB148" s="25">
        <v>31</v>
      </c>
      <c r="AC148" s="25">
        <v>0</v>
      </c>
      <c r="AD148" s="23">
        <v>0</v>
      </c>
      <c r="AE148" s="23">
        <v>0</v>
      </c>
      <c r="AF148" s="23">
        <v>0</v>
      </c>
      <c r="AG148" s="23">
        <v>0</v>
      </c>
      <c r="AH148" s="24">
        <v>0</v>
      </c>
      <c r="AI148" s="23">
        <v>40</v>
      </c>
      <c r="AJ148" s="13" t="str">
        <f xml:space="preserve"> IF(AD148&gt;F148,"Exceso en grasa saturada",IFERROR(IF(F148=0,"No tiene sello",IF((AD148*9)*100/F148&gt;10,"Exceso en grasa saturada","No tiene sello")),"No tiene sello"))</f>
        <v>No tiene sello</v>
      </c>
      <c r="AK148" s="13">
        <f>IF(AJ148="No tiene sello",0,1)</f>
        <v>0</v>
      </c>
      <c r="AL148" s="13" t="str">
        <f>IF(Q148&gt;=300,"Exceso en sodio",IFERROR(IF(AND(F148=0,Q148&gt;0),"No tiene sello",IF(Q148/F148&gt;1,"Exceso en sodio","No tiene sello")),"No tiene sello"))</f>
        <v>No tiene sello</v>
      </c>
      <c r="AM148" s="13" t="str">
        <f>IFERROR(IF(F148=0,"No tiene sello",IF(+(AG148/1000)*9*100/F148&gt;1,"Exceso en grasa trans", "No tiene sello")),"No tiene sello")</f>
        <v>No tiene sello</v>
      </c>
    </row>
    <row r="149" spans="1:39" s="5" customFormat="1" ht="13.5" customHeight="1" x14ac:dyDescent="0.25">
      <c r="A149" s="26" t="s">
        <v>1374</v>
      </c>
      <c r="B149" s="26" t="s">
        <v>1375</v>
      </c>
      <c r="C149" s="26" t="s">
        <v>143</v>
      </c>
      <c r="D149" s="16">
        <v>100</v>
      </c>
      <c r="E149" s="28">
        <v>93.9</v>
      </c>
      <c r="F149" s="24">
        <v>31</v>
      </c>
      <c r="G149" s="28">
        <v>129</v>
      </c>
      <c r="H149" s="24">
        <v>0.8</v>
      </c>
      <c r="I149" s="24">
        <v>0.4</v>
      </c>
      <c r="J149" s="24">
        <v>4.5</v>
      </c>
      <c r="K149" s="28">
        <v>1.6</v>
      </c>
      <c r="L149" s="28">
        <v>0.45</v>
      </c>
      <c r="M149" s="24">
        <v>2.9</v>
      </c>
      <c r="N149" s="28">
        <v>0.4</v>
      </c>
      <c r="O149" s="25">
        <v>24</v>
      </c>
      <c r="P149" s="25">
        <v>0.3</v>
      </c>
      <c r="Q149" s="28">
        <v>0</v>
      </c>
      <c r="R149" s="25">
        <v>16</v>
      </c>
      <c r="S149" s="28">
        <v>0.2</v>
      </c>
      <c r="T149" s="28">
        <v>10</v>
      </c>
      <c r="U149" s="28">
        <v>130</v>
      </c>
      <c r="V149" s="28">
        <v>0.03</v>
      </c>
      <c r="W149" s="28">
        <v>0.03</v>
      </c>
      <c r="X149" s="28">
        <v>0.1</v>
      </c>
      <c r="Y149" s="28">
        <v>10</v>
      </c>
      <c r="Z149" s="28">
        <v>0</v>
      </c>
      <c r="AA149" s="25">
        <v>16</v>
      </c>
      <c r="AB149" s="25">
        <v>75</v>
      </c>
      <c r="AC149" s="25">
        <v>0</v>
      </c>
      <c r="AD149" s="28">
        <v>0</v>
      </c>
      <c r="AE149" s="28">
        <v>0</v>
      </c>
      <c r="AF149" s="28">
        <v>0</v>
      </c>
      <c r="AG149" s="28">
        <v>0</v>
      </c>
      <c r="AH149" s="24">
        <v>0</v>
      </c>
      <c r="AI149" s="28">
        <v>90</v>
      </c>
      <c r="AJ149" s="13" t="str">
        <f xml:space="preserve"> IF(AD149&gt;F149,"Exceso en grasa saturada",IFERROR(IF(F149=0,"No tiene sello",IF((AD149*9)*100/F149&gt;10,"Exceso en grasa saturada","No tiene sello")),"No tiene sello"))</f>
        <v>No tiene sello</v>
      </c>
      <c r="AK149" s="13">
        <f>IF(AJ149="No tiene sello",0,1)</f>
        <v>0</v>
      </c>
      <c r="AL149" s="13" t="str">
        <f>IF(Q149&gt;=300,"Exceso en sodio",IFERROR(IF(AND(F149=0,Q149&gt;0),"No tiene sello",IF(Q149/F149&gt;1,"Exceso en sodio","No tiene sello")),"No tiene sello"))</f>
        <v>No tiene sello</v>
      </c>
      <c r="AM149" s="13" t="str">
        <f>IFERROR(IF(F149=0,"No tiene sello",IF(+(AG149/1000)*9*100/F149&gt;1,"Exceso en grasa trans", "No tiene sello")),"No tiene sello")</f>
        <v>No tiene sello</v>
      </c>
    </row>
    <row r="150" spans="1:39" ht="13.5" customHeight="1" x14ac:dyDescent="0.25">
      <c r="A150" s="37" t="s">
        <v>1372</v>
      </c>
      <c r="B150" s="29" t="s">
        <v>1373</v>
      </c>
      <c r="C150" s="29" t="s">
        <v>143</v>
      </c>
      <c r="D150" s="22">
        <v>100</v>
      </c>
      <c r="E150" s="31">
        <v>90.3</v>
      </c>
      <c r="F150" s="24">
        <v>40</v>
      </c>
      <c r="G150" s="31">
        <v>171</v>
      </c>
      <c r="H150" s="24">
        <v>1.4</v>
      </c>
      <c r="I150" s="24">
        <v>0.1</v>
      </c>
      <c r="J150" s="24">
        <v>7.7</v>
      </c>
      <c r="K150" s="31">
        <v>6</v>
      </c>
      <c r="L150" s="31">
        <v>0.77</v>
      </c>
      <c r="M150" s="24">
        <v>1.7</v>
      </c>
      <c r="N150" s="31">
        <v>0.5</v>
      </c>
      <c r="O150" s="31">
        <v>24</v>
      </c>
      <c r="P150" s="31">
        <v>0.3</v>
      </c>
      <c r="Q150" s="31">
        <v>4</v>
      </c>
      <c r="R150" s="31">
        <v>40</v>
      </c>
      <c r="S150" s="31">
        <v>0.2</v>
      </c>
      <c r="T150" s="31">
        <v>7</v>
      </c>
      <c r="U150" s="31">
        <v>154</v>
      </c>
      <c r="V150" s="31">
        <v>0.04</v>
      </c>
      <c r="W150" s="31">
        <v>0.03</v>
      </c>
      <c r="X150" s="31">
        <v>0.2</v>
      </c>
      <c r="Y150" s="31">
        <v>18</v>
      </c>
      <c r="Z150" s="31">
        <v>0</v>
      </c>
      <c r="AA150" s="31">
        <v>10</v>
      </c>
      <c r="AB150" s="31">
        <v>1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31">
        <v>95</v>
      </c>
      <c r="AJ150" s="13" t="str">
        <f xml:space="preserve"> IF(AD150&gt;F150,"Exceso en grasa saturada",IFERROR(IF(F150=0,"No tiene sello",IF((AD150*9)*100/F150&gt;10,"Exceso en grasa saturada","No tiene sello")),"No tiene sello"))</f>
        <v>No tiene sello</v>
      </c>
      <c r="AK150" s="13">
        <f>IF(AJ150="No tiene sello",0,1)</f>
        <v>0</v>
      </c>
      <c r="AL150" s="13" t="str">
        <f>IF(Q150&gt;=300,"Exceso en sodio",IFERROR(IF(AND(F150=0,Q150&gt;0),"No tiene sello",IF(Q150/F150&gt;1,"Exceso en sodio","No tiene sello")),"No tiene sello"))</f>
        <v>No tiene sello</v>
      </c>
      <c r="AM150" s="13" t="str">
        <f>IFERROR(IF(F150=0,"No tiene sello",IF(+(AG150/1000)*9*100/F150&gt;1,"Exceso en grasa trans", "No tiene sello")),"No tiene sello")</f>
        <v>No tiene sello</v>
      </c>
    </row>
    <row r="151" spans="1:39" s="5" customFormat="1" ht="13.5" customHeight="1" x14ac:dyDescent="0.25">
      <c r="A151" s="26" t="s">
        <v>1370</v>
      </c>
      <c r="B151" s="26" t="s">
        <v>1371</v>
      </c>
      <c r="C151" s="26" t="s">
        <v>176</v>
      </c>
      <c r="D151" s="16">
        <v>100</v>
      </c>
      <c r="E151" s="28">
        <v>90.3</v>
      </c>
      <c r="F151" s="24">
        <v>41</v>
      </c>
      <c r="G151" s="28">
        <v>172</v>
      </c>
      <c r="H151" s="24">
        <v>1.6</v>
      </c>
      <c r="I151" s="24">
        <v>0.2</v>
      </c>
      <c r="J151" s="24">
        <v>7.1</v>
      </c>
      <c r="K151" s="28">
        <v>5</v>
      </c>
      <c r="L151" s="28">
        <v>0.71</v>
      </c>
      <c r="M151" s="24">
        <v>2.1</v>
      </c>
      <c r="N151" s="28">
        <v>0.8</v>
      </c>
      <c r="O151" s="25">
        <v>44</v>
      </c>
      <c r="P151" s="25">
        <v>1.5</v>
      </c>
      <c r="Q151" s="28">
        <v>16</v>
      </c>
      <c r="R151" s="25">
        <v>31</v>
      </c>
      <c r="S151" s="28">
        <v>0.4</v>
      </c>
      <c r="T151" s="28">
        <v>20</v>
      </c>
      <c r="U151" s="28">
        <v>276</v>
      </c>
      <c r="V151" s="28">
        <v>0.06</v>
      </c>
      <c r="W151" s="28">
        <v>0.09</v>
      </c>
      <c r="X151" s="28">
        <v>0.6</v>
      </c>
      <c r="Y151" s="28">
        <v>64</v>
      </c>
      <c r="Z151" s="28">
        <v>0</v>
      </c>
      <c r="AA151" s="25">
        <v>15</v>
      </c>
      <c r="AB151" s="25">
        <v>60</v>
      </c>
      <c r="AC151" s="25">
        <v>0</v>
      </c>
      <c r="AD151" s="28">
        <v>0</v>
      </c>
      <c r="AE151" s="28">
        <v>0</v>
      </c>
      <c r="AF151" s="28">
        <v>0</v>
      </c>
      <c r="AG151" s="28">
        <v>0</v>
      </c>
      <c r="AH151" s="24">
        <v>0</v>
      </c>
      <c r="AI151" s="28">
        <v>45</v>
      </c>
      <c r="AJ151" s="13" t="str">
        <f xml:space="preserve"> IF(AD151&gt;F151,"Exceso en grasa saturada",IFERROR(IF(F151=0,"No tiene sello",IF((AD151*9)*100/F151&gt;10,"Exceso en grasa saturada","No tiene sello")),"No tiene sello"))</f>
        <v>No tiene sello</v>
      </c>
      <c r="AK151" s="13">
        <f>IF(AJ151="No tiene sello",0,1)</f>
        <v>0</v>
      </c>
      <c r="AL151" s="13" t="str">
        <f>IF(Q151&gt;=300,"Exceso en sodio",IFERROR(IF(AND(F151=0,Q151&gt;0),"No tiene sello",IF(Q151/F151&gt;1,"Exceso en sodio","No tiene sello")),"No tiene sello"))</f>
        <v>No tiene sello</v>
      </c>
      <c r="AM151" s="13" t="str">
        <f>IFERROR(IF(F151=0,"No tiene sello",IF(+(AG151/1000)*9*100/F151&gt;1,"Exceso en grasa trans", "No tiene sello")),"No tiene sello")</f>
        <v>No tiene sello</v>
      </c>
    </row>
    <row r="152" spans="1:39" ht="13.5" customHeight="1" x14ac:dyDescent="0.25">
      <c r="A152" s="20" t="s">
        <v>1368</v>
      </c>
      <c r="B152" s="20" t="s">
        <v>1369</v>
      </c>
      <c r="C152" s="20" t="s">
        <v>1298</v>
      </c>
      <c r="D152" s="22">
        <v>100</v>
      </c>
      <c r="E152" s="23">
        <v>91.4</v>
      </c>
      <c r="F152" s="24">
        <v>37</v>
      </c>
      <c r="G152" s="23">
        <v>156</v>
      </c>
      <c r="H152" s="24">
        <v>1.2</v>
      </c>
      <c r="I152" s="24">
        <v>0.1</v>
      </c>
      <c r="J152" s="24">
        <v>6.8</v>
      </c>
      <c r="K152" s="23">
        <v>4.8</v>
      </c>
      <c r="L152" s="23">
        <v>0.68</v>
      </c>
      <c r="M152" s="24">
        <v>2</v>
      </c>
      <c r="N152" s="23">
        <v>0.5</v>
      </c>
      <c r="O152" s="25">
        <v>57</v>
      </c>
      <c r="P152" s="25">
        <v>0.5</v>
      </c>
      <c r="Q152" s="23">
        <v>15</v>
      </c>
      <c r="R152" s="25">
        <v>31</v>
      </c>
      <c r="S152" s="23">
        <v>0.2</v>
      </c>
      <c r="T152" s="23">
        <v>17</v>
      </c>
      <c r="U152" s="23">
        <v>232</v>
      </c>
      <c r="V152" s="23">
        <v>0.04</v>
      </c>
      <c r="W152" s="23">
        <v>0.05</v>
      </c>
      <c r="X152" s="23">
        <v>0.3</v>
      </c>
      <c r="Y152" s="23">
        <v>26</v>
      </c>
      <c r="Z152" s="23">
        <v>0</v>
      </c>
      <c r="AA152" s="25">
        <v>13</v>
      </c>
      <c r="AB152" s="25">
        <v>200</v>
      </c>
      <c r="AC152" s="25">
        <v>0</v>
      </c>
      <c r="AD152" s="23">
        <v>0</v>
      </c>
      <c r="AE152" s="23">
        <v>0</v>
      </c>
      <c r="AF152" s="23">
        <v>0</v>
      </c>
      <c r="AG152" s="23">
        <v>0</v>
      </c>
      <c r="AH152" s="24">
        <v>0</v>
      </c>
      <c r="AI152" s="23">
        <v>40</v>
      </c>
      <c r="AJ152" s="13" t="str">
        <f xml:space="preserve"> IF(AD152&gt;F152,"Exceso en grasa saturada",IFERROR(IF(F152=0,"No tiene sello",IF((AD152*9)*100/F152&gt;10,"Exceso en grasa saturada","No tiene sello")),"No tiene sello"))</f>
        <v>No tiene sello</v>
      </c>
      <c r="AK152" s="13">
        <f>IF(AJ152="No tiene sello",0,1)</f>
        <v>0</v>
      </c>
      <c r="AL152" s="13" t="str">
        <f>IF(Q152&gt;=300,"Exceso en sodio",IFERROR(IF(AND(F152=0,Q152&gt;0),"No tiene sello",IF(Q152/F152&gt;1,"Exceso en sodio","No tiene sello")),"No tiene sello"))</f>
        <v>No tiene sello</v>
      </c>
      <c r="AM152" s="13" t="str">
        <f>IFERROR(IF(F152=0,"No tiene sello",IF(+(AG152/1000)*9*100/F152&gt;1,"Exceso en grasa trans", "No tiene sello")),"No tiene sello")</f>
        <v>No tiene sello</v>
      </c>
    </row>
    <row r="153" spans="1:39" ht="13.5" customHeight="1" x14ac:dyDescent="0.25">
      <c r="A153" s="26" t="s">
        <v>1366</v>
      </c>
      <c r="B153" s="26" t="s">
        <v>1367</v>
      </c>
      <c r="C153" s="26" t="s">
        <v>1298</v>
      </c>
      <c r="D153" s="16">
        <v>100</v>
      </c>
      <c r="E153" s="28">
        <v>83.1</v>
      </c>
      <c r="F153" s="24">
        <v>69</v>
      </c>
      <c r="G153" s="28">
        <v>291</v>
      </c>
      <c r="H153" s="24">
        <v>1.6</v>
      </c>
      <c r="I153" s="24">
        <v>0.1</v>
      </c>
      <c r="J153" s="24">
        <v>14.4</v>
      </c>
      <c r="K153" s="28">
        <v>12.6</v>
      </c>
      <c r="L153" s="28">
        <v>1.44</v>
      </c>
      <c r="M153" s="24">
        <v>1.8</v>
      </c>
      <c r="N153" s="28">
        <v>0.8</v>
      </c>
      <c r="O153" s="25">
        <v>58</v>
      </c>
      <c r="P153" s="25">
        <v>0.8</v>
      </c>
      <c r="Q153" s="28">
        <v>20</v>
      </c>
      <c r="R153" s="25">
        <v>51</v>
      </c>
      <c r="S153" s="28">
        <v>0.1</v>
      </c>
      <c r="T153" s="28">
        <v>28</v>
      </c>
      <c r="U153" s="28">
        <v>180</v>
      </c>
      <c r="V153" s="28">
        <v>7.0000000000000007E-2</v>
      </c>
      <c r="W153" s="28">
        <v>0.05</v>
      </c>
      <c r="X153" s="28">
        <v>0.5</v>
      </c>
      <c r="Y153" s="28">
        <v>64</v>
      </c>
      <c r="Z153" s="28">
        <v>0</v>
      </c>
      <c r="AA153" s="25">
        <v>12</v>
      </c>
      <c r="AB153" s="25">
        <v>50</v>
      </c>
      <c r="AC153" s="25">
        <v>0</v>
      </c>
      <c r="AD153" s="28">
        <v>0</v>
      </c>
      <c r="AE153" s="28">
        <v>0</v>
      </c>
      <c r="AF153" s="28">
        <v>0</v>
      </c>
      <c r="AG153" s="28">
        <v>0</v>
      </c>
      <c r="AH153" s="24">
        <v>0</v>
      </c>
      <c r="AI153" s="28">
        <v>95</v>
      </c>
      <c r="AJ153" s="13" t="str">
        <f xml:space="preserve"> IF(AD153&gt;F153,"Exceso en grasa saturada",IFERROR(IF(F153=0,"No tiene sello",IF((AD153*9)*100/F153&gt;10,"Exceso en grasa saturada","No tiene sello")),"No tiene sello"))</f>
        <v>No tiene sello</v>
      </c>
      <c r="AK153" s="13">
        <f>IF(AJ153="No tiene sello",0,1)</f>
        <v>0</v>
      </c>
      <c r="AL153" s="13" t="str">
        <f>IF(Q153&gt;=300,"Exceso en sodio",IFERROR(IF(AND(F153=0,Q153&gt;0),"No tiene sello",IF(Q153/F153&gt;1,"Exceso en sodio","No tiene sello")),"No tiene sello"))</f>
        <v>No tiene sello</v>
      </c>
      <c r="AM153" s="13" t="str">
        <f>IFERROR(IF(F153=0,"No tiene sello",IF(+(AG153/1000)*9*100/F153&gt;1,"Exceso en grasa trans", "No tiene sello")),"No tiene sello")</f>
        <v>No tiene sello</v>
      </c>
    </row>
    <row r="154" spans="1:39" ht="13.5" customHeight="1" x14ac:dyDescent="0.25">
      <c r="A154" s="20" t="s">
        <v>1364</v>
      </c>
      <c r="B154" s="20" t="s">
        <v>1365</v>
      </c>
      <c r="C154" s="20" t="s">
        <v>143</v>
      </c>
      <c r="D154" s="22">
        <v>100</v>
      </c>
      <c r="E154" s="23">
        <v>3.9</v>
      </c>
      <c r="F154" s="24">
        <v>391</v>
      </c>
      <c r="G154" s="23">
        <v>1659</v>
      </c>
      <c r="H154" s="24">
        <v>8.6</v>
      </c>
      <c r="I154" s="24">
        <v>0.5</v>
      </c>
      <c r="J154" s="24">
        <v>83.6</v>
      </c>
      <c r="K154" s="23">
        <v>74.400000000000006</v>
      </c>
      <c r="L154" s="23">
        <v>8.36</v>
      </c>
      <c r="M154" s="24">
        <v>9.1999999999999993</v>
      </c>
      <c r="N154" s="23">
        <v>3.4</v>
      </c>
      <c r="O154" s="25">
        <v>257</v>
      </c>
      <c r="P154" s="25">
        <v>1.6</v>
      </c>
      <c r="Q154" s="23">
        <v>21</v>
      </c>
      <c r="R154" s="25">
        <v>303</v>
      </c>
      <c r="S154" s="23">
        <v>1.9</v>
      </c>
      <c r="T154" s="23">
        <v>92</v>
      </c>
      <c r="U154" s="23">
        <v>1622</v>
      </c>
      <c r="V154" s="23">
        <v>0.5</v>
      </c>
      <c r="W154" s="23">
        <v>0.1</v>
      </c>
      <c r="X154" s="23">
        <v>1</v>
      </c>
      <c r="Y154" s="23">
        <v>166</v>
      </c>
      <c r="Z154" s="23">
        <v>0</v>
      </c>
      <c r="AA154" s="25">
        <v>75</v>
      </c>
      <c r="AB154" s="25">
        <v>12</v>
      </c>
      <c r="AC154" s="25">
        <v>0</v>
      </c>
      <c r="AD154" s="23">
        <v>0</v>
      </c>
      <c r="AE154" s="23">
        <v>0</v>
      </c>
      <c r="AF154" s="23">
        <v>0</v>
      </c>
      <c r="AG154" s="23">
        <v>0</v>
      </c>
      <c r="AH154" s="24">
        <v>0</v>
      </c>
      <c r="AI154" s="23">
        <v>100</v>
      </c>
      <c r="AJ154" s="13" t="str">
        <f xml:space="preserve"> IF(AD154&gt;F154,"Exceso en grasa saturada",IFERROR(IF(F154=0,"No tiene sello",IF((AD154*9)*100/F154&gt;10,"Exceso en grasa saturada","No tiene sello")),"No tiene sello"))</f>
        <v>No tiene sello</v>
      </c>
      <c r="AK154" s="13">
        <f>IF(AJ154="No tiene sello",0,1)</f>
        <v>0</v>
      </c>
      <c r="AL154" s="13" t="str">
        <f>IF(Q154&gt;=300,"Exceso en sodio",IFERROR(IF(AND(F154=0,Q154&gt;0),"No tiene sello",IF(Q154/F154&gt;1,"Exceso en sodio","No tiene sello")),"No tiene sello"))</f>
        <v>No tiene sello</v>
      </c>
      <c r="AM154" s="13" t="str">
        <f>IFERROR(IF(F154=0,"No tiene sello",IF(+(AG154/1000)*9*100/F154&gt;1,"Exceso en grasa trans", "No tiene sello")),"No tiene sello")</f>
        <v>No tiene sello</v>
      </c>
    </row>
    <row r="155" spans="1:39" ht="13.5" customHeight="1" x14ac:dyDescent="0.25">
      <c r="A155" s="26" t="s">
        <v>1362</v>
      </c>
      <c r="B155" s="26" t="s">
        <v>1363</v>
      </c>
      <c r="C155" s="27"/>
      <c r="D155" s="16">
        <v>100</v>
      </c>
      <c r="E155" s="28">
        <v>79.7</v>
      </c>
      <c r="F155" s="24">
        <v>97</v>
      </c>
      <c r="G155" s="28">
        <v>408</v>
      </c>
      <c r="H155" s="24">
        <v>1.5</v>
      </c>
      <c r="I155" s="24">
        <v>3.5</v>
      </c>
      <c r="J155" s="24">
        <v>13.8</v>
      </c>
      <c r="K155" s="28">
        <v>11.5</v>
      </c>
      <c r="L155" s="28">
        <v>1.38</v>
      </c>
      <c r="M155" s="24">
        <v>2.2999999999999998</v>
      </c>
      <c r="N155" s="28">
        <v>1.4</v>
      </c>
      <c r="O155" s="25">
        <v>31</v>
      </c>
      <c r="P155" s="25">
        <v>0.6</v>
      </c>
      <c r="Q155" s="28">
        <v>369</v>
      </c>
      <c r="R155" s="25">
        <v>0</v>
      </c>
      <c r="S155" s="28">
        <v>0</v>
      </c>
      <c r="T155" s="28">
        <v>0</v>
      </c>
      <c r="U155" s="28">
        <v>338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5">
        <v>1</v>
      </c>
      <c r="AB155" s="25">
        <v>0</v>
      </c>
      <c r="AC155" s="25">
        <v>0</v>
      </c>
      <c r="AD155" s="28">
        <v>0</v>
      </c>
      <c r="AE155" s="28">
        <v>0</v>
      </c>
      <c r="AF155" s="28">
        <v>0</v>
      </c>
      <c r="AG155" s="28">
        <v>0</v>
      </c>
      <c r="AH155" s="24">
        <v>0</v>
      </c>
      <c r="AI155" s="28">
        <v>100</v>
      </c>
      <c r="AJ155" s="13" t="str">
        <f xml:space="preserve"> IF(AD155&gt;F155,"Exceso en grasa saturada",IFERROR(IF(F155=0,"No tiene sello",IF((AD155*9)*100/F155&gt;10,"Exceso en grasa saturada","No tiene sello")),"No tiene sello"))</f>
        <v>No tiene sello</v>
      </c>
      <c r="AK155" s="13">
        <f>IF(AJ155="No tiene sello",0,1)</f>
        <v>0</v>
      </c>
      <c r="AL155" s="13" t="str">
        <f>IF(Q155&gt;=300,"Exceso en sodio",IFERROR(IF(AND(F155=0,Q155&gt;0),"No tiene sello",IF(Q155/F155&gt;1,"Exceso en sodio","No tiene sello")),"No tiene sello"))</f>
        <v>Exceso en sodio</v>
      </c>
      <c r="AM155" s="13" t="str">
        <f>IFERROR(IF(F155=0,"No tiene sello",IF(+(AG155/1000)*9*100/F155&gt;1,"Exceso en grasa trans", "No tiene sello")),"No tiene sello")</f>
        <v>No tiene sello</v>
      </c>
    </row>
    <row r="156" spans="1:39" ht="13.5" customHeight="1" x14ac:dyDescent="0.25">
      <c r="A156" s="20" t="s">
        <v>1360</v>
      </c>
      <c r="B156" s="20" t="s">
        <v>1361</v>
      </c>
      <c r="C156" s="20" t="s">
        <v>1358</v>
      </c>
      <c r="D156" s="22">
        <v>100</v>
      </c>
      <c r="E156" s="23">
        <v>92.4</v>
      </c>
      <c r="F156" s="24">
        <v>32</v>
      </c>
      <c r="G156" s="23">
        <v>134</v>
      </c>
      <c r="H156" s="24">
        <v>3.1</v>
      </c>
      <c r="I156" s="24">
        <v>0.6</v>
      </c>
      <c r="J156" s="24">
        <v>3</v>
      </c>
      <c r="K156" s="23">
        <v>2</v>
      </c>
      <c r="L156" s="23">
        <v>0.3</v>
      </c>
      <c r="M156" s="24">
        <v>1</v>
      </c>
      <c r="N156" s="23">
        <v>0.8</v>
      </c>
      <c r="O156" s="25">
        <v>6</v>
      </c>
      <c r="P156" s="25">
        <v>0.6</v>
      </c>
      <c r="Q156" s="23">
        <v>5</v>
      </c>
      <c r="R156" s="25">
        <v>80</v>
      </c>
      <c r="S156" s="23">
        <v>0.5</v>
      </c>
      <c r="T156" s="23">
        <v>9</v>
      </c>
      <c r="U156" s="23">
        <v>318</v>
      </c>
      <c r="V156" s="23">
        <v>0.09</v>
      </c>
      <c r="W156" s="23">
        <v>0.4</v>
      </c>
      <c r="X156" s="23">
        <v>3.9</v>
      </c>
      <c r="Y156" s="23">
        <v>17</v>
      </c>
      <c r="Z156" s="23">
        <v>0.04</v>
      </c>
      <c r="AA156" s="25">
        <v>2</v>
      </c>
      <c r="AB156" s="25">
        <v>0</v>
      </c>
      <c r="AC156" s="25">
        <v>0</v>
      </c>
      <c r="AD156" s="23">
        <v>0</v>
      </c>
      <c r="AE156" s="23">
        <v>0</v>
      </c>
      <c r="AF156" s="23">
        <v>0</v>
      </c>
      <c r="AG156" s="23">
        <v>0</v>
      </c>
      <c r="AH156" s="24">
        <v>0</v>
      </c>
      <c r="AI156" s="23">
        <v>100</v>
      </c>
      <c r="AJ156" s="13" t="str">
        <f xml:space="preserve"> IF(AD156&gt;F156,"Exceso en grasa saturada",IFERROR(IF(F156=0,"No tiene sello",IF((AD156*9)*100/F156&gt;10,"Exceso en grasa saturada","No tiene sello")),"No tiene sello"))</f>
        <v>No tiene sello</v>
      </c>
      <c r="AK156" s="13">
        <f>IF(AJ156="No tiene sello",0,1)</f>
        <v>0</v>
      </c>
      <c r="AL156" s="13" t="str">
        <f>IF(Q156&gt;=300,"Exceso en sodio",IFERROR(IF(AND(F156=0,Q156&gt;0),"No tiene sello",IF(Q156/F156&gt;1,"Exceso en sodio","No tiene sello")),"No tiene sello"))</f>
        <v>No tiene sello</v>
      </c>
      <c r="AM156" s="13" t="str">
        <f>IFERROR(IF(F156=0,"No tiene sello",IF(+(AG156/1000)*9*100/F156&gt;1,"Exceso en grasa trans", "No tiene sello")),"No tiene sello")</f>
        <v>No tiene sello</v>
      </c>
    </row>
    <row r="157" spans="1:39" ht="13.5" customHeight="1" x14ac:dyDescent="0.25">
      <c r="A157" s="26" t="s">
        <v>1357</v>
      </c>
      <c r="B157" s="26" t="s">
        <v>1359</v>
      </c>
      <c r="C157" s="26" t="s">
        <v>1358</v>
      </c>
      <c r="D157" s="16">
        <v>100</v>
      </c>
      <c r="E157" s="28">
        <v>90</v>
      </c>
      <c r="F157" s="24">
        <v>43</v>
      </c>
      <c r="G157" s="28">
        <v>180</v>
      </c>
      <c r="H157" s="24">
        <v>1.9</v>
      </c>
      <c r="I157" s="24">
        <v>0.4</v>
      </c>
      <c r="J157" s="24">
        <v>6.6</v>
      </c>
      <c r="K157" s="28">
        <v>4.0999999999999996</v>
      </c>
      <c r="L157" s="28">
        <v>0.66</v>
      </c>
      <c r="M157" s="24">
        <v>2.5</v>
      </c>
      <c r="N157" s="28">
        <v>1.1000000000000001</v>
      </c>
      <c r="O157" s="25">
        <v>11</v>
      </c>
      <c r="P157" s="25">
        <v>0.8</v>
      </c>
      <c r="Q157" s="28">
        <v>425</v>
      </c>
      <c r="R157" s="25">
        <v>65</v>
      </c>
      <c r="S157" s="28">
        <v>0.7</v>
      </c>
      <c r="T157" s="28">
        <v>15</v>
      </c>
      <c r="U157" s="28">
        <v>123</v>
      </c>
      <c r="V157" s="28">
        <v>0.09</v>
      </c>
      <c r="W157" s="28">
        <v>0.09</v>
      </c>
      <c r="X157" s="28">
        <v>1.4</v>
      </c>
      <c r="Y157" s="28">
        <v>12</v>
      </c>
      <c r="Z157" s="28">
        <v>0</v>
      </c>
      <c r="AA157" s="25">
        <v>0</v>
      </c>
      <c r="AB157" s="25">
        <v>0</v>
      </c>
      <c r="AC157" s="25">
        <v>0</v>
      </c>
      <c r="AD157" s="28">
        <v>0</v>
      </c>
      <c r="AE157" s="28">
        <v>0</v>
      </c>
      <c r="AF157" s="28">
        <v>0</v>
      </c>
      <c r="AG157" s="28">
        <v>0</v>
      </c>
      <c r="AH157" s="24">
        <v>0</v>
      </c>
      <c r="AI157" s="28">
        <v>100</v>
      </c>
      <c r="AJ157" s="13" t="str">
        <f xml:space="preserve"> IF(AD157&gt;F157,"Exceso en grasa saturada",IFERROR(IF(F157=0,"No tiene sello",IF((AD157*9)*100/F157&gt;10,"Exceso en grasa saturada","No tiene sello")),"No tiene sello"))</f>
        <v>No tiene sello</v>
      </c>
      <c r="AK157" s="13">
        <f>IF(AJ157="No tiene sello",0,1)</f>
        <v>0</v>
      </c>
      <c r="AL157" s="13" t="str">
        <f>IF(Q157&gt;=300,"Exceso en sodio",IFERROR(IF(AND(F157=0,Q157&gt;0),"No tiene sello",IF(Q157/F157&gt;1,"Exceso en sodio","No tiene sello")),"No tiene sello"))</f>
        <v>Exceso en sodio</v>
      </c>
      <c r="AM157" s="13" t="str">
        <f>IFERROR(IF(F157=0,"No tiene sello",IF(+(AG157/1000)*9*100/F157&gt;1,"Exceso en grasa trans", "No tiene sello")),"No tiene sello")</f>
        <v>No tiene sello</v>
      </c>
    </row>
    <row r="158" spans="1:39" ht="13.5" customHeight="1" x14ac:dyDescent="0.25">
      <c r="A158" s="37" t="s">
        <v>1355</v>
      </c>
      <c r="B158" s="29" t="s">
        <v>1356</v>
      </c>
      <c r="C158" s="29" t="s">
        <v>176</v>
      </c>
      <c r="D158" s="22">
        <v>100</v>
      </c>
      <c r="E158" s="31">
        <v>89</v>
      </c>
      <c r="F158" s="24">
        <v>44</v>
      </c>
      <c r="G158" s="31">
        <v>184</v>
      </c>
      <c r="H158" s="24">
        <v>2.2999999999999998</v>
      </c>
      <c r="I158" s="24">
        <v>0.6</v>
      </c>
      <c r="J158" s="24">
        <v>5.9</v>
      </c>
      <c r="K158" s="31">
        <v>3.1</v>
      </c>
      <c r="L158" s="31">
        <v>0.59</v>
      </c>
      <c r="M158" s="24">
        <v>2.8</v>
      </c>
      <c r="N158" s="31">
        <v>2.2000000000000002</v>
      </c>
      <c r="O158" s="31">
        <v>82</v>
      </c>
      <c r="P158" s="31">
        <v>1.8</v>
      </c>
      <c r="Q158" s="31">
        <v>46</v>
      </c>
      <c r="R158" s="31">
        <v>60</v>
      </c>
      <c r="S158" s="31">
        <v>0.5</v>
      </c>
      <c r="T158" s="31">
        <v>26</v>
      </c>
      <c r="U158" s="31">
        <v>521</v>
      </c>
      <c r="V158" s="31">
        <v>0.26</v>
      </c>
      <c r="W158" s="31">
        <v>0.21</v>
      </c>
      <c r="X158" s="31">
        <v>1.5</v>
      </c>
      <c r="Y158" s="31">
        <v>62</v>
      </c>
      <c r="Z158" s="31">
        <v>0</v>
      </c>
      <c r="AA158" s="31">
        <v>68</v>
      </c>
      <c r="AB158" s="31">
        <v>390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0</v>
      </c>
      <c r="AI158" s="31">
        <v>90</v>
      </c>
      <c r="AJ158" s="13" t="str">
        <f xml:space="preserve"> IF(AD158&gt;F158,"Exceso en grasa saturada",IFERROR(IF(F158=0,"No tiene sello",IF((AD158*9)*100/F158&gt;10,"Exceso en grasa saturada","No tiene sello")),"No tiene sello"))</f>
        <v>No tiene sello</v>
      </c>
      <c r="AK158" s="13">
        <f>IF(AJ158="No tiene sello",0,1)</f>
        <v>0</v>
      </c>
      <c r="AL158" s="13" t="str">
        <f>IF(Q158&gt;=300,"Exceso en sodio",IFERROR(IF(AND(F158=0,Q158&gt;0),"No tiene sello",IF(Q158/F158&gt;1,"Exceso en sodio","No tiene sello")),"No tiene sello"))</f>
        <v>Exceso en sodio</v>
      </c>
      <c r="AM158" s="13" t="str">
        <f>IFERROR(IF(F158=0,"No tiene sello",IF(+(AG158/1000)*9*100/F158&gt;1,"Exceso en grasa trans", "No tiene sello")),"No tiene sello")</f>
        <v>No tiene sello</v>
      </c>
    </row>
    <row r="159" spans="1:39" ht="13.5" customHeight="1" x14ac:dyDescent="0.25">
      <c r="A159" s="26" t="s">
        <v>1353</v>
      </c>
      <c r="B159" s="26" t="s">
        <v>1354</v>
      </c>
      <c r="C159" s="26" t="s">
        <v>1347</v>
      </c>
      <c r="D159" s="16">
        <v>100</v>
      </c>
      <c r="E159" s="28">
        <v>85.8</v>
      </c>
      <c r="F159" s="24">
        <v>60</v>
      </c>
      <c r="G159" s="28">
        <v>254</v>
      </c>
      <c r="H159" s="24">
        <v>3.4</v>
      </c>
      <c r="I159" s="24">
        <v>0.3</v>
      </c>
      <c r="J159" s="24">
        <v>9.1</v>
      </c>
      <c r="K159" s="28">
        <v>5.3</v>
      </c>
      <c r="L159" s="28">
        <v>0.91</v>
      </c>
      <c r="M159" s="24">
        <v>3.8</v>
      </c>
      <c r="N159" s="28">
        <v>1.4</v>
      </c>
      <c r="O159" s="25">
        <v>42</v>
      </c>
      <c r="P159" s="25">
        <v>1.4</v>
      </c>
      <c r="Q159" s="28">
        <v>25</v>
      </c>
      <c r="R159" s="25">
        <v>71</v>
      </c>
      <c r="S159" s="28">
        <v>0.4</v>
      </c>
      <c r="T159" s="28">
        <v>23</v>
      </c>
      <c r="U159" s="28">
        <v>389</v>
      </c>
      <c r="V159" s="28">
        <v>0.14000000000000001</v>
      </c>
      <c r="W159" s="28">
        <v>0.13</v>
      </c>
      <c r="X159" s="28">
        <v>0.7</v>
      </c>
      <c r="Y159" s="28">
        <v>61</v>
      </c>
      <c r="Z159" s="28">
        <v>0</v>
      </c>
      <c r="AA159" s="25">
        <v>94</v>
      </c>
      <c r="AB159" s="25">
        <v>43</v>
      </c>
      <c r="AC159" s="25">
        <v>0</v>
      </c>
      <c r="AD159" s="28">
        <v>0</v>
      </c>
      <c r="AE159" s="28">
        <v>0</v>
      </c>
      <c r="AF159" s="28">
        <v>0</v>
      </c>
      <c r="AG159" s="28">
        <v>0</v>
      </c>
      <c r="AH159" s="24">
        <v>0</v>
      </c>
      <c r="AI159" s="28">
        <v>80</v>
      </c>
      <c r="AJ159" s="13" t="str">
        <f xml:space="preserve"> IF(AD159&gt;F159,"Exceso en grasa saturada",IFERROR(IF(F159=0,"No tiene sello",IF((AD159*9)*100/F159&gt;10,"Exceso en grasa saturada","No tiene sello")),"No tiene sello"))</f>
        <v>No tiene sello</v>
      </c>
      <c r="AK159" s="13">
        <f>IF(AJ159="No tiene sello",0,1)</f>
        <v>0</v>
      </c>
      <c r="AL159" s="13" t="str">
        <f>IF(Q159&gt;=300,"Exceso en sodio",IFERROR(IF(AND(F159=0,Q159&gt;0),"No tiene sello",IF(Q159/F159&gt;1,"Exceso en sodio","No tiene sello")),"No tiene sello"))</f>
        <v>No tiene sello</v>
      </c>
      <c r="AM159" s="13" t="str">
        <f>IFERROR(IF(F159=0,"No tiene sello",IF(+(AG159/1000)*9*100/F159&gt;1,"Exceso en grasa trans", "No tiene sello")),"No tiene sello")</f>
        <v>No tiene sello</v>
      </c>
    </row>
    <row r="160" spans="1:39" ht="13.5" customHeight="1" x14ac:dyDescent="0.25">
      <c r="A160" s="20" t="s">
        <v>1351</v>
      </c>
      <c r="B160" s="20" t="s">
        <v>1352</v>
      </c>
      <c r="C160" s="20" t="s">
        <v>1347</v>
      </c>
      <c r="D160" s="22">
        <v>100</v>
      </c>
      <c r="E160" s="23">
        <v>86.7</v>
      </c>
      <c r="F160" s="24">
        <v>50</v>
      </c>
      <c r="G160" s="23">
        <v>210</v>
      </c>
      <c r="H160" s="24">
        <v>2.5</v>
      </c>
      <c r="I160" s="24">
        <v>0.5</v>
      </c>
      <c r="J160" s="24">
        <v>8.4</v>
      </c>
      <c r="K160" s="23">
        <v>7.6</v>
      </c>
      <c r="L160" s="23">
        <v>0.84</v>
      </c>
      <c r="M160" s="24">
        <v>0.8</v>
      </c>
      <c r="N160" s="23">
        <v>1.9</v>
      </c>
      <c r="O160" s="25">
        <v>60</v>
      </c>
      <c r="P160" s="25">
        <v>1.2</v>
      </c>
      <c r="Q160" s="23">
        <v>0</v>
      </c>
      <c r="R160" s="25">
        <v>43</v>
      </c>
      <c r="S160" s="23">
        <v>0</v>
      </c>
      <c r="T160" s="23">
        <v>0</v>
      </c>
      <c r="U160" s="23">
        <v>0</v>
      </c>
      <c r="V160" s="23">
        <v>0.13</v>
      </c>
      <c r="W160" s="23">
        <v>0.06</v>
      </c>
      <c r="X160" s="23">
        <v>1</v>
      </c>
      <c r="Y160" s="23">
        <v>0</v>
      </c>
      <c r="Z160" s="23">
        <v>0</v>
      </c>
      <c r="AA160" s="25">
        <v>125</v>
      </c>
      <c r="AB160" s="25">
        <v>65</v>
      </c>
      <c r="AC160" s="25">
        <v>0</v>
      </c>
      <c r="AD160" s="23">
        <v>0</v>
      </c>
      <c r="AE160" s="23">
        <v>0</v>
      </c>
      <c r="AF160" s="23">
        <v>0</v>
      </c>
      <c r="AG160" s="23">
        <v>0</v>
      </c>
      <c r="AH160" s="24">
        <v>0</v>
      </c>
      <c r="AI160" s="23">
        <v>60</v>
      </c>
      <c r="AJ160" s="13" t="str">
        <f xml:space="preserve"> IF(AD160&gt;F160,"Exceso en grasa saturada",IFERROR(IF(F160=0,"No tiene sello",IF((AD160*9)*100/F160&gt;10,"Exceso en grasa saturada","No tiene sello")),"No tiene sello"))</f>
        <v>No tiene sello</v>
      </c>
      <c r="AK160" s="13">
        <f>IF(AJ160="No tiene sello",0,1)</f>
        <v>0</v>
      </c>
      <c r="AL160" s="13" t="str">
        <f>IF(Q160&gt;=300,"Exceso en sodio",IFERROR(IF(AND(F160=0,Q160&gt;0),"No tiene sello",IF(Q160/F160&gt;1,"Exceso en sodio","No tiene sello")),"No tiene sello"))</f>
        <v>No tiene sello</v>
      </c>
      <c r="AM160" s="13" t="str">
        <f>IFERROR(IF(F160=0,"No tiene sello",IF(+(AG160/1000)*9*100/F160&gt;1,"Exceso en grasa trans", "No tiene sello")),"No tiene sello")</f>
        <v>No tiene sello</v>
      </c>
    </row>
    <row r="161" spans="1:39" ht="13.5" customHeight="1" x14ac:dyDescent="0.25">
      <c r="A161" s="26" t="s">
        <v>1349</v>
      </c>
      <c r="B161" s="26" t="s">
        <v>1350</v>
      </c>
      <c r="C161" s="26" t="s">
        <v>1347</v>
      </c>
      <c r="D161" s="16">
        <v>100</v>
      </c>
      <c r="E161" s="28">
        <v>90.6</v>
      </c>
      <c r="F161" s="24">
        <v>41</v>
      </c>
      <c r="G161" s="28">
        <v>173</v>
      </c>
      <c r="H161" s="24">
        <v>1.9</v>
      </c>
      <c r="I161" s="24">
        <v>0.2</v>
      </c>
      <c r="J161" s="24">
        <v>6.7</v>
      </c>
      <c r="K161" s="28">
        <v>4.2</v>
      </c>
      <c r="L161" s="28">
        <v>0.67</v>
      </c>
      <c r="M161" s="24">
        <v>2.4</v>
      </c>
      <c r="N161" s="28">
        <v>0.6</v>
      </c>
      <c r="O161" s="25">
        <v>16</v>
      </c>
      <c r="P161" s="25">
        <v>0.3</v>
      </c>
      <c r="Q161" s="28">
        <v>3</v>
      </c>
      <c r="R161" s="25">
        <v>49</v>
      </c>
      <c r="S161" s="28">
        <v>0.3</v>
      </c>
      <c r="T161" s="28">
        <v>10</v>
      </c>
      <c r="U161" s="28">
        <v>87</v>
      </c>
      <c r="V161" s="28">
        <v>0.04</v>
      </c>
      <c r="W161" s="28">
        <v>0.03</v>
      </c>
      <c r="X161" s="28">
        <v>0.9</v>
      </c>
      <c r="Y161" s="28">
        <v>36</v>
      </c>
      <c r="Z161" s="28">
        <v>0</v>
      </c>
      <c r="AA161" s="25">
        <v>18</v>
      </c>
      <c r="AB161" s="25">
        <v>1</v>
      </c>
      <c r="AC161" s="25">
        <v>0</v>
      </c>
      <c r="AD161" s="28">
        <v>0</v>
      </c>
      <c r="AE161" s="28">
        <v>0</v>
      </c>
      <c r="AF161" s="28">
        <v>0</v>
      </c>
      <c r="AG161" s="28">
        <v>0</v>
      </c>
      <c r="AH161" s="24">
        <v>0</v>
      </c>
      <c r="AI161" s="28">
        <v>100</v>
      </c>
      <c r="AJ161" s="13" t="str">
        <f xml:space="preserve"> IF(AD161&gt;F161,"Exceso en grasa saturada",IFERROR(IF(F161=0,"No tiene sello",IF((AD161*9)*100/F161&gt;10,"Exceso en grasa saturada","No tiene sello")),"No tiene sello"))</f>
        <v>No tiene sello</v>
      </c>
      <c r="AK161" s="13">
        <f>IF(AJ161="No tiene sello",0,1)</f>
        <v>0</v>
      </c>
      <c r="AL161" s="13" t="str">
        <f>IF(Q161&gt;=300,"Exceso en sodio",IFERROR(IF(AND(F161=0,Q161&gt;0),"No tiene sello",IF(Q161/F161&gt;1,"Exceso en sodio","No tiene sello")),"No tiene sello"))</f>
        <v>No tiene sello</v>
      </c>
      <c r="AM161" s="13" t="str">
        <f>IFERROR(IF(F161=0,"No tiene sello",IF(+(AG161/1000)*9*100/F161&gt;1,"Exceso en grasa trans", "No tiene sello")),"No tiene sello")</f>
        <v>No tiene sello</v>
      </c>
    </row>
    <row r="162" spans="1:39" s="4" customFormat="1" ht="13.5" customHeight="1" x14ac:dyDescent="0.25">
      <c r="A162" s="20" t="s">
        <v>1346</v>
      </c>
      <c r="B162" s="20" t="s">
        <v>1348</v>
      </c>
      <c r="C162" s="20" t="s">
        <v>1347</v>
      </c>
      <c r="D162" s="22">
        <v>100</v>
      </c>
      <c r="E162" s="23">
        <v>91.7</v>
      </c>
      <c r="F162" s="24">
        <v>36</v>
      </c>
      <c r="G162" s="23">
        <v>152</v>
      </c>
      <c r="H162" s="24">
        <v>1.9</v>
      </c>
      <c r="I162" s="24">
        <v>0.1</v>
      </c>
      <c r="J162" s="24">
        <v>5.7</v>
      </c>
      <c r="K162" s="23">
        <v>3.3</v>
      </c>
      <c r="L162" s="23">
        <v>0.56999999999999995</v>
      </c>
      <c r="M162" s="24">
        <v>2.4</v>
      </c>
      <c r="N162" s="23">
        <v>0.6</v>
      </c>
      <c r="O162" s="25">
        <v>25</v>
      </c>
      <c r="P162" s="25">
        <v>0.7</v>
      </c>
      <c r="Q162" s="23">
        <v>41</v>
      </c>
      <c r="R162" s="25">
        <v>57</v>
      </c>
      <c r="S162" s="23">
        <v>0.3</v>
      </c>
      <c r="T162" s="23">
        <v>12</v>
      </c>
      <c r="U162" s="23">
        <v>310</v>
      </c>
      <c r="V162" s="23">
        <v>0.03</v>
      </c>
      <c r="W162" s="23">
        <v>0.08</v>
      </c>
      <c r="X162" s="23">
        <v>0.5</v>
      </c>
      <c r="Y162" s="23">
        <v>57</v>
      </c>
      <c r="Z162" s="23">
        <v>0</v>
      </c>
      <c r="AA162" s="25">
        <v>55</v>
      </c>
      <c r="AB162" s="25">
        <v>15</v>
      </c>
      <c r="AC162" s="25">
        <v>0</v>
      </c>
      <c r="AD162" s="23">
        <v>0</v>
      </c>
      <c r="AE162" s="23">
        <v>0</v>
      </c>
      <c r="AF162" s="23">
        <v>0</v>
      </c>
      <c r="AG162" s="23">
        <v>0</v>
      </c>
      <c r="AH162" s="24">
        <v>0</v>
      </c>
      <c r="AI162" s="23">
        <v>80</v>
      </c>
      <c r="AJ162" s="13" t="str">
        <f xml:space="preserve"> IF(AD162&gt;F162,"Exceso en grasa saturada",IFERROR(IF(F162=0,"No tiene sello",IF((AD162*9)*100/F162&gt;10,"Exceso en grasa saturada","No tiene sello")),"No tiene sello"))</f>
        <v>No tiene sello</v>
      </c>
      <c r="AK162" s="13">
        <f>IF(AJ162="No tiene sello",0,1)</f>
        <v>0</v>
      </c>
      <c r="AL162" s="13" t="str">
        <f>IF(Q162&gt;=300,"Exceso en sodio",IFERROR(IF(AND(F162=0,Q162&gt;0),"No tiene sello",IF(Q162/F162&gt;1,"Exceso en sodio","No tiene sello")),"No tiene sello"))</f>
        <v>Exceso en sodio</v>
      </c>
      <c r="AM162" s="13" t="str">
        <f>IFERROR(IF(F162=0,"No tiene sello",IF(+(AG162/1000)*9*100/F162&gt;1,"Exceso en grasa trans", "No tiene sello")),"No tiene sello")</f>
        <v>No tiene sello</v>
      </c>
    </row>
    <row r="163" spans="1:39" ht="13.5" customHeight="1" x14ac:dyDescent="0.25">
      <c r="A163" s="26" t="s">
        <v>1344</v>
      </c>
      <c r="B163" s="26" t="s">
        <v>1345</v>
      </c>
      <c r="C163" s="26" t="s">
        <v>339</v>
      </c>
      <c r="D163" s="16">
        <v>100</v>
      </c>
      <c r="E163" s="28">
        <v>91.6</v>
      </c>
      <c r="F163" s="24">
        <v>35</v>
      </c>
      <c r="G163" s="28">
        <v>149</v>
      </c>
      <c r="H163" s="24">
        <v>1.7</v>
      </c>
      <c r="I163" s="24">
        <v>0.1</v>
      </c>
      <c r="J163" s="24">
        <v>5.7</v>
      </c>
      <c r="K163" s="28">
        <v>3.3</v>
      </c>
      <c r="L163" s="28">
        <v>0.56999999999999995</v>
      </c>
      <c r="M163" s="24">
        <v>2.4</v>
      </c>
      <c r="N163" s="28">
        <v>0.9</v>
      </c>
      <c r="O163" s="25">
        <v>48</v>
      </c>
      <c r="P163" s="25">
        <v>0.4</v>
      </c>
      <c r="Q163" s="28">
        <v>13</v>
      </c>
      <c r="R163" s="25">
        <v>46</v>
      </c>
      <c r="S163" s="28">
        <v>0.2</v>
      </c>
      <c r="T163" s="28">
        <v>19</v>
      </c>
      <c r="U163" s="28">
        <v>333</v>
      </c>
      <c r="V163" s="28">
        <v>0.06</v>
      </c>
      <c r="W163" s="28">
        <v>0.03</v>
      </c>
      <c r="X163" s="28">
        <v>0.5</v>
      </c>
      <c r="Y163" s="28">
        <v>21</v>
      </c>
      <c r="Z163" s="28">
        <v>0</v>
      </c>
      <c r="AA163" s="25">
        <v>60</v>
      </c>
      <c r="AB163" s="25">
        <v>1</v>
      </c>
      <c r="AC163" s="25">
        <v>0</v>
      </c>
      <c r="AD163" s="28">
        <v>0</v>
      </c>
      <c r="AE163" s="28">
        <v>0</v>
      </c>
      <c r="AF163" s="28">
        <v>0</v>
      </c>
      <c r="AG163" s="28">
        <v>0</v>
      </c>
      <c r="AH163" s="24">
        <v>0</v>
      </c>
      <c r="AI163" s="28">
        <v>60</v>
      </c>
      <c r="AJ163" s="13" t="str">
        <f xml:space="preserve"> IF(AD163&gt;F163,"Exceso en grasa saturada",IFERROR(IF(F163=0,"No tiene sello",IF((AD163*9)*100/F163&gt;10,"Exceso en grasa saturada","No tiene sello")),"No tiene sello"))</f>
        <v>No tiene sello</v>
      </c>
      <c r="AK163" s="13">
        <f>IF(AJ163="No tiene sello",0,1)</f>
        <v>0</v>
      </c>
      <c r="AL163" s="13" t="str">
        <f>IF(Q163&gt;=300,"Exceso en sodio",IFERROR(IF(AND(F163=0,Q163&gt;0),"No tiene sello",IF(Q163/F163&gt;1,"Exceso en sodio","No tiene sello")),"No tiene sello"))</f>
        <v>No tiene sello</v>
      </c>
      <c r="AM163" s="13" t="str">
        <f>IFERROR(IF(F163=0,"No tiene sello",IF(+(AG163/1000)*9*100/F163&gt;1,"Exceso en grasa trans", "No tiene sello")),"No tiene sello")</f>
        <v>No tiene sello</v>
      </c>
    </row>
    <row r="164" spans="1:39" ht="13.5" customHeight="1" x14ac:dyDescent="0.25">
      <c r="A164" s="20" t="s">
        <v>1342</v>
      </c>
      <c r="B164" s="20" t="s">
        <v>1343</v>
      </c>
      <c r="C164" s="20" t="s">
        <v>1298</v>
      </c>
      <c r="D164" s="22">
        <v>100</v>
      </c>
      <c r="E164" s="23">
        <v>92</v>
      </c>
      <c r="F164" s="24">
        <v>35</v>
      </c>
      <c r="G164" s="23">
        <v>146</v>
      </c>
      <c r="H164" s="24">
        <v>2.6</v>
      </c>
      <c r="I164" s="24">
        <v>0.3</v>
      </c>
      <c r="J164" s="24">
        <v>4.4000000000000004</v>
      </c>
      <c r="K164" s="23">
        <v>2.4</v>
      </c>
      <c r="L164" s="23">
        <v>0.44</v>
      </c>
      <c r="M164" s="24">
        <v>2</v>
      </c>
      <c r="N164" s="23">
        <v>0.7</v>
      </c>
      <c r="O164" s="25">
        <v>23</v>
      </c>
      <c r="P164" s="25">
        <v>0.9</v>
      </c>
      <c r="Q164" s="23">
        <v>14</v>
      </c>
      <c r="R164" s="25">
        <v>54</v>
      </c>
      <c r="S164" s="23">
        <v>0.6</v>
      </c>
      <c r="T164" s="23">
        <v>14</v>
      </c>
      <c r="U164" s="23">
        <v>224</v>
      </c>
      <c r="V164" s="23">
        <v>0.16</v>
      </c>
      <c r="W164" s="23">
        <v>0.14000000000000001</v>
      </c>
      <c r="X164" s="23">
        <v>1.1000000000000001</v>
      </c>
      <c r="Y164" s="23">
        <v>149</v>
      </c>
      <c r="Z164" s="23">
        <v>0</v>
      </c>
      <c r="AA164" s="25">
        <v>8</v>
      </c>
      <c r="AB164" s="25">
        <v>56</v>
      </c>
      <c r="AC164" s="25">
        <v>0</v>
      </c>
      <c r="AD164" s="23">
        <v>0</v>
      </c>
      <c r="AE164" s="23">
        <v>0</v>
      </c>
      <c r="AF164" s="23">
        <v>0</v>
      </c>
      <c r="AG164" s="23">
        <v>0</v>
      </c>
      <c r="AH164" s="24">
        <v>0</v>
      </c>
      <c r="AI164" s="23">
        <v>100</v>
      </c>
      <c r="AJ164" s="13" t="str">
        <f xml:space="preserve"> IF(AD164&gt;F164,"Exceso en grasa saturada",IFERROR(IF(F164=0,"No tiene sello",IF((AD164*9)*100/F164&gt;10,"Exceso en grasa saturada","No tiene sello")),"No tiene sello"))</f>
        <v>No tiene sello</v>
      </c>
      <c r="AK164" s="13">
        <f>IF(AJ164="No tiene sello",0,1)</f>
        <v>0</v>
      </c>
      <c r="AL164" s="13" t="str">
        <f>IF(Q164&gt;=300,"Exceso en sodio",IFERROR(IF(AND(F164=0,Q164&gt;0),"No tiene sello",IF(Q164/F164&gt;1,"Exceso en sodio","No tiene sello")),"No tiene sello"))</f>
        <v>No tiene sello</v>
      </c>
      <c r="AM164" s="13" t="str">
        <f>IFERROR(IF(F164=0,"No tiene sello",IF(+(AG164/1000)*9*100/F164&gt;1,"Exceso en grasa trans", "No tiene sello")),"No tiene sello")</f>
        <v>No tiene sello</v>
      </c>
    </row>
    <row r="165" spans="1:39" ht="13.5" customHeight="1" x14ac:dyDescent="0.25">
      <c r="A165" s="26" t="s">
        <v>1340</v>
      </c>
      <c r="B165" s="26" t="s">
        <v>1341</v>
      </c>
      <c r="C165" s="26" t="s">
        <v>1298</v>
      </c>
      <c r="D165" s="16">
        <v>100</v>
      </c>
      <c r="E165" s="28">
        <v>92.7</v>
      </c>
      <c r="F165" s="24">
        <v>32</v>
      </c>
      <c r="G165" s="28">
        <v>133</v>
      </c>
      <c r="H165" s="24">
        <v>2</v>
      </c>
      <c r="I165" s="24">
        <v>0.2</v>
      </c>
      <c r="J165" s="24">
        <v>4.4000000000000004</v>
      </c>
      <c r="K165" s="28">
        <v>2.2999999999999998</v>
      </c>
      <c r="L165" s="28">
        <v>0.44</v>
      </c>
      <c r="M165" s="24">
        <v>2.1</v>
      </c>
      <c r="N165" s="28">
        <v>0.7</v>
      </c>
      <c r="O165" s="25">
        <v>25</v>
      </c>
      <c r="P165" s="25">
        <v>1.7</v>
      </c>
      <c r="Q165" s="28">
        <v>2</v>
      </c>
      <c r="R165" s="25">
        <v>47</v>
      </c>
      <c r="S165" s="28">
        <v>0.5</v>
      </c>
      <c r="T165" s="28">
        <v>14</v>
      </c>
      <c r="U165" s="28">
        <v>202</v>
      </c>
      <c r="V165" s="28">
        <v>0.15</v>
      </c>
      <c r="W165" s="28">
        <v>0.14000000000000001</v>
      </c>
      <c r="X165" s="28">
        <v>0.9</v>
      </c>
      <c r="Y165" s="28">
        <v>113</v>
      </c>
      <c r="Z165" s="28">
        <v>0</v>
      </c>
      <c r="AA165" s="25">
        <v>18</v>
      </c>
      <c r="AB165" s="25">
        <v>38</v>
      </c>
      <c r="AC165" s="25">
        <v>0</v>
      </c>
      <c r="AD165" s="28">
        <v>0</v>
      </c>
      <c r="AE165" s="28">
        <v>0</v>
      </c>
      <c r="AF165" s="28">
        <v>0</v>
      </c>
      <c r="AG165" s="28">
        <v>0</v>
      </c>
      <c r="AH165" s="24">
        <v>0</v>
      </c>
      <c r="AI165" s="28">
        <v>95</v>
      </c>
      <c r="AJ165" s="13" t="str">
        <f xml:space="preserve"> IF(AD165&gt;F165,"Exceso en grasa saturada",IFERROR(IF(F165=0,"No tiene sello",IF((AD165*9)*100/F165&gt;10,"Exceso en grasa saturada","No tiene sello")),"No tiene sello"))</f>
        <v>No tiene sello</v>
      </c>
      <c r="AK165" s="13">
        <f>IF(AJ165="No tiene sello",0,1)</f>
        <v>0</v>
      </c>
      <c r="AL165" s="13" t="str">
        <f>IF(Q165&gt;=300,"Exceso en sodio",IFERROR(IF(AND(F165=0,Q165&gt;0),"No tiene sello",IF(Q165/F165&gt;1,"Exceso en sodio","No tiene sello")),"No tiene sello"))</f>
        <v>No tiene sello</v>
      </c>
      <c r="AM165" s="13" t="str">
        <f>IFERROR(IF(F165=0,"No tiene sello",IF(+(AG165/1000)*9*100/F165&gt;1,"Exceso en grasa trans", "No tiene sello")),"No tiene sello")</f>
        <v>No tiene sello</v>
      </c>
    </row>
    <row r="166" spans="1:39" ht="13.5" customHeight="1" x14ac:dyDescent="0.25">
      <c r="A166" s="20" t="s">
        <v>1338</v>
      </c>
      <c r="B166" s="20" t="s">
        <v>1339</v>
      </c>
      <c r="C166" s="20" t="s">
        <v>176</v>
      </c>
      <c r="D166" s="22">
        <v>100</v>
      </c>
      <c r="E166" s="23">
        <v>91.1</v>
      </c>
      <c r="F166" s="24">
        <v>35</v>
      </c>
      <c r="G166" s="23">
        <v>146</v>
      </c>
      <c r="H166" s="24">
        <v>2.9</v>
      </c>
      <c r="I166" s="24">
        <v>0.1</v>
      </c>
      <c r="J166" s="24">
        <v>4.0999999999999996</v>
      </c>
      <c r="K166" s="23">
        <v>1.5</v>
      </c>
      <c r="L166" s="23">
        <v>0.41</v>
      </c>
      <c r="M166" s="24">
        <v>2.6</v>
      </c>
      <c r="N166" s="23">
        <v>1.7</v>
      </c>
      <c r="O166" s="25">
        <v>132</v>
      </c>
      <c r="P166" s="25">
        <v>1.9</v>
      </c>
      <c r="Q166" s="23">
        <v>67</v>
      </c>
      <c r="R166" s="25">
        <v>54</v>
      </c>
      <c r="S166" s="23">
        <v>0.7</v>
      </c>
      <c r="T166" s="23">
        <v>41</v>
      </c>
      <c r="U166" s="23">
        <v>427</v>
      </c>
      <c r="V166" s="23">
        <v>0.1</v>
      </c>
      <c r="W166" s="23">
        <v>0.2</v>
      </c>
      <c r="X166" s="23">
        <v>0.9</v>
      </c>
      <c r="Y166" s="23">
        <v>146</v>
      </c>
      <c r="Z166" s="23">
        <v>0</v>
      </c>
      <c r="AA166" s="25">
        <v>14</v>
      </c>
      <c r="AB166" s="25">
        <v>479</v>
      </c>
      <c r="AC166" s="25">
        <v>0</v>
      </c>
      <c r="AD166" s="23">
        <v>0</v>
      </c>
      <c r="AE166" s="23">
        <v>0</v>
      </c>
      <c r="AF166" s="23">
        <v>0</v>
      </c>
      <c r="AG166" s="23">
        <v>0</v>
      </c>
      <c r="AH166" s="24">
        <v>0</v>
      </c>
      <c r="AI166" s="23">
        <v>100</v>
      </c>
      <c r="AJ166" s="13" t="str">
        <f xml:space="preserve"> IF(AD166&gt;F166,"Exceso en grasa saturada",IFERROR(IF(F166=0,"No tiene sello",IF((AD166*9)*100/F166&gt;10,"Exceso en grasa saturada","No tiene sello")),"No tiene sello"))</f>
        <v>No tiene sello</v>
      </c>
      <c r="AK166" s="13">
        <f>IF(AJ166="No tiene sello",0,1)</f>
        <v>0</v>
      </c>
      <c r="AL166" s="13" t="str">
        <f>IF(Q166&gt;=300,"Exceso en sodio",IFERROR(IF(AND(F166=0,Q166&gt;0),"No tiene sello",IF(Q166/F166&gt;1,"Exceso en sodio","No tiene sello")),"No tiene sello"))</f>
        <v>Exceso en sodio</v>
      </c>
      <c r="AM166" s="13" t="str">
        <f>IFERROR(IF(F166=0,"No tiene sello",IF(+(AG166/1000)*9*100/F166&gt;1,"Exceso en grasa trans", "No tiene sello")),"No tiene sello")</f>
        <v>No tiene sello</v>
      </c>
    </row>
    <row r="167" spans="1:39" ht="13.5" customHeight="1" x14ac:dyDescent="0.25">
      <c r="A167" s="36" t="s">
        <v>1336</v>
      </c>
      <c r="B167" s="33" t="s">
        <v>1337</v>
      </c>
      <c r="C167" s="33" t="s">
        <v>176</v>
      </c>
      <c r="D167" s="16">
        <v>100</v>
      </c>
      <c r="E167" s="35">
        <v>91.4</v>
      </c>
      <c r="F167" s="24">
        <v>34</v>
      </c>
      <c r="G167" s="35">
        <v>142</v>
      </c>
      <c r="H167" s="24">
        <v>2.9</v>
      </c>
      <c r="I167" s="24">
        <v>0.2</v>
      </c>
      <c r="J167" s="24">
        <v>3.8</v>
      </c>
      <c r="K167" s="35">
        <v>1.1000000000000001</v>
      </c>
      <c r="L167" s="35">
        <v>0.38</v>
      </c>
      <c r="M167" s="24">
        <v>2.6</v>
      </c>
      <c r="N167" s="35">
        <v>1.7</v>
      </c>
      <c r="O167" s="35">
        <v>123</v>
      </c>
      <c r="P167" s="35">
        <v>2.4</v>
      </c>
      <c r="Q167" s="35">
        <v>66</v>
      </c>
      <c r="R167" s="35">
        <v>42</v>
      </c>
      <c r="S167" s="35">
        <v>0.5</v>
      </c>
      <c r="T167" s="35">
        <v>79</v>
      </c>
      <c r="U167" s="35">
        <v>474</v>
      </c>
      <c r="V167" s="35">
        <v>0.08</v>
      </c>
      <c r="W167" s="35">
        <v>0.19</v>
      </c>
      <c r="X167" s="35">
        <v>0.7</v>
      </c>
      <c r="Y167" s="35">
        <v>194</v>
      </c>
      <c r="Z167" s="35">
        <v>0</v>
      </c>
      <c r="AA167" s="35">
        <v>26</v>
      </c>
      <c r="AB167" s="35">
        <v>533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60</v>
      </c>
      <c r="AJ167" s="13" t="str">
        <f xml:space="preserve"> IF(AD167&gt;F167,"Exceso en grasa saturada",IFERROR(IF(F167=0,"No tiene sello",IF((AD167*9)*100/F167&gt;10,"Exceso en grasa saturada","No tiene sello")),"No tiene sello"))</f>
        <v>No tiene sello</v>
      </c>
      <c r="AK167" s="13">
        <f>IF(AJ167="No tiene sello",0,1)</f>
        <v>0</v>
      </c>
      <c r="AL167" s="13" t="str">
        <f>IF(Q167&gt;=300,"Exceso en sodio",IFERROR(IF(AND(F167=0,Q167&gt;0),"No tiene sello",IF(Q167/F167&gt;1,"Exceso en sodio","No tiene sello")),"No tiene sello"))</f>
        <v>Exceso en sodio</v>
      </c>
      <c r="AM167" s="13" t="str">
        <f>IFERROR(IF(F167=0,"No tiene sello",IF(+(AG167/1000)*9*100/F167&gt;1,"Exceso en grasa trans", "No tiene sello")),"No tiene sello")</f>
        <v>No tiene sello</v>
      </c>
    </row>
    <row r="168" spans="1:39" ht="13.5" customHeight="1" x14ac:dyDescent="0.25">
      <c r="A168" s="20" t="s">
        <v>1334</v>
      </c>
      <c r="B168" s="20" t="s">
        <v>1335</v>
      </c>
      <c r="C168" s="20" t="s">
        <v>3</v>
      </c>
      <c r="D168" s="22">
        <v>100</v>
      </c>
      <c r="E168" s="23">
        <v>63</v>
      </c>
      <c r="F168" s="24">
        <v>147</v>
      </c>
      <c r="G168" s="23">
        <v>624</v>
      </c>
      <c r="H168" s="24">
        <v>9.3000000000000007</v>
      </c>
      <c r="I168" s="24">
        <v>0.4</v>
      </c>
      <c r="J168" s="24">
        <v>25.5</v>
      </c>
      <c r="K168" s="23">
        <v>23.3</v>
      </c>
      <c r="L168" s="23">
        <v>2.5499999999999998</v>
      </c>
      <c r="M168" s="24">
        <v>2.2000000000000002</v>
      </c>
      <c r="N168" s="23">
        <v>1.8</v>
      </c>
      <c r="O168" s="25">
        <v>31</v>
      </c>
      <c r="P168" s="25">
        <v>1.9</v>
      </c>
      <c r="Q168" s="23">
        <v>216</v>
      </c>
      <c r="R168" s="25">
        <v>185</v>
      </c>
      <c r="S168" s="23">
        <v>1.3</v>
      </c>
      <c r="T168" s="23">
        <v>48</v>
      </c>
      <c r="U168" s="23">
        <v>486</v>
      </c>
      <c r="V168" s="23">
        <v>0.53</v>
      </c>
      <c r="W168" s="23">
        <v>0.11</v>
      </c>
      <c r="X168" s="23">
        <v>1.6</v>
      </c>
      <c r="Y168" s="23">
        <v>0</v>
      </c>
      <c r="Z168" s="23">
        <v>0</v>
      </c>
      <c r="AA168" s="25">
        <v>7</v>
      </c>
      <c r="AB168" s="25">
        <v>3</v>
      </c>
      <c r="AC168" s="25">
        <v>0</v>
      </c>
      <c r="AD168" s="23">
        <v>0</v>
      </c>
      <c r="AE168" s="23">
        <v>0</v>
      </c>
      <c r="AF168" s="23">
        <v>0</v>
      </c>
      <c r="AG168" s="23">
        <v>0</v>
      </c>
      <c r="AH168" s="24">
        <v>0</v>
      </c>
      <c r="AI168" s="23">
        <v>100</v>
      </c>
      <c r="AJ168" s="13" t="str">
        <f xml:space="preserve"> IF(AD168&gt;F168,"Exceso en grasa saturada",IFERROR(IF(F168=0,"No tiene sello",IF((AD168*9)*100/F168&gt;10,"Exceso en grasa saturada","No tiene sello")),"No tiene sello"))</f>
        <v>No tiene sello</v>
      </c>
      <c r="AK168" s="13">
        <f>IF(AJ168="No tiene sello",0,1)</f>
        <v>0</v>
      </c>
      <c r="AL168" s="13" t="str">
        <f>IF(Q168&gt;=300,"Exceso en sodio",IFERROR(IF(AND(F168=0,Q168&gt;0),"No tiene sello",IF(Q168/F168&gt;1,"Exceso en sodio","No tiene sello")),"No tiene sello"))</f>
        <v>Exceso en sodio</v>
      </c>
      <c r="AM168" s="13" t="str">
        <f>IFERROR(IF(F168=0,"No tiene sello",IF(+(AG168/1000)*9*100/F168&gt;1,"Exceso en grasa trans", "No tiene sello")),"No tiene sello")</f>
        <v>No tiene sello</v>
      </c>
    </row>
    <row r="169" spans="1:39" ht="13.5" customHeight="1" x14ac:dyDescent="0.25">
      <c r="A169" s="26" t="s">
        <v>1332</v>
      </c>
      <c r="B169" s="26" t="s">
        <v>1333</v>
      </c>
      <c r="C169" s="26" t="s">
        <v>3</v>
      </c>
      <c r="D169" s="16">
        <v>100</v>
      </c>
      <c r="E169" s="28">
        <v>58.2</v>
      </c>
      <c r="F169" s="24">
        <v>166</v>
      </c>
      <c r="G169" s="28">
        <v>702</v>
      </c>
      <c r="H169" s="24">
        <v>10.5</v>
      </c>
      <c r="I169" s="24">
        <v>0.4</v>
      </c>
      <c r="J169" s="24">
        <v>29</v>
      </c>
      <c r="K169" s="28">
        <v>27</v>
      </c>
      <c r="L169" s="28">
        <v>2.9</v>
      </c>
      <c r="M169" s="24">
        <v>2</v>
      </c>
      <c r="N169" s="28">
        <v>1.9</v>
      </c>
      <c r="O169" s="25">
        <v>67</v>
      </c>
      <c r="P169" s="25">
        <v>3.3</v>
      </c>
      <c r="Q169" s="28">
        <v>0</v>
      </c>
      <c r="R169" s="25">
        <v>220</v>
      </c>
      <c r="S169" s="28">
        <v>0</v>
      </c>
      <c r="T169" s="28">
        <v>0</v>
      </c>
      <c r="U169" s="28">
        <v>756</v>
      </c>
      <c r="V169" s="28">
        <v>0.39</v>
      </c>
      <c r="W169" s="28">
        <v>0.08</v>
      </c>
      <c r="X169" s="28">
        <v>1.4</v>
      </c>
      <c r="Y169" s="28">
        <v>0</v>
      </c>
      <c r="Z169" s="28">
        <v>0</v>
      </c>
      <c r="AA169" s="25">
        <v>16</v>
      </c>
      <c r="AB169" s="25">
        <v>4</v>
      </c>
      <c r="AC169" s="25">
        <v>0</v>
      </c>
      <c r="AD169" s="28">
        <v>0</v>
      </c>
      <c r="AE169" s="28">
        <v>0</v>
      </c>
      <c r="AF169" s="28">
        <v>0</v>
      </c>
      <c r="AG169" s="28">
        <v>0</v>
      </c>
      <c r="AH169" s="24">
        <v>0</v>
      </c>
      <c r="AI169" s="28">
        <v>50</v>
      </c>
      <c r="AJ169" s="13" t="str">
        <f xml:space="preserve"> IF(AD169&gt;F169,"Exceso en grasa saturada",IFERROR(IF(F169=0,"No tiene sello",IF((AD169*9)*100/F169&gt;10,"Exceso en grasa saturada","No tiene sello")),"No tiene sello"))</f>
        <v>No tiene sello</v>
      </c>
      <c r="AK169" s="13">
        <f>IF(AJ169="No tiene sello",0,1)</f>
        <v>0</v>
      </c>
      <c r="AL169" s="13" t="str">
        <f>IF(Q169&gt;=300,"Exceso en sodio",IFERROR(IF(AND(F169=0,Q169&gt;0),"No tiene sello",IF(Q169/F169&gt;1,"Exceso en sodio","No tiene sello")),"No tiene sello"))</f>
        <v>No tiene sello</v>
      </c>
      <c r="AM169" s="13" t="str">
        <f>IFERROR(IF(F169=0,"No tiene sello",IF(+(AG169/1000)*9*100/F169&gt;1,"Exceso en grasa trans", "No tiene sello")),"No tiene sello")</f>
        <v>No tiene sello</v>
      </c>
    </row>
    <row r="170" spans="1:39" ht="13.5" customHeight="1" x14ac:dyDescent="0.25">
      <c r="A170" s="20" t="s">
        <v>1330</v>
      </c>
      <c r="B170" s="20" t="s">
        <v>1331</v>
      </c>
      <c r="C170" s="20" t="s">
        <v>176</v>
      </c>
      <c r="D170" s="22">
        <v>100</v>
      </c>
      <c r="E170" s="23">
        <v>86.1</v>
      </c>
      <c r="F170" s="24">
        <v>50</v>
      </c>
      <c r="G170" s="23">
        <v>214</v>
      </c>
      <c r="H170" s="24">
        <v>3.2</v>
      </c>
      <c r="I170" s="24">
        <v>0.5</v>
      </c>
      <c r="J170" s="24">
        <v>8.3000000000000007</v>
      </c>
      <c r="K170" s="23">
        <v>0</v>
      </c>
      <c r="L170" s="23">
        <v>0.83</v>
      </c>
      <c r="M170" s="24">
        <v>0</v>
      </c>
      <c r="N170" s="23">
        <v>1.9</v>
      </c>
      <c r="O170" s="25">
        <v>245</v>
      </c>
      <c r="P170" s="25">
        <v>7.1</v>
      </c>
      <c r="Q170" s="23">
        <v>0</v>
      </c>
      <c r="R170" s="25">
        <v>45</v>
      </c>
      <c r="S170" s="23">
        <v>0</v>
      </c>
      <c r="T170" s="23">
        <v>0</v>
      </c>
      <c r="U170" s="23">
        <v>0</v>
      </c>
      <c r="V170" s="23">
        <v>0.11</v>
      </c>
      <c r="W170" s="23">
        <v>0.27</v>
      </c>
      <c r="X170" s="23">
        <v>2.1</v>
      </c>
      <c r="Y170" s="23">
        <v>0</v>
      </c>
      <c r="Z170" s="23">
        <v>0</v>
      </c>
      <c r="AA170" s="25">
        <v>30</v>
      </c>
      <c r="AB170" s="25">
        <v>320</v>
      </c>
      <c r="AC170" s="25">
        <v>0</v>
      </c>
      <c r="AD170" s="23">
        <v>0</v>
      </c>
      <c r="AE170" s="23">
        <v>0</v>
      </c>
      <c r="AF170" s="23">
        <v>0</v>
      </c>
      <c r="AG170" s="23">
        <v>0</v>
      </c>
      <c r="AH170" s="24">
        <v>0</v>
      </c>
      <c r="AI170" s="23">
        <v>35</v>
      </c>
      <c r="AJ170" s="13" t="str">
        <f xml:space="preserve"> IF(AD170&gt;F170,"Exceso en grasa saturada",IFERROR(IF(F170=0,"No tiene sello",IF((AD170*9)*100/F170&gt;10,"Exceso en grasa saturada","No tiene sello")),"No tiene sello"))</f>
        <v>No tiene sello</v>
      </c>
      <c r="AK170" s="13">
        <f>IF(AJ170="No tiene sello",0,1)</f>
        <v>0</v>
      </c>
      <c r="AL170" s="13" t="str">
        <f>IF(Q170&gt;=300,"Exceso en sodio",IFERROR(IF(AND(F170=0,Q170&gt;0),"No tiene sello",IF(Q170/F170&gt;1,"Exceso en sodio","No tiene sello")),"No tiene sello"))</f>
        <v>No tiene sello</v>
      </c>
      <c r="AM170" s="13" t="str">
        <f>IFERROR(IF(F170=0,"No tiene sello",IF(+(AG170/1000)*9*100/F170&gt;1,"Exceso en grasa trans", "No tiene sello")),"No tiene sello")</f>
        <v>No tiene sello</v>
      </c>
    </row>
    <row r="171" spans="1:39" ht="13.5" customHeight="1" x14ac:dyDescent="0.25">
      <c r="A171" s="26" t="s">
        <v>1328</v>
      </c>
      <c r="B171" s="26" t="s">
        <v>1329</v>
      </c>
      <c r="C171" s="26" t="s">
        <v>143</v>
      </c>
      <c r="D171" s="16">
        <v>100</v>
      </c>
      <c r="E171" s="28">
        <v>93.5</v>
      </c>
      <c r="F171" s="24">
        <v>27</v>
      </c>
      <c r="G171" s="28">
        <v>115</v>
      </c>
      <c r="H171" s="24">
        <v>0.8</v>
      </c>
      <c r="I171" s="24">
        <v>0</v>
      </c>
      <c r="J171" s="24">
        <v>5.2</v>
      </c>
      <c r="K171" s="28">
        <v>3.5</v>
      </c>
      <c r="L171" s="28">
        <v>0.52</v>
      </c>
      <c r="M171" s="24">
        <v>1.7</v>
      </c>
      <c r="N171" s="28">
        <v>0.5</v>
      </c>
      <c r="O171" s="25">
        <v>15</v>
      </c>
      <c r="P171" s="25">
        <v>0.4</v>
      </c>
      <c r="Q171" s="28">
        <v>2</v>
      </c>
      <c r="R171" s="25">
        <v>23</v>
      </c>
      <c r="S171" s="28">
        <v>0.7</v>
      </c>
      <c r="T171" s="28">
        <v>12</v>
      </c>
      <c r="U171" s="28">
        <v>125</v>
      </c>
      <c r="V171" s="28">
        <v>0.03</v>
      </c>
      <c r="W171" s="28">
        <v>0.04</v>
      </c>
      <c r="X171" s="28">
        <v>0.6</v>
      </c>
      <c r="Y171" s="28">
        <v>93</v>
      </c>
      <c r="Z171" s="28">
        <v>0</v>
      </c>
      <c r="AA171" s="25">
        <v>15</v>
      </c>
      <c r="AB171" s="25">
        <v>4</v>
      </c>
      <c r="AC171" s="25">
        <v>0</v>
      </c>
      <c r="AD171" s="28">
        <v>0</v>
      </c>
      <c r="AE171" s="28">
        <v>0</v>
      </c>
      <c r="AF171" s="28">
        <v>0</v>
      </c>
      <c r="AG171" s="28">
        <v>0</v>
      </c>
      <c r="AH171" s="24">
        <v>0</v>
      </c>
      <c r="AI171" s="28">
        <v>65</v>
      </c>
      <c r="AJ171" s="13" t="str">
        <f xml:space="preserve"> IF(AD171&gt;F171,"Exceso en grasa saturada",IFERROR(IF(F171=0,"No tiene sello",IF((AD171*9)*100/F171&gt;10,"Exceso en grasa saturada","No tiene sello")),"No tiene sello"))</f>
        <v>No tiene sello</v>
      </c>
      <c r="AK171" s="13">
        <f>IF(AJ171="No tiene sello",0,1)</f>
        <v>0</v>
      </c>
      <c r="AL171" s="13" t="str">
        <f>IF(Q171&gt;=300,"Exceso en sodio",IFERROR(IF(AND(F171=0,Q171&gt;0),"No tiene sello",IF(Q171/F171&gt;1,"Exceso en sodio","No tiene sello")),"No tiene sello"))</f>
        <v>No tiene sello</v>
      </c>
      <c r="AM171" s="13" t="str">
        <f>IFERROR(IF(F171=0,"No tiene sello",IF(+(AG171/1000)*9*100/F171&gt;1,"Exceso en grasa trans", "No tiene sello")),"No tiene sello")</f>
        <v>No tiene sello</v>
      </c>
    </row>
    <row r="172" spans="1:39" s="5" customFormat="1" ht="13.5" customHeight="1" x14ac:dyDescent="0.25">
      <c r="A172" s="20" t="s">
        <v>1326</v>
      </c>
      <c r="B172" s="20" t="s">
        <v>1327</v>
      </c>
      <c r="C172" s="20" t="s">
        <v>3</v>
      </c>
      <c r="D172" s="46">
        <v>100</v>
      </c>
      <c r="E172" s="23">
        <v>86.2</v>
      </c>
      <c r="F172" s="24">
        <v>53</v>
      </c>
      <c r="G172" s="23">
        <v>226</v>
      </c>
      <c r="H172" s="24">
        <v>2.6</v>
      </c>
      <c r="I172" s="24">
        <v>0.1</v>
      </c>
      <c r="J172" s="24">
        <v>10.5</v>
      </c>
      <c r="K172" s="23">
        <v>0</v>
      </c>
      <c r="L172" s="23">
        <v>8.4</v>
      </c>
      <c r="M172" s="24">
        <v>0</v>
      </c>
      <c r="N172" s="23">
        <v>0.6</v>
      </c>
      <c r="O172" s="25">
        <v>44</v>
      </c>
      <c r="P172" s="25">
        <v>0.8</v>
      </c>
      <c r="Q172" s="23">
        <v>4</v>
      </c>
      <c r="R172" s="25">
        <v>54</v>
      </c>
      <c r="S172" s="23">
        <v>0.6</v>
      </c>
      <c r="T172" s="23">
        <v>25</v>
      </c>
      <c r="U172" s="23">
        <v>150</v>
      </c>
      <c r="V172" s="23">
        <v>0.17</v>
      </c>
      <c r="W172" s="23">
        <v>0.1</v>
      </c>
      <c r="X172" s="23">
        <v>0.8</v>
      </c>
      <c r="Y172" s="23">
        <v>7</v>
      </c>
      <c r="Z172" s="23">
        <v>0</v>
      </c>
      <c r="AA172" s="25">
        <v>30</v>
      </c>
      <c r="AB172" s="25">
        <v>33</v>
      </c>
      <c r="AC172" s="25">
        <v>0</v>
      </c>
      <c r="AD172" s="23">
        <v>0</v>
      </c>
      <c r="AE172" s="23">
        <v>0</v>
      </c>
      <c r="AF172" s="23">
        <v>0</v>
      </c>
      <c r="AG172" s="23">
        <v>0</v>
      </c>
      <c r="AH172" s="24">
        <v>0</v>
      </c>
      <c r="AI172" s="23">
        <v>95</v>
      </c>
      <c r="AJ172" s="13" t="str">
        <f xml:space="preserve"> IF(AD172&gt;F172,"Exceso en grasa saturada",IFERROR(IF(F172=0,"No tiene sello",IF((AD172*9)*100/F172&gt;10,"Exceso en grasa saturada","No tiene sello")),"No tiene sello"))</f>
        <v>No tiene sello</v>
      </c>
      <c r="AK172" s="13">
        <f>IF(AJ172="No tiene sello",0,1)</f>
        <v>0</v>
      </c>
      <c r="AL172" s="13" t="str">
        <f>IF(Q172&gt;=300,"Exceso en sodio",IFERROR(IF(AND(F172=0,Q172&gt;0),"No tiene sello",IF(Q172/F172&gt;1,"Exceso en sodio","No tiene sello")),"No tiene sello"))</f>
        <v>No tiene sello</v>
      </c>
      <c r="AM172" s="13" t="str">
        <f>IFERROR(IF(F172=0,"No tiene sello",IF(+(AG172/1000)*9*100/F172&gt;1,"Exceso en grasa trans", "No tiene sello")),"No tiene sello")</f>
        <v>No tiene sello</v>
      </c>
    </row>
    <row r="173" spans="1:39" ht="13.5" customHeight="1" x14ac:dyDescent="0.25">
      <c r="A173" s="26" t="s">
        <v>1324</v>
      </c>
      <c r="B173" s="26" t="s">
        <v>1325</v>
      </c>
      <c r="C173" s="26" t="s">
        <v>3</v>
      </c>
      <c r="D173" s="47">
        <v>100</v>
      </c>
      <c r="E173" s="28">
        <v>65.7</v>
      </c>
      <c r="F173" s="24">
        <v>144</v>
      </c>
      <c r="G173" s="28">
        <v>607</v>
      </c>
      <c r="H173" s="24">
        <v>9.9</v>
      </c>
      <c r="I173" s="24">
        <v>0.6</v>
      </c>
      <c r="J173" s="24">
        <v>22.5</v>
      </c>
      <c r="K173" s="28">
        <v>18.3</v>
      </c>
      <c r="L173" s="28">
        <v>2.25</v>
      </c>
      <c r="M173" s="24">
        <v>4.2</v>
      </c>
      <c r="N173" s="28">
        <v>1.3</v>
      </c>
      <c r="O173" s="25">
        <v>33</v>
      </c>
      <c r="P173" s="25">
        <v>2</v>
      </c>
      <c r="Q173" s="28">
        <v>26</v>
      </c>
      <c r="R173" s="25">
        <v>143</v>
      </c>
      <c r="S173" s="28">
        <v>0.6</v>
      </c>
      <c r="T173" s="28">
        <v>33</v>
      </c>
      <c r="U173" s="28">
        <v>386</v>
      </c>
      <c r="V173" s="28">
        <v>0.28999999999999998</v>
      </c>
      <c r="W173" s="28">
        <v>0.15</v>
      </c>
      <c r="X173" s="28">
        <v>1.6</v>
      </c>
      <c r="Y173" s="28">
        <v>96</v>
      </c>
      <c r="Z173" s="28">
        <v>0</v>
      </c>
      <c r="AA173" s="25">
        <v>32</v>
      </c>
      <c r="AB173" s="25">
        <v>19</v>
      </c>
      <c r="AC173" s="25">
        <v>0</v>
      </c>
      <c r="AD173" s="28">
        <v>0</v>
      </c>
      <c r="AE173" s="28">
        <v>0</v>
      </c>
      <c r="AF173" s="28">
        <v>0</v>
      </c>
      <c r="AG173" s="28">
        <v>0</v>
      </c>
      <c r="AH173" s="24">
        <v>0</v>
      </c>
      <c r="AI173" s="28">
        <v>60</v>
      </c>
      <c r="AJ173" s="13" t="str">
        <f xml:space="preserve"> IF(AD173&gt;F173,"Exceso en grasa saturada",IFERROR(IF(F173=0,"No tiene sello",IF((AD173*9)*100/F173&gt;10,"Exceso en grasa saturada","No tiene sello")),"No tiene sello"))</f>
        <v>No tiene sello</v>
      </c>
      <c r="AK173" s="13">
        <f>IF(AJ173="No tiene sello",0,1)</f>
        <v>0</v>
      </c>
      <c r="AL173" s="13" t="str">
        <f>IF(Q173&gt;=300,"Exceso en sodio",IFERROR(IF(AND(F173=0,Q173&gt;0),"No tiene sello",IF(Q173/F173&gt;1,"Exceso en sodio","No tiene sello")),"No tiene sello"))</f>
        <v>No tiene sello</v>
      </c>
      <c r="AM173" s="13" t="str">
        <f>IFERROR(IF(F173=0,"No tiene sello",IF(+(AG173/1000)*9*100/F173&gt;1,"Exceso en grasa trans", "No tiene sello")),"No tiene sello")</f>
        <v>No tiene sello</v>
      </c>
    </row>
    <row r="174" spans="1:39" ht="13.5" customHeight="1" x14ac:dyDescent="0.25">
      <c r="A174" s="29" t="s">
        <v>1322</v>
      </c>
      <c r="B174" s="29" t="s">
        <v>1323</v>
      </c>
      <c r="C174" s="29" t="s">
        <v>143</v>
      </c>
      <c r="D174" s="46">
        <v>100</v>
      </c>
      <c r="E174" s="31">
        <v>92.7</v>
      </c>
      <c r="F174" s="24">
        <v>32</v>
      </c>
      <c r="G174" s="31">
        <v>135</v>
      </c>
      <c r="H174" s="24">
        <v>1.6</v>
      </c>
      <c r="I174" s="24">
        <v>0.1</v>
      </c>
      <c r="J174" s="24">
        <v>4.8</v>
      </c>
      <c r="K174" s="31">
        <v>2</v>
      </c>
      <c r="L174" s="31">
        <v>0.48</v>
      </c>
      <c r="M174" s="24">
        <v>2.8</v>
      </c>
      <c r="N174" s="31">
        <v>0.8</v>
      </c>
      <c r="O174" s="31">
        <v>46</v>
      </c>
      <c r="P174" s="25">
        <v>0.6</v>
      </c>
      <c r="Q174" s="31">
        <v>1</v>
      </c>
      <c r="R174" s="31">
        <v>30</v>
      </c>
      <c r="S174" s="31">
        <v>0.2</v>
      </c>
      <c r="T174" s="31">
        <v>18</v>
      </c>
      <c r="U174" s="31">
        <v>149</v>
      </c>
      <c r="V174" s="31">
        <v>7.0000000000000007E-2</v>
      </c>
      <c r="W174" s="31">
        <v>0.1</v>
      </c>
      <c r="X174" s="31">
        <v>0.4</v>
      </c>
      <c r="Y174" s="31">
        <v>33</v>
      </c>
      <c r="Z174" s="31">
        <v>0</v>
      </c>
      <c r="AA174" s="25">
        <v>8</v>
      </c>
      <c r="AB174" s="25">
        <v>37</v>
      </c>
      <c r="AC174" s="25">
        <v>0</v>
      </c>
      <c r="AD174" s="31">
        <v>0</v>
      </c>
      <c r="AE174" s="31">
        <v>0</v>
      </c>
      <c r="AF174" s="31">
        <v>0</v>
      </c>
      <c r="AG174" s="31">
        <v>0</v>
      </c>
      <c r="AH174" s="24">
        <v>0</v>
      </c>
      <c r="AI174" s="31">
        <v>100</v>
      </c>
      <c r="AJ174" s="13" t="str">
        <f xml:space="preserve"> IF(AD174&gt;F174,"Exceso en grasa saturada",IFERROR(IF(F174=0,"No tiene sello",IF((AD174*9)*100/F174&gt;10,"Exceso en grasa saturada","No tiene sello")),"No tiene sello"))</f>
        <v>No tiene sello</v>
      </c>
      <c r="AK174" s="13">
        <f>IF(AJ174="No tiene sello",0,1)</f>
        <v>0</v>
      </c>
      <c r="AL174" s="13" t="str">
        <f>IF(Q174&gt;=300,"Exceso en sodio",IFERROR(IF(AND(F174=0,Q174&gt;0),"No tiene sello",IF(Q174/F174&gt;1,"Exceso en sodio","No tiene sello")),"No tiene sello"))</f>
        <v>No tiene sello</v>
      </c>
      <c r="AM174" s="13" t="str">
        <f>IFERROR(IF(F174=0,"No tiene sello",IF(+(AG174/1000)*9*100/F174&gt;1,"Exceso en grasa trans", "No tiene sello")),"No tiene sello")</f>
        <v>No tiene sello</v>
      </c>
    </row>
    <row r="175" spans="1:39" s="4" customFormat="1" ht="13.5" customHeight="1" x14ac:dyDescent="0.25">
      <c r="A175" s="26" t="s">
        <v>1320</v>
      </c>
      <c r="B175" s="26" t="s">
        <v>1321</v>
      </c>
      <c r="C175" s="26" t="s">
        <v>143</v>
      </c>
      <c r="D175" s="47">
        <v>100</v>
      </c>
      <c r="E175" s="28">
        <v>90</v>
      </c>
      <c r="F175" s="24">
        <v>43</v>
      </c>
      <c r="G175" s="28">
        <v>182</v>
      </c>
      <c r="H175" s="24">
        <v>2.1</v>
      </c>
      <c r="I175" s="24">
        <v>0</v>
      </c>
      <c r="J175" s="24">
        <v>7.2</v>
      </c>
      <c r="K175" s="28">
        <v>4.2</v>
      </c>
      <c r="L175" s="28">
        <v>0.72</v>
      </c>
      <c r="M175" s="24">
        <v>3</v>
      </c>
      <c r="N175" s="28">
        <v>0.7</v>
      </c>
      <c r="O175" s="25">
        <v>40</v>
      </c>
      <c r="P175" s="25">
        <v>1</v>
      </c>
      <c r="Q175" s="28">
        <v>6</v>
      </c>
      <c r="R175" s="25">
        <v>39</v>
      </c>
      <c r="S175" s="28">
        <v>0.2</v>
      </c>
      <c r="T175" s="28">
        <v>22</v>
      </c>
      <c r="U175" s="28">
        <v>209</v>
      </c>
      <c r="V175" s="28">
        <v>0.06</v>
      </c>
      <c r="W175" s="28">
        <v>0.1</v>
      </c>
      <c r="X175" s="28">
        <v>0.7</v>
      </c>
      <c r="Y175" s="28">
        <v>34</v>
      </c>
      <c r="Z175" s="28">
        <v>0</v>
      </c>
      <c r="AA175" s="25">
        <v>10</v>
      </c>
      <c r="AB175" s="25">
        <v>33</v>
      </c>
      <c r="AC175" s="25">
        <v>0</v>
      </c>
      <c r="AD175" s="28">
        <v>0</v>
      </c>
      <c r="AE175" s="28">
        <v>0</v>
      </c>
      <c r="AF175" s="28">
        <v>0</v>
      </c>
      <c r="AG175" s="28">
        <v>0</v>
      </c>
      <c r="AH175" s="24">
        <v>0</v>
      </c>
      <c r="AI175" s="28">
        <v>90</v>
      </c>
      <c r="AJ175" s="13" t="str">
        <f xml:space="preserve"> IF(AD175&gt;F175,"Exceso en grasa saturada",IFERROR(IF(F175=0,"No tiene sello",IF((AD175*9)*100/F175&gt;10,"Exceso en grasa saturada","No tiene sello")),"No tiene sello"))</f>
        <v>No tiene sello</v>
      </c>
      <c r="AK175" s="13">
        <f>IF(AJ175="No tiene sello",0,1)</f>
        <v>0</v>
      </c>
      <c r="AL175" s="13" t="str">
        <f>IF(Q175&gt;=300,"Exceso en sodio",IFERROR(IF(AND(F175=0,Q175&gt;0),"No tiene sello",IF(Q175/F175&gt;1,"Exceso en sodio","No tiene sello")),"No tiene sello"))</f>
        <v>No tiene sello</v>
      </c>
      <c r="AM175" s="13" t="str">
        <f>IFERROR(IF(F175=0,"No tiene sello",IF(+(AG175/1000)*9*100/F175&gt;1,"Exceso en grasa trans", "No tiene sello")),"No tiene sello")</f>
        <v>No tiene sello</v>
      </c>
    </row>
    <row r="176" spans="1:39" ht="13.5" customHeight="1" x14ac:dyDescent="0.25">
      <c r="A176" s="20" t="s">
        <v>1318</v>
      </c>
      <c r="B176" s="20" t="s">
        <v>1319</v>
      </c>
      <c r="C176" s="21"/>
      <c r="D176" s="46">
        <v>100</v>
      </c>
      <c r="E176" s="23">
        <v>6.1</v>
      </c>
      <c r="F176" s="24">
        <v>357</v>
      </c>
      <c r="G176" s="23">
        <v>1513</v>
      </c>
      <c r="H176" s="24">
        <v>6.6</v>
      </c>
      <c r="I176" s="24">
        <v>2.5</v>
      </c>
      <c r="J176" s="24">
        <v>77</v>
      </c>
      <c r="K176" s="23">
        <v>0</v>
      </c>
      <c r="L176" s="23">
        <v>0.5</v>
      </c>
      <c r="M176" s="24">
        <v>0</v>
      </c>
      <c r="N176" s="23">
        <v>7.9</v>
      </c>
      <c r="O176" s="25">
        <v>186</v>
      </c>
      <c r="P176" s="25">
        <v>2</v>
      </c>
      <c r="Q176" s="23">
        <v>0</v>
      </c>
      <c r="R176" s="25">
        <v>402</v>
      </c>
      <c r="S176" s="23">
        <v>0</v>
      </c>
      <c r="T176" s="23">
        <v>13</v>
      </c>
      <c r="U176" s="23">
        <v>0</v>
      </c>
      <c r="V176" s="23">
        <v>0.21</v>
      </c>
      <c r="W176" s="23">
        <v>0.79</v>
      </c>
      <c r="X176" s="23">
        <v>8.1999999999999993</v>
      </c>
      <c r="Y176" s="23">
        <v>0</v>
      </c>
      <c r="Z176" s="23">
        <v>0</v>
      </c>
      <c r="AA176" s="25">
        <v>0</v>
      </c>
      <c r="AB176" s="25">
        <v>1300</v>
      </c>
      <c r="AC176" s="25">
        <v>0</v>
      </c>
      <c r="AD176" s="23">
        <v>0</v>
      </c>
      <c r="AE176" s="23">
        <v>0</v>
      </c>
      <c r="AF176" s="23">
        <v>0</v>
      </c>
      <c r="AG176" s="23">
        <v>0</v>
      </c>
      <c r="AH176" s="24">
        <v>0</v>
      </c>
      <c r="AI176" s="23">
        <v>100</v>
      </c>
      <c r="AJ176" s="13" t="str">
        <f xml:space="preserve"> IF(AD176&gt;F176,"Exceso en grasa saturada",IFERROR(IF(F176=0,"No tiene sello",IF((AD176*9)*100/F176&gt;10,"Exceso en grasa saturada","No tiene sello")),"No tiene sello"))</f>
        <v>No tiene sello</v>
      </c>
      <c r="AK176" s="13">
        <f>IF(AJ176="No tiene sello",0,1)</f>
        <v>0</v>
      </c>
      <c r="AL176" s="13" t="str">
        <f>IF(Q176&gt;=300,"Exceso en sodio",IFERROR(IF(AND(F176=0,Q176&gt;0),"No tiene sello",IF(Q176/F176&gt;1,"Exceso en sodio","No tiene sello")),"No tiene sello"))</f>
        <v>No tiene sello</v>
      </c>
      <c r="AM176" s="13" t="str">
        <f>IFERROR(IF(F176=0,"No tiene sello",IF(+(AG176/1000)*9*100/F176&gt;1,"Exceso en grasa trans", "No tiene sello")),"No tiene sello")</f>
        <v>No tiene sello</v>
      </c>
    </row>
    <row r="177" spans="1:39" s="4" customFormat="1" ht="13.5" customHeight="1" x14ac:dyDescent="0.25">
      <c r="A177" s="26" t="s">
        <v>1316</v>
      </c>
      <c r="B177" s="26" t="s">
        <v>1317</v>
      </c>
      <c r="C177" s="27"/>
      <c r="D177" s="47">
        <v>100</v>
      </c>
      <c r="E177" s="28">
        <v>8</v>
      </c>
      <c r="F177" s="24">
        <v>368</v>
      </c>
      <c r="G177" s="28">
        <v>1564</v>
      </c>
      <c r="H177" s="24">
        <v>0.6</v>
      </c>
      <c r="I177" s="24">
        <v>0.8</v>
      </c>
      <c r="J177" s="24">
        <v>89.7</v>
      </c>
      <c r="K177" s="28">
        <v>0</v>
      </c>
      <c r="L177" s="28">
        <v>0.5</v>
      </c>
      <c r="M177" s="24">
        <v>0</v>
      </c>
      <c r="N177" s="28">
        <v>0.9</v>
      </c>
      <c r="O177" s="25">
        <v>0</v>
      </c>
      <c r="P177" s="25">
        <v>0</v>
      </c>
      <c r="Q177" s="28">
        <v>0</v>
      </c>
      <c r="R177" s="25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5">
        <v>10</v>
      </c>
      <c r="AB177" s="25">
        <v>0</v>
      </c>
      <c r="AC177" s="25">
        <v>0</v>
      </c>
      <c r="AD177" s="28">
        <v>0</v>
      </c>
      <c r="AE177" s="28">
        <v>0</v>
      </c>
      <c r="AF177" s="28">
        <v>0</v>
      </c>
      <c r="AG177" s="28">
        <v>0</v>
      </c>
      <c r="AH177" s="24">
        <v>0</v>
      </c>
      <c r="AI177" s="28">
        <v>100</v>
      </c>
      <c r="AJ177" s="13" t="str">
        <f xml:space="preserve"> IF(AD177&gt;F177,"Exceso en grasa saturada",IFERROR(IF(F177=0,"No tiene sello",IF((AD177*9)*100/F177&gt;10,"Exceso en grasa saturada","No tiene sello")),"No tiene sello"))</f>
        <v>No tiene sello</v>
      </c>
      <c r="AK177" s="13">
        <f>IF(AJ177="No tiene sello",0,1)</f>
        <v>0</v>
      </c>
      <c r="AL177" s="13" t="str">
        <f>IF(Q177&gt;=300,"Exceso en sodio",IFERROR(IF(AND(F177=0,Q177&gt;0),"No tiene sello",IF(Q177/F177&gt;1,"Exceso en sodio","No tiene sello")),"No tiene sello"))</f>
        <v>No tiene sello</v>
      </c>
      <c r="AM177" s="13" t="str">
        <f>IFERROR(IF(F177=0,"No tiene sello",IF(+(AG177/1000)*9*100/F177&gt;1,"Exceso en grasa trans", "No tiene sello")),"No tiene sello")</f>
        <v>No tiene sello</v>
      </c>
    </row>
    <row r="178" spans="1:39" ht="13.5" customHeight="1" x14ac:dyDescent="0.25">
      <c r="A178" s="20" t="s">
        <v>1314</v>
      </c>
      <c r="B178" s="20" t="s">
        <v>1315</v>
      </c>
      <c r="C178" s="21"/>
      <c r="D178" s="46">
        <v>100</v>
      </c>
      <c r="E178" s="23">
        <v>6.5</v>
      </c>
      <c r="F178" s="24">
        <v>369</v>
      </c>
      <c r="G178" s="23">
        <v>1567</v>
      </c>
      <c r="H178" s="24">
        <v>7.2</v>
      </c>
      <c r="I178" s="24">
        <v>0.4</v>
      </c>
      <c r="J178" s="24">
        <v>83.6</v>
      </c>
      <c r="K178" s="23">
        <v>82.3</v>
      </c>
      <c r="L178" s="23">
        <v>4.18</v>
      </c>
      <c r="M178" s="24">
        <v>1.3</v>
      </c>
      <c r="N178" s="23">
        <v>2.2999999999999998</v>
      </c>
      <c r="O178" s="25">
        <v>65</v>
      </c>
      <c r="P178" s="25">
        <v>1.4</v>
      </c>
      <c r="Q178" s="23">
        <v>55</v>
      </c>
      <c r="R178" s="25">
        <v>167</v>
      </c>
      <c r="S178" s="23">
        <v>0.5</v>
      </c>
      <c r="T178" s="23">
        <v>65</v>
      </c>
      <c r="U178" s="23">
        <v>1001</v>
      </c>
      <c r="V178" s="23">
        <v>0.23</v>
      </c>
      <c r="W178" s="23">
        <v>0.05</v>
      </c>
      <c r="X178" s="23">
        <v>3.5</v>
      </c>
      <c r="Y178" s="23">
        <v>25</v>
      </c>
      <c r="Z178" s="23">
        <v>0</v>
      </c>
      <c r="AA178" s="25">
        <v>4</v>
      </c>
      <c r="AB178" s="25">
        <v>0</v>
      </c>
      <c r="AC178" s="25">
        <v>0</v>
      </c>
      <c r="AD178" s="23">
        <v>0</v>
      </c>
      <c r="AE178" s="23">
        <v>0</v>
      </c>
      <c r="AF178" s="23">
        <v>0</v>
      </c>
      <c r="AG178" s="23">
        <v>0</v>
      </c>
      <c r="AH178" s="24">
        <v>0</v>
      </c>
      <c r="AI178" s="23">
        <v>100</v>
      </c>
      <c r="AJ178" s="13" t="str">
        <f xml:space="preserve"> IF(AD178&gt;F178,"Exceso en grasa saturada",IFERROR(IF(F178=0,"No tiene sello",IF((AD178*9)*100/F178&gt;10,"Exceso en grasa saturada","No tiene sello")),"No tiene sello"))</f>
        <v>No tiene sello</v>
      </c>
      <c r="AK178" s="13">
        <f>IF(AJ178="No tiene sello",0,1)</f>
        <v>0</v>
      </c>
      <c r="AL178" s="13" t="str">
        <f>IF(Q178&gt;=300,"Exceso en sodio",IFERROR(IF(AND(F178=0,Q178&gt;0),"No tiene sello",IF(Q178/F178&gt;1,"Exceso en sodio","No tiene sello")),"No tiene sello"))</f>
        <v>No tiene sello</v>
      </c>
      <c r="AM178" s="13" t="str">
        <f>IFERROR(IF(F178=0,"No tiene sello",IF(+(AG178/1000)*9*100/F178&gt;1,"Exceso en grasa trans", "No tiene sello")),"No tiene sello")</f>
        <v>No tiene sello</v>
      </c>
    </row>
    <row r="179" spans="1:39" ht="13.5" customHeight="1" x14ac:dyDescent="0.25">
      <c r="A179" s="26" t="s">
        <v>1312</v>
      </c>
      <c r="B179" s="26" t="s">
        <v>1313</v>
      </c>
      <c r="C179" s="27"/>
      <c r="D179" s="47">
        <v>100</v>
      </c>
      <c r="E179" s="28">
        <v>6.6</v>
      </c>
      <c r="F179" s="24">
        <v>361</v>
      </c>
      <c r="G179" s="28">
        <v>1533</v>
      </c>
      <c r="H179" s="24">
        <v>4.5999999999999996</v>
      </c>
      <c r="I179" s="24">
        <v>0.1</v>
      </c>
      <c r="J179" s="24">
        <v>85.3</v>
      </c>
      <c r="K179" s="28">
        <v>0</v>
      </c>
      <c r="L179" s="28">
        <v>4.26</v>
      </c>
      <c r="M179" s="24">
        <v>0</v>
      </c>
      <c r="N179" s="28">
        <v>3.4</v>
      </c>
      <c r="O179" s="25">
        <v>6</v>
      </c>
      <c r="P179" s="25">
        <v>5.8</v>
      </c>
      <c r="Q179" s="28">
        <v>22</v>
      </c>
      <c r="R179" s="25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5">
        <v>0</v>
      </c>
      <c r="AB179" s="25">
        <v>0</v>
      </c>
      <c r="AC179" s="25">
        <v>0</v>
      </c>
      <c r="AD179" s="28">
        <v>0</v>
      </c>
      <c r="AE179" s="28">
        <v>0</v>
      </c>
      <c r="AF179" s="28">
        <v>0</v>
      </c>
      <c r="AG179" s="28">
        <v>0</v>
      </c>
      <c r="AH179" s="24">
        <v>0</v>
      </c>
      <c r="AI179" s="28">
        <v>100</v>
      </c>
      <c r="AJ179" s="13" t="str">
        <f xml:space="preserve"> IF(AD179&gt;F179,"Exceso en grasa saturada",IFERROR(IF(F179=0,"No tiene sello",IF((AD179*9)*100/F179&gt;10,"Exceso en grasa saturada","No tiene sello")),"No tiene sello"))</f>
        <v>No tiene sello</v>
      </c>
      <c r="AK179" s="13">
        <f>IF(AJ179="No tiene sello",0,1)</f>
        <v>0</v>
      </c>
      <c r="AL179" s="13" t="str">
        <f>IF(Q179&gt;=300,"Exceso en sodio",IFERROR(IF(AND(F179=0,Q179&gt;0),"No tiene sello",IF(Q179/F179&gt;1,"Exceso en sodio","No tiene sello")),"No tiene sello"))</f>
        <v>No tiene sello</v>
      </c>
      <c r="AM179" s="13" t="str">
        <f>IFERROR(IF(F179=0,"No tiene sello",IF(+(AG179/1000)*9*100/F179&gt;1,"Exceso en grasa trans", "No tiene sello")),"No tiene sello")</f>
        <v>No tiene sello</v>
      </c>
    </row>
    <row r="180" spans="1:39" ht="13.5" customHeight="1" x14ac:dyDescent="0.25">
      <c r="A180" s="20" t="s">
        <v>1310</v>
      </c>
      <c r="B180" s="20" t="s">
        <v>1311</v>
      </c>
      <c r="C180" s="21"/>
      <c r="D180" s="46">
        <v>100</v>
      </c>
      <c r="E180" s="23">
        <v>13.9</v>
      </c>
      <c r="F180" s="24">
        <v>340</v>
      </c>
      <c r="G180" s="23">
        <v>1445</v>
      </c>
      <c r="H180" s="24">
        <v>3.3</v>
      </c>
      <c r="I180" s="24">
        <v>0.3</v>
      </c>
      <c r="J180" s="24">
        <v>80.5</v>
      </c>
      <c r="K180" s="23">
        <v>79.599999999999994</v>
      </c>
      <c r="L180" s="23">
        <v>0.5</v>
      </c>
      <c r="M180" s="24">
        <v>0.9</v>
      </c>
      <c r="N180" s="23">
        <v>1.9</v>
      </c>
      <c r="O180" s="25">
        <v>11</v>
      </c>
      <c r="P180" s="25">
        <v>1.2</v>
      </c>
      <c r="Q180" s="23">
        <v>0</v>
      </c>
      <c r="R180" s="25">
        <v>65</v>
      </c>
      <c r="S180" s="23">
        <v>0.6</v>
      </c>
      <c r="T180" s="23">
        <v>209</v>
      </c>
      <c r="U180" s="23">
        <v>0</v>
      </c>
      <c r="V180" s="23">
        <v>7.0000000000000007E-2</v>
      </c>
      <c r="W180" s="23">
        <v>0.04</v>
      </c>
      <c r="X180" s="23">
        <v>1</v>
      </c>
      <c r="Y180" s="23">
        <v>0</v>
      </c>
      <c r="Z180" s="23">
        <v>0</v>
      </c>
      <c r="AA180" s="25">
        <v>2</v>
      </c>
      <c r="AB180" s="25">
        <v>12</v>
      </c>
      <c r="AC180" s="25">
        <v>0</v>
      </c>
      <c r="AD180" s="23">
        <v>0</v>
      </c>
      <c r="AE180" s="23">
        <v>0</v>
      </c>
      <c r="AF180" s="23">
        <v>0</v>
      </c>
      <c r="AG180" s="23">
        <v>0</v>
      </c>
      <c r="AH180" s="24">
        <v>0</v>
      </c>
      <c r="AI180" s="23">
        <v>100</v>
      </c>
      <c r="AJ180" s="13" t="str">
        <f xml:space="preserve"> IF(AD180&gt;F180,"Exceso en grasa saturada",IFERROR(IF(F180=0,"No tiene sello",IF((AD180*9)*100/F180&gt;10,"Exceso en grasa saturada","No tiene sello")),"No tiene sello"))</f>
        <v>No tiene sello</v>
      </c>
      <c r="AK180" s="13">
        <f>IF(AJ180="No tiene sello",0,1)</f>
        <v>0</v>
      </c>
      <c r="AL180" s="13" t="str">
        <f>IF(Q180&gt;=300,"Exceso en sodio",IFERROR(IF(AND(F180=0,Q180&gt;0),"No tiene sello",IF(Q180/F180&gt;1,"Exceso en sodio","No tiene sello")),"No tiene sello"))</f>
        <v>No tiene sello</v>
      </c>
      <c r="AM180" s="13" t="str">
        <f>IFERROR(IF(F180=0,"No tiene sello",IF(+(AG180/1000)*9*100/F180&gt;1,"Exceso en grasa trans", "No tiene sello")),"No tiene sello")</f>
        <v>No tiene sello</v>
      </c>
    </row>
    <row r="181" spans="1:39" ht="13.5" customHeight="1" x14ac:dyDescent="0.25">
      <c r="A181" s="26" t="s">
        <v>1308</v>
      </c>
      <c r="B181" s="26" t="s">
        <v>1309</v>
      </c>
      <c r="C181" s="27"/>
      <c r="D181" s="47">
        <v>100</v>
      </c>
      <c r="E181" s="28">
        <v>12</v>
      </c>
      <c r="F181" s="24">
        <v>351</v>
      </c>
      <c r="G181" s="28">
        <v>1492</v>
      </c>
      <c r="H181" s="24">
        <v>1.1000000000000001</v>
      </c>
      <c r="I181" s="24">
        <v>0.3</v>
      </c>
      <c r="J181" s="24">
        <v>85.9</v>
      </c>
      <c r="K181" s="28">
        <v>85.7</v>
      </c>
      <c r="L181" s="28">
        <v>4.3</v>
      </c>
      <c r="M181" s="24">
        <v>0.3</v>
      </c>
      <c r="N181" s="28">
        <v>0.7</v>
      </c>
      <c r="O181" s="25">
        <v>53</v>
      </c>
      <c r="P181" s="25">
        <v>1.1000000000000001</v>
      </c>
      <c r="Q181" s="28">
        <v>1</v>
      </c>
      <c r="R181" s="25">
        <v>28</v>
      </c>
      <c r="S181" s="28">
        <v>0.4</v>
      </c>
      <c r="T181" s="28">
        <v>37</v>
      </c>
      <c r="U181" s="28">
        <v>340</v>
      </c>
      <c r="V181" s="28">
        <v>0.06</v>
      </c>
      <c r="W181" s="28">
        <v>0.08</v>
      </c>
      <c r="X181" s="28">
        <v>0.8</v>
      </c>
      <c r="Y181" s="28">
        <v>0</v>
      </c>
      <c r="Z181" s="28">
        <v>0</v>
      </c>
      <c r="AA181" s="25">
        <v>0</v>
      </c>
      <c r="AB181" s="25">
        <v>0</v>
      </c>
      <c r="AC181" s="25">
        <v>0</v>
      </c>
      <c r="AD181" s="28">
        <v>0</v>
      </c>
      <c r="AE181" s="28">
        <v>0</v>
      </c>
      <c r="AF181" s="28">
        <v>0</v>
      </c>
      <c r="AG181" s="28">
        <v>0</v>
      </c>
      <c r="AH181" s="24">
        <v>0</v>
      </c>
      <c r="AI181" s="28">
        <v>100</v>
      </c>
      <c r="AJ181" s="13" t="str">
        <f xml:space="preserve"> IF(AD181&gt;F181,"Exceso en grasa saturada",IFERROR(IF(F181=0,"No tiene sello",IF((AD181*9)*100/F181&gt;10,"Exceso en grasa saturada","No tiene sello")),"No tiene sello"))</f>
        <v>No tiene sello</v>
      </c>
      <c r="AK181" s="13">
        <f>IF(AJ181="No tiene sello",0,1)</f>
        <v>0</v>
      </c>
      <c r="AL181" s="13" t="str">
        <f>IF(Q181&gt;=300,"Exceso en sodio",IFERROR(IF(AND(F181=0,Q181&gt;0),"No tiene sello",IF(Q181/F181&gt;1,"Exceso en sodio","No tiene sello")),"No tiene sello"))</f>
        <v>No tiene sello</v>
      </c>
      <c r="AM181" s="13" t="str">
        <f>IFERROR(IF(F181=0,"No tiene sello",IF(+(AG181/1000)*9*100/F181&gt;1,"Exceso en grasa trans", "No tiene sello")),"No tiene sello")</f>
        <v>No tiene sello</v>
      </c>
    </row>
    <row r="182" spans="1:39" ht="13.5" customHeight="1" x14ac:dyDescent="0.25">
      <c r="A182" s="29" t="s">
        <v>1306</v>
      </c>
      <c r="B182" s="29" t="s">
        <v>1307</v>
      </c>
      <c r="C182" s="29" t="s">
        <v>176</v>
      </c>
      <c r="D182" s="46">
        <v>100</v>
      </c>
      <c r="E182" s="31">
        <v>96</v>
      </c>
      <c r="F182" s="24">
        <v>18</v>
      </c>
      <c r="G182" s="31">
        <v>74</v>
      </c>
      <c r="H182" s="24">
        <v>0.8</v>
      </c>
      <c r="I182" s="24">
        <v>0.1</v>
      </c>
      <c r="J182" s="24">
        <v>2.6</v>
      </c>
      <c r="K182" s="31">
        <v>0.9</v>
      </c>
      <c r="L182" s="31">
        <v>0.26</v>
      </c>
      <c r="M182" s="24">
        <v>1.7</v>
      </c>
      <c r="N182" s="31">
        <v>0.5</v>
      </c>
      <c r="O182" s="31">
        <v>21</v>
      </c>
      <c r="P182" s="25">
        <v>0.9</v>
      </c>
      <c r="Q182" s="31">
        <v>6</v>
      </c>
      <c r="R182" s="31">
        <v>27</v>
      </c>
      <c r="S182" s="31">
        <v>0.3</v>
      </c>
      <c r="T182" s="31">
        <v>6</v>
      </c>
      <c r="U182" s="31">
        <v>143</v>
      </c>
      <c r="V182" s="31">
        <v>0.06</v>
      </c>
      <c r="W182" s="31">
        <v>0.04</v>
      </c>
      <c r="X182" s="31">
        <v>0.4</v>
      </c>
      <c r="Y182" s="31">
        <v>53</v>
      </c>
      <c r="Z182" s="31">
        <v>0</v>
      </c>
      <c r="AA182" s="25">
        <v>3</v>
      </c>
      <c r="AB182" s="25">
        <v>10</v>
      </c>
      <c r="AC182" s="25">
        <v>0</v>
      </c>
      <c r="AD182" s="31">
        <v>0</v>
      </c>
      <c r="AE182" s="31">
        <v>0</v>
      </c>
      <c r="AF182" s="31">
        <v>0</v>
      </c>
      <c r="AG182" s="31">
        <v>0</v>
      </c>
      <c r="AH182" s="24">
        <v>0</v>
      </c>
      <c r="AI182" s="31">
        <v>55</v>
      </c>
      <c r="AJ182" s="13" t="str">
        <f xml:space="preserve"> IF(AD182&gt;F182,"Exceso en grasa saturada",IFERROR(IF(F182=0,"No tiene sello",IF((AD182*9)*100/F182&gt;10,"Exceso en grasa saturada","No tiene sello")),"No tiene sello"))</f>
        <v>No tiene sello</v>
      </c>
      <c r="AK182" s="13">
        <f>IF(AJ182="No tiene sello",0,1)</f>
        <v>0</v>
      </c>
      <c r="AL182" s="13" t="str">
        <f>IF(Q182&gt;=300,"Exceso en sodio",IFERROR(IF(AND(F182=0,Q182&gt;0),"No tiene sello",IF(Q182/F182&gt;1,"Exceso en sodio","No tiene sello")),"No tiene sello"))</f>
        <v>No tiene sello</v>
      </c>
      <c r="AM182" s="13" t="str">
        <f>IFERROR(IF(F182=0,"No tiene sello",IF(+(AG182/1000)*9*100/F182&gt;1,"Exceso en grasa trans", "No tiene sello")),"No tiene sello")</f>
        <v>No tiene sello</v>
      </c>
    </row>
    <row r="183" spans="1:39" ht="13.5" customHeight="1" x14ac:dyDescent="0.25">
      <c r="A183" s="26" t="s">
        <v>1304</v>
      </c>
      <c r="B183" s="26" t="s">
        <v>1305</v>
      </c>
      <c r="C183" s="26" t="s">
        <v>176</v>
      </c>
      <c r="D183" s="47">
        <v>100</v>
      </c>
      <c r="E183" s="28">
        <v>94.8</v>
      </c>
      <c r="F183" s="24">
        <v>23</v>
      </c>
      <c r="G183" s="28">
        <v>95</v>
      </c>
      <c r="H183" s="24">
        <v>1.1000000000000001</v>
      </c>
      <c r="I183" s="24">
        <v>0.1</v>
      </c>
      <c r="J183" s="24">
        <v>3.3</v>
      </c>
      <c r="K183" s="28">
        <v>1.2</v>
      </c>
      <c r="L183" s="28">
        <v>0.33</v>
      </c>
      <c r="M183" s="24">
        <v>2.1</v>
      </c>
      <c r="N183" s="28">
        <v>0.7</v>
      </c>
      <c r="O183" s="25">
        <v>30</v>
      </c>
      <c r="P183" s="25">
        <v>1</v>
      </c>
      <c r="Q183" s="28">
        <v>8</v>
      </c>
      <c r="R183" s="25">
        <v>30</v>
      </c>
      <c r="S183" s="28">
        <v>0.2</v>
      </c>
      <c r="T183" s="28">
        <v>14</v>
      </c>
      <c r="U183" s="28">
        <v>247</v>
      </c>
      <c r="V183" s="28">
        <v>7.0000000000000007E-2</v>
      </c>
      <c r="W183" s="28">
        <v>7.0000000000000007E-2</v>
      </c>
      <c r="X183" s="28">
        <v>0.3</v>
      </c>
      <c r="Y183" s="28">
        <v>136</v>
      </c>
      <c r="Z183" s="28">
        <v>0</v>
      </c>
      <c r="AA183" s="25">
        <v>6</v>
      </c>
      <c r="AB183" s="25">
        <v>290</v>
      </c>
      <c r="AC183" s="25">
        <v>0</v>
      </c>
      <c r="AD183" s="28">
        <v>0</v>
      </c>
      <c r="AE183" s="28">
        <v>0</v>
      </c>
      <c r="AF183" s="28">
        <v>0</v>
      </c>
      <c r="AG183" s="28">
        <v>0</v>
      </c>
      <c r="AH183" s="24">
        <v>0</v>
      </c>
      <c r="AI183" s="28">
        <v>55</v>
      </c>
      <c r="AJ183" s="13" t="str">
        <f xml:space="preserve"> IF(AD183&gt;F183,"Exceso en grasa saturada",IFERROR(IF(F183=0,"No tiene sello",IF((AD183*9)*100/F183&gt;10,"Exceso en grasa saturada","No tiene sello")),"No tiene sello"))</f>
        <v>No tiene sello</v>
      </c>
      <c r="AK183" s="13">
        <f>IF(AJ183="No tiene sello",0,1)</f>
        <v>0</v>
      </c>
      <c r="AL183" s="13" t="str">
        <f>IF(Q183&gt;=300,"Exceso en sodio",IFERROR(IF(AND(F183=0,Q183&gt;0),"No tiene sello",IF(Q183/F183&gt;1,"Exceso en sodio","No tiene sello")),"No tiene sello"))</f>
        <v>No tiene sello</v>
      </c>
      <c r="AM183" s="13" t="str">
        <f>IFERROR(IF(F183=0,"No tiene sello",IF(+(AG183/1000)*9*100/F183&gt;1,"Exceso en grasa trans", "No tiene sello")),"No tiene sello")</f>
        <v>No tiene sello</v>
      </c>
    </row>
    <row r="184" spans="1:39" ht="13.5" customHeight="1" x14ac:dyDescent="0.25">
      <c r="A184" s="20" t="s">
        <v>1302</v>
      </c>
      <c r="B184" s="20" t="s">
        <v>1303</v>
      </c>
      <c r="C184" s="20" t="s">
        <v>339</v>
      </c>
      <c r="D184" s="46">
        <v>100</v>
      </c>
      <c r="E184" s="23">
        <v>92.6</v>
      </c>
      <c r="F184" s="24">
        <v>30</v>
      </c>
      <c r="G184" s="23">
        <v>125</v>
      </c>
      <c r="H184" s="24">
        <v>0.7</v>
      </c>
      <c r="I184" s="24">
        <v>0</v>
      </c>
      <c r="J184" s="24">
        <v>5.9</v>
      </c>
      <c r="K184" s="23">
        <v>4.3</v>
      </c>
      <c r="L184" s="23">
        <v>0.59</v>
      </c>
      <c r="M184" s="24">
        <v>1.6</v>
      </c>
      <c r="N184" s="23">
        <v>0.8</v>
      </c>
      <c r="O184" s="25">
        <v>41</v>
      </c>
      <c r="P184" s="25">
        <v>0.5</v>
      </c>
      <c r="Q184" s="23">
        <v>65</v>
      </c>
      <c r="R184" s="25">
        <v>29</v>
      </c>
      <c r="S184" s="23">
        <v>0.2</v>
      </c>
      <c r="T184" s="23">
        <v>11</v>
      </c>
      <c r="U184" s="23">
        <v>216</v>
      </c>
      <c r="V184" s="23">
        <v>0.04</v>
      </c>
      <c r="W184" s="23">
        <v>0.03</v>
      </c>
      <c r="X184" s="23">
        <v>0.4</v>
      </c>
      <c r="Y184" s="23">
        <v>15</v>
      </c>
      <c r="Z184" s="23">
        <v>0</v>
      </c>
      <c r="AA184" s="25">
        <v>20</v>
      </c>
      <c r="AB184" s="25">
        <v>0</v>
      </c>
      <c r="AC184" s="25">
        <v>0</v>
      </c>
      <c r="AD184" s="23">
        <v>0</v>
      </c>
      <c r="AE184" s="23">
        <v>0</v>
      </c>
      <c r="AF184" s="23">
        <v>0</v>
      </c>
      <c r="AG184" s="23">
        <v>0</v>
      </c>
      <c r="AH184" s="24">
        <v>0</v>
      </c>
      <c r="AI184" s="23">
        <v>80</v>
      </c>
      <c r="AJ184" s="13" t="str">
        <f xml:space="preserve"> IF(AD184&gt;F184,"Exceso en grasa saturada",IFERROR(IF(F184=0,"No tiene sello",IF((AD184*9)*100/F184&gt;10,"Exceso en grasa saturada","No tiene sello")),"No tiene sello"))</f>
        <v>No tiene sello</v>
      </c>
      <c r="AK184" s="13">
        <f>IF(AJ184="No tiene sello",0,1)</f>
        <v>0</v>
      </c>
      <c r="AL184" s="13" t="str">
        <f>IF(Q184&gt;=300,"Exceso en sodio",IFERROR(IF(AND(F184=0,Q184&gt;0),"No tiene sello",IF(Q184/F184&gt;1,"Exceso en sodio","No tiene sello")),"No tiene sello"))</f>
        <v>Exceso en sodio</v>
      </c>
      <c r="AM184" s="13" t="str">
        <f>IFERROR(IF(F184=0,"No tiene sello",IF(+(AG184/1000)*9*100/F184&gt;1,"Exceso en grasa trans", "No tiene sello")),"No tiene sello")</f>
        <v>No tiene sello</v>
      </c>
    </row>
    <row r="185" spans="1:39" ht="13.5" customHeight="1" x14ac:dyDescent="0.25">
      <c r="A185" s="26" t="s">
        <v>1300</v>
      </c>
      <c r="B185" s="26" t="s">
        <v>1301</v>
      </c>
      <c r="C185" s="26" t="s">
        <v>143</v>
      </c>
      <c r="D185" s="47">
        <v>100</v>
      </c>
      <c r="E185" s="28">
        <v>89.8</v>
      </c>
      <c r="F185" s="24">
        <v>45</v>
      </c>
      <c r="G185" s="28">
        <v>188</v>
      </c>
      <c r="H185" s="24">
        <v>1.9</v>
      </c>
      <c r="I185" s="24">
        <v>0.2</v>
      </c>
      <c r="J185" s="24">
        <v>7.2</v>
      </c>
      <c r="K185" s="28">
        <v>4</v>
      </c>
      <c r="L185" s="28">
        <v>0.72</v>
      </c>
      <c r="M185" s="24">
        <v>3.2</v>
      </c>
      <c r="N185" s="28">
        <v>0.9</v>
      </c>
      <c r="O185" s="25">
        <v>82</v>
      </c>
      <c r="P185" s="25">
        <v>0.6</v>
      </c>
      <c r="Q185" s="28">
        <v>7</v>
      </c>
      <c r="R185" s="25">
        <v>61</v>
      </c>
      <c r="S185" s="28">
        <v>0.6</v>
      </c>
      <c r="T185" s="28">
        <v>57</v>
      </c>
      <c r="U185" s="28">
        <v>300</v>
      </c>
      <c r="V185" s="28">
        <v>0.2</v>
      </c>
      <c r="W185" s="28">
        <v>0.06</v>
      </c>
      <c r="X185" s="28">
        <v>1</v>
      </c>
      <c r="Y185" s="28">
        <v>72</v>
      </c>
      <c r="Z185" s="28">
        <v>0</v>
      </c>
      <c r="AA185" s="25">
        <v>22</v>
      </c>
      <c r="AB185" s="25">
        <v>47</v>
      </c>
      <c r="AC185" s="25">
        <v>0</v>
      </c>
      <c r="AD185" s="28">
        <v>0</v>
      </c>
      <c r="AE185" s="28">
        <v>0</v>
      </c>
      <c r="AF185" s="28">
        <v>0</v>
      </c>
      <c r="AG185" s="28">
        <v>0</v>
      </c>
      <c r="AH185" s="24">
        <v>0</v>
      </c>
      <c r="AI185" s="28">
        <v>0</v>
      </c>
      <c r="AJ185" s="13" t="str">
        <f xml:space="preserve"> IF(AD185&gt;F185,"Exceso en grasa saturada",IFERROR(IF(F185=0,"No tiene sello",IF((AD185*9)*100/F185&gt;10,"Exceso en grasa saturada","No tiene sello")),"No tiene sello"))</f>
        <v>No tiene sello</v>
      </c>
      <c r="AK185" s="13">
        <f>IF(AJ185="No tiene sello",0,1)</f>
        <v>0</v>
      </c>
      <c r="AL185" s="13" t="str">
        <f>IF(Q185&gt;=300,"Exceso en sodio",IFERROR(IF(AND(F185=0,Q185&gt;0),"No tiene sello",IF(Q185/F185&gt;1,"Exceso en sodio","No tiene sello")),"No tiene sello"))</f>
        <v>No tiene sello</v>
      </c>
      <c r="AM185" s="13" t="str">
        <f>IFERROR(IF(F185=0,"No tiene sello",IF(+(AG185/1000)*9*100/F185&gt;1,"Exceso en grasa trans", "No tiene sello")),"No tiene sello")</f>
        <v>No tiene sello</v>
      </c>
    </row>
    <row r="186" spans="1:39" ht="13.5" customHeight="1" x14ac:dyDescent="0.25">
      <c r="A186" s="20" t="s">
        <v>1297</v>
      </c>
      <c r="B186" s="20" t="s">
        <v>1299</v>
      </c>
      <c r="C186" s="20" t="s">
        <v>1298</v>
      </c>
      <c r="D186" s="46">
        <v>100</v>
      </c>
      <c r="E186" s="23">
        <v>82.8</v>
      </c>
      <c r="F186" s="24">
        <v>67</v>
      </c>
      <c r="G186" s="23">
        <v>283</v>
      </c>
      <c r="H186" s="24">
        <v>1.6</v>
      </c>
      <c r="I186" s="24">
        <v>0.2</v>
      </c>
      <c r="J186" s="24">
        <v>13.9</v>
      </c>
      <c r="K186" s="23">
        <v>12.4</v>
      </c>
      <c r="L186" s="23">
        <v>1.39</v>
      </c>
      <c r="M186" s="24">
        <v>1.5</v>
      </c>
      <c r="N186" s="23">
        <v>1.5</v>
      </c>
      <c r="O186" s="25">
        <v>40</v>
      </c>
      <c r="P186" s="25">
        <v>1.7</v>
      </c>
      <c r="Q186" s="23">
        <v>14</v>
      </c>
      <c r="R186" s="25">
        <v>101</v>
      </c>
      <c r="S186" s="23">
        <v>3.7</v>
      </c>
      <c r="T186" s="23">
        <v>10</v>
      </c>
      <c r="U186" s="23">
        <v>1806</v>
      </c>
      <c r="V186" s="23">
        <v>0.06</v>
      </c>
      <c r="W186" s="23">
        <v>0.06</v>
      </c>
      <c r="X186" s="23">
        <v>1.1000000000000001</v>
      </c>
      <c r="Y186" s="23">
        <v>24</v>
      </c>
      <c r="Z186" s="23">
        <v>0</v>
      </c>
      <c r="AA186" s="25">
        <v>11</v>
      </c>
      <c r="AB186" s="25">
        <v>30</v>
      </c>
      <c r="AC186" s="25">
        <v>0</v>
      </c>
      <c r="AD186" s="23">
        <v>0</v>
      </c>
      <c r="AE186" s="23">
        <v>0</v>
      </c>
      <c r="AF186" s="23">
        <v>0</v>
      </c>
      <c r="AG186" s="23">
        <v>0</v>
      </c>
      <c r="AH186" s="24">
        <v>0</v>
      </c>
      <c r="AI186" s="23">
        <v>95</v>
      </c>
      <c r="AJ186" s="13" t="str">
        <f xml:space="preserve"> IF(AD186&gt;F186,"Exceso en grasa saturada",IFERROR(IF(F186=0,"No tiene sello",IF((AD186*9)*100/F186&gt;10,"Exceso en grasa saturada","No tiene sello")),"No tiene sello"))</f>
        <v>No tiene sello</v>
      </c>
      <c r="AK186" s="13">
        <f>IF(AJ186="No tiene sello",0,1)</f>
        <v>0</v>
      </c>
      <c r="AL186" s="13" t="str">
        <f>IF(Q186&gt;=300,"Exceso en sodio",IFERROR(IF(AND(F186=0,Q186&gt;0),"No tiene sello",IF(Q186/F186&gt;1,"Exceso en sodio","No tiene sello")),"No tiene sello"))</f>
        <v>No tiene sello</v>
      </c>
      <c r="AM186" s="13" t="str">
        <f>IFERROR(IF(F186=0,"No tiene sello",IF(+(AG186/1000)*9*100/F186&gt;1,"Exceso en grasa trans", "No tiene sello")),"No tiene sello")</f>
        <v>No tiene sello</v>
      </c>
    </row>
    <row r="187" spans="1:39" s="4" customFormat="1" ht="13.5" customHeight="1" x14ac:dyDescent="0.25">
      <c r="A187" s="33" t="s">
        <v>1295</v>
      </c>
      <c r="B187" s="33" t="s">
        <v>1296</v>
      </c>
      <c r="C187" s="33" t="s">
        <v>182</v>
      </c>
      <c r="D187" s="47">
        <v>100</v>
      </c>
      <c r="E187" s="35">
        <v>75.400000000000006</v>
      </c>
      <c r="F187" s="24">
        <v>99</v>
      </c>
      <c r="G187" s="35">
        <v>418</v>
      </c>
      <c r="H187" s="24">
        <v>2.2999999999999998</v>
      </c>
      <c r="I187" s="24">
        <v>0.1</v>
      </c>
      <c r="J187" s="24">
        <v>21</v>
      </c>
      <c r="K187" s="35">
        <v>18.7</v>
      </c>
      <c r="L187" s="35">
        <v>1.05</v>
      </c>
      <c r="M187" s="24">
        <v>2.2999999999999998</v>
      </c>
      <c r="N187" s="35">
        <v>1.2</v>
      </c>
      <c r="O187" s="25">
        <v>8</v>
      </c>
      <c r="P187" s="25">
        <v>0.8</v>
      </c>
      <c r="Q187" s="35">
        <v>9</v>
      </c>
      <c r="R187" s="25">
        <v>49</v>
      </c>
      <c r="S187" s="35">
        <v>0.3</v>
      </c>
      <c r="T187" s="35">
        <v>28</v>
      </c>
      <c r="U187" s="35">
        <v>415</v>
      </c>
      <c r="V187" s="35">
        <v>0.09</v>
      </c>
      <c r="W187" s="35">
        <v>0.06</v>
      </c>
      <c r="X187" s="35">
        <v>1.3</v>
      </c>
      <c r="Y187" s="35">
        <v>11</v>
      </c>
      <c r="Z187" s="35">
        <v>0</v>
      </c>
      <c r="AA187" s="25">
        <v>14</v>
      </c>
      <c r="AB187" s="25">
        <v>0</v>
      </c>
      <c r="AC187" s="25">
        <v>0</v>
      </c>
      <c r="AD187" s="35">
        <v>0</v>
      </c>
      <c r="AE187" s="35">
        <v>0</v>
      </c>
      <c r="AF187" s="35">
        <v>0</v>
      </c>
      <c r="AG187" s="35">
        <v>0</v>
      </c>
      <c r="AH187" s="24">
        <v>0</v>
      </c>
      <c r="AI187" s="35">
        <v>100</v>
      </c>
      <c r="AJ187" s="13" t="str">
        <f xml:space="preserve"> IF(AD187&gt;F187,"Exceso en grasa saturada",IFERROR(IF(F187=0,"No tiene sello",IF((AD187*9)*100/F187&gt;10,"Exceso en grasa saturada","No tiene sello")),"No tiene sello"))</f>
        <v>No tiene sello</v>
      </c>
      <c r="AK187" s="13">
        <f>IF(AJ187="No tiene sello",0,1)</f>
        <v>0</v>
      </c>
      <c r="AL187" s="13" t="str">
        <f>IF(Q187&gt;=300,"Exceso en sodio",IFERROR(IF(AND(F187=0,Q187&gt;0),"No tiene sello",IF(Q187/F187&gt;1,"Exceso en sodio","No tiene sello")),"No tiene sello"))</f>
        <v>No tiene sello</v>
      </c>
      <c r="AM187" s="13" t="str">
        <f>IFERROR(IF(F187=0,"No tiene sello",IF(+(AG187/1000)*9*100/F187&gt;1,"Exceso en grasa trans", "No tiene sello")),"No tiene sello")</f>
        <v>No tiene sello</v>
      </c>
    </row>
    <row r="188" spans="1:39" ht="13.5" customHeight="1" x14ac:dyDescent="0.25">
      <c r="A188" s="20" t="s">
        <v>1293</v>
      </c>
      <c r="B188" s="20" t="s">
        <v>1294</v>
      </c>
      <c r="C188" s="20" t="s">
        <v>182</v>
      </c>
      <c r="D188" s="46">
        <v>100</v>
      </c>
      <c r="E188" s="23">
        <v>79.7</v>
      </c>
      <c r="F188" s="24">
        <v>80</v>
      </c>
      <c r="G188" s="23">
        <v>341</v>
      </c>
      <c r="H188" s="24">
        <v>2.2000000000000002</v>
      </c>
      <c r="I188" s="24">
        <v>0.1</v>
      </c>
      <c r="J188" s="24">
        <v>16.899999999999999</v>
      </c>
      <c r="K188" s="23">
        <v>15.3</v>
      </c>
      <c r="L188" s="23">
        <v>0.84</v>
      </c>
      <c r="M188" s="24">
        <v>1.6</v>
      </c>
      <c r="N188" s="23">
        <v>1.1000000000000001</v>
      </c>
      <c r="O188" s="25">
        <v>12</v>
      </c>
      <c r="P188" s="25">
        <v>0.8</v>
      </c>
      <c r="Q188" s="23">
        <v>6</v>
      </c>
      <c r="R188" s="25">
        <v>58</v>
      </c>
      <c r="S188" s="23">
        <v>0.3</v>
      </c>
      <c r="T188" s="23">
        <v>23</v>
      </c>
      <c r="U188" s="23">
        <v>422</v>
      </c>
      <c r="V188" s="23">
        <v>0.08</v>
      </c>
      <c r="W188" s="23">
        <v>0.03</v>
      </c>
      <c r="X188" s="23">
        <v>1.1000000000000001</v>
      </c>
      <c r="Y188" s="23">
        <v>16</v>
      </c>
      <c r="Z188" s="23">
        <v>0</v>
      </c>
      <c r="AA188" s="25">
        <v>20</v>
      </c>
      <c r="AB188" s="25">
        <v>0</v>
      </c>
      <c r="AC188" s="25">
        <v>0</v>
      </c>
      <c r="AD188" s="23">
        <v>0</v>
      </c>
      <c r="AE188" s="23">
        <v>0</v>
      </c>
      <c r="AF188" s="23">
        <v>0</v>
      </c>
      <c r="AG188" s="23">
        <v>0</v>
      </c>
      <c r="AH188" s="24">
        <v>0</v>
      </c>
      <c r="AI188" s="23">
        <v>100</v>
      </c>
      <c r="AJ188" s="13" t="str">
        <f xml:space="preserve"> IF(AD188&gt;F188,"Exceso en grasa saturada",IFERROR(IF(F188=0,"No tiene sello",IF((AD188*9)*100/F188&gt;10,"Exceso en grasa saturada","No tiene sello")),"No tiene sello"))</f>
        <v>No tiene sello</v>
      </c>
      <c r="AK188" s="13">
        <f>IF(AJ188="No tiene sello",0,1)</f>
        <v>0</v>
      </c>
      <c r="AL188" s="13" t="str">
        <f>IF(Q188&gt;=300,"Exceso en sodio",IFERROR(IF(AND(F188=0,Q188&gt;0),"No tiene sello",IF(Q188/F188&gt;1,"Exceso en sodio","No tiene sello")),"No tiene sello"))</f>
        <v>No tiene sello</v>
      </c>
      <c r="AM188" s="13" t="str">
        <f>IFERROR(IF(F188=0,"No tiene sello",IF(+(AG188/1000)*9*100/F188&gt;1,"Exceso en grasa trans", "No tiene sello")),"No tiene sello")</f>
        <v>No tiene sello</v>
      </c>
    </row>
    <row r="189" spans="1:39" ht="13.5" customHeight="1" x14ac:dyDescent="0.25">
      <c r="A189" s="33" t="s">
        <v>1291</v>
      </c>
      <c r="B189" s="33" t="s">
        <v>1292</v>
      </c>
      <c r="C189" s="33" t="s">
        <v>187</v>
      </c>
      <c r="D189" s="47">
        <v>100</v>
      </c>
      <c r="E189" s="35">
        <v>36.5</v>
      </c>
      <c r="F189" s="24">
        <v>274</v>
      </c>
      <c r="G189" s="35">
        <v>1156</v>
      </c>
      <c r="H189" s="24">
        <v>5.9</v>
      </c>
      <c r="I189" s="24">
        <v>5.6</v>
      </c>
      <c r="J189" s="24">
        <v>49.9</v>
      </c>
      <c r="K189" s="35">
        <v>0</v>
      </c>
      <c r="L189" s="35">
        <v>2.5</v>
      </c>
      <c r="M189" s="24">
        <v>0</v>
      </c>
      <c r="N189" s="35">
        <v>2.1</v>
      </c>
      <c r="O189" s="35">
        <v>14</v>
      </c>
      <c r="P189" s="35">
        <v>0</v>
      </c>
      <c r="Q189" s="35">
        <v>0</v>
      </c>
      <c r="R189" s="35">
        <v>0</v>
      </c>
      <c r="S189" s="35">
        <v>0.6</v>
      </c>
      <c r="T189" s="35">
        <v>36</v>
      </c>
      <c r="U189" s="35">
        <v>741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100</v>
      </c>
      <c r="AH189" s="35">
        <v>0</v>
      </c>
      <c r="AI189" s="35">
        <v>100</v>
      </c>
      <c r="AJ189" s="13" t="str">
        <f xml:space="preserve"> IF(AD189&gt;F189,"Exceso en grasa saturada",IFERROR(IF(F189=0,"No tiene sello",IF((AD189*9)*100/F189&gt;10,"Exceso en grasa saturada","No tiene sello")),"No tiene sello"))</f>
        <v>No tiene sello</v>
      </c>
      <c r="AK189" s="13">
        <f>IF(AJ189="No tiene sello",0,1)</f>
        <v>0</v>
      </c>
      <c r="AL189" s="13" t="str">
        <f>IF(Q189&gt;=300,"Exceso en sodio",IFERROR(IF(AND(F189=0,Q189&gt;0),"No tiene sello",IF(Q189/F189&gt;1,"Exceso en sodio","No tiene sello")),"No tiene sello"))</f>
        <v>No tiene sello</v>
      </c>
      <c r="AM189" s="13" t="str">
        <f>IFERROR(IF(F189=0,"No tiene sello",IF(+(AG189/1000)*9*100/F189&gt;1,"Exceso en grasa trans", "No tiene sello")),"No tiene sello")</f>
        <v>No tiene sello</v>
      </c>
    </row>
    <row r="190" spans="1:39" ht="13.5" customHeight="1" x14ac:dyDescent="0.25">
      <c r="A190" s="20" t="s">
        <v>1289</v>
      </c>
      <c r="B190" s="20" t="s">
        <v>1290</v>
      </c>
      <c r="C190" s="20" t="s">
        <v>187</v>
      </c>
      <c r="D190" s="46">
        <v>100</v>
      </c>
      <c r="E190" s="23">
        <v>75.7</v>
      </c>
      <c r="F190" s="24">
        <v>98</v>
      </c>
      <c r="G190" s="23">
        <v>416</v>
      </c>
      <c r="H190" s="24">
        <v>2.1</v>
      </c>
      <c r="I190" s="24">
        <v>0.1</v>
      </c>
      <c r="J190" s="24">
        <v>21.4</v>
      </c>
      <c r="K190" s="23">
        <v>19.7</v>
      </c>
      <c r="L190" s="23">
        <v>1.07</v>
      </c>
      <c r="M190" s="24">
        <v>1.7</v>
      </c>
      <c r="N190" s="23">
        <v>0.7</v>
      </c>
      <c r="O190" s="25">
        <v>7</v>
      </c>
      <c r="P190" s="25">
        <v>0.8</v>
      </c>
      <c r="Q190" s="23">
        <v>6</v>
      </c>
      <c r="R190" s="25">
        <v>49</v>
      </c>
      <c r="S190" s="23">
        <v>0.3</v>
      </c>
      <c r="T190" s="23">
        <v>20</v>
      </c>
      <c r="U190" s="23">
        <v>355</v>
      </c>
      <c r="V190" s="23">
        <v>0.1</v>
      </c>
      <c r="W190" s="23">
        <v>0.02</v>
      </c>
      <c r="X190" s="23">
        <v>1.3</v>
      </c>
      <c r="Y190" s="23">
        <v>9</v>
      </c>
      <c r="Z190" s="23">
        <v>0</v>
      </c>
      <c r="AA190" s="25">
        <v>6</v>
      </c>
      <c r="AB190" s="25">
        <v>2</v>
      </c>
      <c r="AC190" s="25">
        <v>0</v>
      </c>
      <c r="AD190" s="23">
        <v>0</v>
      </c>
      <c r="AE190" s="23">
        <v>0</v>
      </c>
      <c r="AF190" s="23">
        <v>0</v>
      </c>
      <c r="AG190" s="23">
        <v>0</v>
      </c>
      <c r="AH190" s="24">
        <v>0</v>
      </c>
      <c r="AI190" s="23">
        <v>100</v>
      </c>
      <c r="AJ190" s="13" t="str">
        <f xml:space="preserve"> IF(AD190&gt;F190,"Exceso en grasa saturada",IFERROR(IF(F190=0,"No tiene sello",IF((AD190*9)*100/F190&gt;10,"Exceso en grasa saturada","No tiene sello")),"No tiene sello"))</f>
        <v>No tiene sello</v>
      </c>
      <c r="AK190" s="13">
        <f>IF(AJ190="No tiene sello",0,1)</f>
        <v>0</v>
      </c>
      <c r="AL190" s="13" t="str">
        <f>IF(Q190&gt;=300,"Exceso en sodio",IFERROR(IF(AND(F190=0,Q190&gt;0),"No tiene sello",IF(Q190/F190&gt;1,"Exceso en sodio","No tiene sello")),"No tiene sello"))</f>
        <v>No tiene sello</v>
      </c>
      <c r="AM190" s="13" t="str">
        <f>IFERROR(IF(F190=0,"No tiene sello",IF(+(AG190/1000)*9*100/F190&gt;1,"Exceso en grasa trans", "No tiene sello")),"No tiene sello")</f>
        <v>No tiene sello</v>
      </c>
    </row>
    <row r="191" spans="1:39" ht="13.5" customHeight="1" x14ac:dyDescent="0.25">
      <c r="A191" s="26" t="s">
        <v>1287</v>
      </c>
      <c r="B191" s="26" t="s">
        <v>1288</v>
      </c>
      <c r="C191" s="26" t="s">
        <v>187</v>
      </c>
      <c r="D191" s="47">
        <v>100</v>
      </c>
      <c r="E191" s="28">
        <v>81.7</v>
      </c>
      <c r="F191" s="24">
        <v>74</v>
      </c>
      <c r="G191" s="28">
        <v>313</v>
      </c>
      <c r="H191" s="24">
        <v>1.9</v>
      </c>
      <c r="I191" s="24">
        <v>0.1</v>
      </c>
      <c r="J191" s="24">
        <v>15.3</v>
      </c>
      <c r="K191" s="28">
        <v>13.3</v>
      </c>
      <c r="L191" s="28">
        <v>0.77</v>
      </c>
      <c r="M191" s="24">
        <v>2.1</v>
      </c>
      <c r="N191" s="28">
        <v>1</v>
      </c>
      <c r="O191" s="25">
        <v>14</v>
      </c>
      <c r="P191" s="25">
        <v>0.3</v>
      </c>
      <c r="Q191" s="28">
        <v>11</v>
      </c>
      <c r="R191" s="25">
        <v>57</v>
      </c>
      <c r="S191" s="28">
        <v>0.2</v>
      </c>
      <c r="T191" s="28">
        <v>22</v>
      </c>
      <c r="U191" s="28">
        <v>321</v>
      </c>
      <c r="V191" s="28">
        <v>0.08</v>
      </c>
      <c r="W191" s="28">
        <v>0.02</v>
      </c>
      <c r="X191" s="28">
        <v>0.9</v>
      </c>
      <c r="Y191" s="28">
        <v>16</v>
      </c>
      <c r="Z191" s="28">
        <v>0</v>
      </c>
      <c r="AA191" s="25">
        <v>16</v>
      </c>
      <c r="AB191" s="25">
        <v>0</v>
      </c>
      <c r="AC191" s="25">
        <v>0</v>
      </c>
      <c r="AD191" s="28">
        <v>0</v>
      </c>
      <c r="AE191" s="28">
        <v>0</v>
      </c>
      <c r="AF191" s="28">
        <v>0</v>
      </c>
      <c r="AG191" s="28">
        <v>0</v>
      </c>
      <c r="AH191" s="24">
        <v>0</v>
      </c>
      <c r="AI191" s="28">
        <v>80</v>
      </c>
      <c r="AJ191" s="13" t="str">
        <f xml:space="preserve"> IF(AD191&gt;F191,"Exceso en grasa saturada",IFERROR(IF(F191=0,"No tiene sello",IF((AD191*9)*100/F191&gt;10,"Exceso en grasa saturada","No tiene sello")),"No tiene sello"))</f>
        <v>No tiene sello</v>
      </c>
      <c r="AK191" s="13">
        <f>IF(AJ191="No tiene sello",0,1)</f>
        <v>0</v>
      </c>
      <c r="AL191" s="13" t="str">
        <f>IF(Q191&gt;=300,"Exceso en sodio",IFERROR(IF(AND(F191=0,Q191&gt;0),"No tiene sello",IF(Q191/F191&gt;1,"Exceso en sodio","No tiene sello")),"No tiene sello"))</f>
        <v>No tiene sello</v>
      </c>
      <c r="AM191" s="13" t="str">
        <f>IFERROR(IF(F191=0,"No tiene sello",IF(+(AG191/1000)*9*100/F191&gt;1,"Exceso en grasa trans", "No tiene sello")),"No tiene sello")</f>
        <v>No tiene sello</v>
      </c>
    </row>
    <row r="192" spans="1:39" ht="13.5" customHeight="1" x14ac:dyDescent="0.25">
      <c r="A192" s="20" t="s">
        <v>1285</v>
      </c>
      <c r="B192" s="20" t="s">
        <v>1286</v>
      </c>
      <c r="C192" s="20" t="s">
        <v>187</v>
      </c>
      <c r="D192" s="46">
        <v>100</v>
      </c>
      <c r="E192" s="23">
        <v>41.1</v>
      </c>
      <c r="F192" s="24">
        <v>313</v>
      </c>
      <c r="G192" s="23">
        <v>1310</v>
      </c>
      <c r="H192" s="24">
        <v>3.4</v>
      </c>
      <c r="I192" s="24">
        <v>15.5</v>
      </c>
      <c r="J192" s="24">
        <v>38.200000000000003</v>
      </c>
      <c r="K192" s="23">
        <v>34.5</v>
      </c>
      <c r="L192" s="23">
        <v>1.91</v>
      </c>
      <c r="M192" s="24">
        <v>3.7</v>
      </c>
      <c r="N192" s="23">
        <v>1.8</v>
      </c>
      <c r="O192" s="25">
        <v>16</v>
      </c>
      <c r="P192" s="25">
        <v>0.7</v>
      </c>
      <c r="Q192" s="23">
        <v>25</v>
      </c>
      <c r="R192" s="25">
        <v>75</v>
      </c>
      <c r="S192" s="23">
        <v>0.6</v>
      </c>
      <c r="T192" s="23">
        <v>40</v>
      </c>
      <c r="U192" s="23">
        <v>696</v>
      </c>
      <c r="V192" s="23">
        <v>0.17</v>
      </c>
      <c r="W192" s="23">
        <v>0.04</v>
      </c>
      <c r="X192" s="23">
        <v>2.9</v>
      </c>
      <c r="Y192" s="23">
        <v>30</v>
      </c>
      <c r="Z192" s="23">
        <v>0</v>
      </c>
      <c r="AA192" s="25">
        <v>4</v>
      </c>
      <c r="AB192" s="25">
        <v>0</v>
      </c>
      <c r="AC192" s="25">
        <v>0</v>
      </c>
      <c r="AD192" s="23">
        <v>0</v>
      </c>
      <c r="AE192" s="23">
        <v>0</v>
      </c>
      <c r="AF192" s="23">
        <v>0</v>
      </c>
      <c r="AG192" s="23">
        <v>150</v>
      </c>
      <c r="AH192" s="24">
        <v>0</v>
      </c>
      <c r="AI192" s="23">
        <v>100</v>
      </c>
      <c r="AJ192" s="13" t="str">
        <f xml:space="preserve"> IF(AD192&gt;F192,"Exceso en grasa saturada",IFERROR(IF(F192=0,"No tiene sello",IF((AD192*9)*100/F192&gt;10,"Exceso en grasa saturada","No tiene sello")),"No tiene sello"))</f>
        <v>No tiene sello</v>
      </c>
      <c r="AK192" s="13">
        <f>IF(AJ192="No tiene sello",0,1)</f>
        <v>0</v>
      </c>
      <c r="AL192" s="13" t="str">
        <f>IF(Q192&gt;=300,"Exceso en sodio",IFERROR(IF(AND(F192=0,Q192&gt;0),"No tiene sello",IF(Q192/F192&gt;1,"Exceso en sodio","No tiene sello")),"No tiene sello"))</f>
        <v>No tiene sello</v>
      </c>
      <c r="AM192" s="13" t="str">
        <f>IFERROR(IF(F192=0,"No tiene sello",IF(+(AG192/1000)*9*100/F192&gt;1,"Exceso en grasa trans", "No tiene sello")),"No tiene sello")</f>
        <v>No tiene sello</v>
      </c>
    </row>
    <row r="193" spans="1:39" s="4" customFormat="1" ht="13.5" customHeight="1" x14ac:dyDescent="0.25">
      <c r="A193" s="26" t="s">
        <v>1283</v>
      </c>
      <c r="B193" s="26" t="s">
        <v>1284</v>
      </c>
      <c r="C193" s="26" t="s">
        <v>182</v>
      </c>
      <c r="D193" s="47">
        <v>100</v>
      </c>
      <c r="E193" s="28">
        <v>79.400000000000006</v>
      </c>
      <c r="F193" s="24">
        <v>85</v>
      </c>
      <c r="G193" s="28">
        <v>358</v>
      </c>
      <c r="H193" s="24">
        <v>1.4</v>
      </c>
      <c r="I193" s="24">
        <v>0</v>
      </c>
      <c r="J193" s="24">
        <v>18.100000000000001</v>
      </c>
      <c r="K193" s="28">
        <v>15.2</v>
      </c>
      <c r="L193" s="28">
        <v>0.91</v>
      </c>
      <c r="M193" s="24">
        <v>3</v>
      </c>
      <c r="N193" s="28">
        <v>1</v>
      </c>
      <c r="O193" s="25">
        <v>4</v>
      </c>
      <c r="P193" s="25">
        <v>0.5</v>
      </c>
      <c r="Q193" s="28">
        <v>2</v>
      </c>
      <c r="R193" s="25">
        <v>41</v>
      </c>
      <c r="S193" s="28">
        <v>0.4</v>
      </c>
      <c r="T193" s="28">
        <v>21</v>
      </c>
      <c r="U193" s="28">
        <v>482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5">
        <v>0</v>
      </c>
      <c r="AB193" s="25">
        <v>0</v>
      </c>
      <c r="AC193" s="25">
        <v>0</v>
      </c>
      <c r="AD193" s="28">
        <v>0</v>
      </c>
      <c r="AE193" s="28">
        <v>0</v>
      </c>
      <c r="AF193" s="28">
        <v>0</v>
      </c>
      <c r="AG193" s="28">
        <v>0</v>
      </c>
      <c r="AH193" s="24">
        <v>0</v>
      </c>
      <c r="AI193" s="28">
        <v>100</v>
      </c>
      <c r="AJ193" s="13" t="str">
        <f xml:space="preserve"> IF(AD193&gt;F193,"Exceso en grasa saturada",IFERROR(IF(F193=0,"No tiene sello",IF((AD193*9)*100/F193&gt;10,"Exceso en grasa saturada","No tiene sello")),"No tiene sello"))</f>
        <v>No tiene sello</v>
      </c>
      <c r="AK193" s="13">
        <f>IF(AJ193="No tiene sello",0,1)</f>
        <v>0</v>
      </c>
      <c r="AL193" s="13" t="str">
        <f>IF(Q193&gt;=300,"Exceso en sodio",IFERROR(IF(AND(F193=0,Q193&gt;0),"No tiene sello",IF(Q193/F193&gt;1,"Exceso en sodio","No tiene sello")),"No tiene sello"))</f>
        <v>No tiene sello</v>
      </c>
      <c r="AM193" s="13" t="str">
        <f>IFERROR(IF(F193=0,"No tiene sello",IF(+(AG193/1000)*9*100/F193&gt;1,"Exceso en grasa trans", "No tiene sello")),"No tiene sello")</f>
        <v>No tiene sello</v>
      </c>
    </row>
    <row r="194" spans="1:39" s="5" customFormat="1" ht="13.5" customHeight="1" x14ac:dyDescent="0.25">
      <c r="A194" s="20" t="s">
        <v>1281</v>
      </c>
      <c r="B194" s="20" t="s">
        <v>1282</v>
      </c>
      <c r="C194" s="20" t="s">
        <v>182</v>
      </c>
      <c r="D194" s="46">
        <v>100</v>
      </c>
      <c r="E194" s="23">
        <v>75.400000000000006</v>
      </c>
      <c r="F194" s="24">
        <v>96</v>
      </c>
      <c r="G194" s="23">
        <v>406</v>
      </c>
      <c r="H194" s="24">
        <v>2.2000000000000002</v>
      </c>
      <c r="I194" s="24">
        <v>0.1</v>
      </c>
      <c r="J194" s="24">
        <v>21.1</v>
      </c>
      <c r="K194" s="23">
        <v>20.5</v>
      </c>
      <c r="L194" s="23">
        <v>1.06</v>
      </c>
      <c r="M194" s="24">
        <v>0.6</v>
      </c>
      <c r="N194" s="23">
        <v>1.2</v>
      </c>
      <c r="O194" s="25">
        <v>11</v>
      </c>
      <c r="P194" s="25">
        <v>1</v>
      </c>
      <c r="Q194" s="23">
        <v>18</v>
      </c>
      <c r="R194" s="25">
        <v>36</v>
      </c>
      <c r="S194" s="23">
        <v>0</v>
      </c>
      <c r="T194" s="23">
        <v>0</v>
      </c>
      <c r="U194" s="23">
        <v>0</v>
      </c>
      <c r="V194" s="23">
        <v>0.11</v>
      </c>
      <c r="W194" s="23">
        <v>0.03</v>
      </c>
      <c r="X194" s="23">
        <v>2.4</v>
      </c>
      <c r="Y194" s="23">
        <v>0</v>
      </c>
      <c r="Z194" s="23">
        <v>0</v>
      </c>
      <c r="AA194" s="25">
        <v>32</v>
      </c>
      <c r="AB194" s="25">
        <v>2</v>
      </c>
      <c r="AC194" s="25">
        <v>0</v>
      </c>
      <c r="AD194" s="23">
        <v>0</v>
      </c>
      <c r="AE194" s="23">
        <v>0</v>
      </c>
      <c r="AF194" s="23">
        <v>0</v>
      </c>
      <c r="AG194" s="23">
        <v>0</v>
      </c>
      <c r="AH194" s="24">
        <v>0</v>
      </c>
      <c r="AI194" s="23">
        <v>100</v>
      </c>
      <c r="AJ194" s="13" t="str">
        <f xml:space="preserve"> IF(AD194&gt;F194,"Exceso en grasa saturada",IFERROR(IF(F194=0,"No tiene sello",IF((AD194*9)*100/F194&gt;10,"Exceso en grasa saturada","No tiene sello")),"No tiene sello"))</f>
        <v>No tiene sello</v>
      </c>
      <c r="AK194" s="13">
        <f>IF(AJ194="No tiene sello",0,1)</f>
        <v>0</v>
      </c>
      <c r="AL194" s="13" t="str">
        <f>IF(Q194&gt;=300,"Exceso en sodio",IFERROR(IF(AND(F194=0,Q194&gt;0),"No tiene sello",IF(Q194/F194&gt;1,"Exceso en sodio","No tiene sello")),"No tiene sello"))</f>
        <v>No tiene sello</v>
      </c>
      <c r="AM194" s="13" t="str">
        <f>IFERROR(IF(F194=0,"No tiene sello",IF(+(AG194/1000)*9*100/F194&gt;1,"Exceso en grasa trans", "No tiene sello")),"No tiene sello")</f>
        <v>No tiene sello</v>
      </c>
    </row>
    <row r="195" spans="1:39" ht="13.5" customHeight="1" x14ac:dyDescent="0.25">
      <c r="A195" s="26" t="s">
        <v>1279</v>
      </c>
      <c r="B195" s="26" t="s">
        <v>1280</v>
      </c>
      <c r="C195" s="26" t="s">
        <v>187</v>
      </c>
      <c r="D195" s="47">
        <v>100</v>
      </c>
      <c r="E195" s="28">
        <v>73.2</v>
      </c>
      <c r="F195" s="24">
        <v>106</v>
      </c>
      <c r="G195" s="28">
        <v>448</v>
      </c>
      <c r="H195" s="24">
        <v>2</v>
      </c>
      <c r="I195" s="24">
        <v>0.4</v>
      </c>
      <c r="J195" s="24">
        <v>23.3</v>
      </c>
      <c r="K195" s="28">
        <v>22.9</v>
      </c>
      <c r="L195" s="28">
        <v>1.17</v>
      </c>
      <c r="M195" s="24">
        <v>0.4</v>
      </c>
      <c r="N195" s="28">
        <v>1.1000000000000001</v>
      </c>
      <c r="O195" s="25">
        <v>6</v>
      </c>
      <c r="P195" s="25">
        <v>0.4</v>
      </c>
      <c r="Q195" s="28">
        <v>0</v>
      </c>
      <c r="R195" s="25">
        <v>52</v>
      </c>
      <c r="S195" s="28">
        <v>0.3</v>
      </c>
      <c r="T195" s="28">
        <v>0</v>
      </c>
      <c r="U195" s="28">
        <v>0</v>
      </c>
      <c r="V195" s="28">
        <v>0.08</v>
      </c>
      <c r="W195" s="28">
        <v>0.06</v>
      </c>
      <c r="X195" s="28">
        <v>1.8</v>
      </c>
      <c r="Y195" s="28">
        <v>0</v>
      </c>
      <c r="Z195" s="28">
        <v>0</v>
      </c>
      <c r="AA195" s="25">
        <v>9</v>
      </c>
      <c r="AB195" s="25">
        <v>2</v>
      </c>
      <c r="AC195" s="25">
        <v>0</v>
      </c>
      <c r="AD195" s="28">
        <v>0</v>
      </c>
      <c r="AE195" s="28">
        <v>0</v>
      </c>
      <c r="AF195" s="28">
        <v>0</v>
      </c>
      <c r="AG195" s="28">
        <v>0</v>
      </c>
      <c r="AH195" s="24">
        <v>0</v>
      </c>
      <c r="AI195" s="28">
        <v>92</v>
      </c>
      <c r="AJ195" s="13" t="str">
        <f xml:space="preserve"> IF(AD195&gt;F195,"Exceso en grasa saturada",IFERROR(IF(F195=0,"No tiene sello",IF((AD195*9)*100/F195&gt;10,"Exceso en grasa saturada","No tiene sello")),"No tiene sello"))</f>
        <v>No tiene sello</v>
      </c>
      <c r="AK195" s="13">
        <f>IF(AJ195="No tiene sello",0,1)</f>
        <v>0</v>
      </c>
      <c r="AL195" s="13" t="str">
        <f>IF(Q195&gt;=300,"Exceso en sodio",IFERROR(IF(AND(F195=0,Q195&gt;0),"No tiene sello",IF(Q195/F195&gt;1,"Exceso en sodio","No tiene sello")),"No tiene sello"))</f>
        <v>No tiene sello</v>
      </c>
      <c r="AM195" s="13" t="str">
        <f>IFERROR(IF(F195=0,"No tiene sello",IF(+(AG195/1000)*9*100/F195&gt;1,"Exceso en grasa trans", "No tiene sello")),"No tiene sello")</f>
        <v>No tiene sello</v>
      </c>
    </row>
    <row r="196" spans="1:39" s="5" customFormat="1" ht="13.5" customHeight="1" x14ac:dyDescent="0.25">
      <c r="A196" s="20" t="s">
        <v>1277</v>
      </c>
      <c r="B196" s="20" t="s">
        <v>1278</v>
      </c>
      <c r="C196" s="20" t="s">
        <v>182</v>
      </c>
      <c r="D196" s="46">
        <v>100</v>
      </c>
      <c r="E196" s="23">
        <v>78.900000000000006</v>
      </c>
      <c r="F196" s="24">
        <v>85</v>
      </c>
      <c r="G196" s="23">
        <v>359</v>
      </c>
      <c r="H196" s="24">
        <v>2.4</v>
      </c>
      <c r="I196" s="24">
        <v>0.1</v>
      </c>
      <c r="J196" s="24">
        <v>17.2</v>
      </c>
      <c r="K196" s="23">
        <v>14.5</v>
      </c>
      <c r="L196" s="23">
        <v>0.86</v>
      </c>
      <c r="M196" s="24">
        <v>2.7</v>
      </c>
      <c r="N196" s="23">
        <v>1.4</v>
      </c>
      <c r="O196" s="25">
        <v>6</v>
      </c>
      <c r="P196" s="25">
        <v>1</v>
      </c>
      <c r="Q196" s="23">
        <v>9</v>
      </c>
      <c r="R196" s="25">
        <v>49</v>
      </c>
      <c r="S196" s="23">
        <v>0.4</v>
      </c>
      <c r="T196" s="23">
        <v>22</v>
      </c>
      <c r="U196" s="23">
        <v>417</v>
      </c>
      <c r="V196" s="23">
        <v>0.09</v>
      </c>
      <c r="W196" s="23">
        <v>0.03</v>
      </c>
      <c r="X196" s="23">
        <v>1.2</v>
      </c>
      <c r="Y196" s="23">
        <v>9</v>
      </c>
      <c r="Z196" s="23">
        <v>0</v>
      </c>
      <c r="AA196" s="25">
        <v>13</v>
      </c>
      <c r="AB196" s="25">
        <v>0</v>
      </c>
      <c r="AC196" s="25">
        <v>0</v>
      </c>
      <c r="AD196" s="23">
        <v>0</v>
      </c>
      <c r="AE196" s="23">
        <v>0</v>
      </c>
      <c r="AF196" s="23">
        <v>0</v>
      </c>
      <c r="AG196" s="23">
        <v>0</v>
      </c>
      <c r="AH196" s="24">
        <v>0</v>
      </c>
      <c r="AI196" s="23">
        <v>100</v>
      </c>
      <c r="AJ196" s="13" t="str">
        <f xml:space="preserve"> IF(AD196&gt;F196,"Exceso en grasa saturada",IFERROR(IF(F196=0,"No tiene sello",IF((AD196*9)*100/F196&gt;10,"Exceso en grasa saturada","No tiene sello")),"No tiene sello"))</f>
        <v>No tiene sello</v>
      </c>
      <c r="AK196" s="13">
        <f>IF(AJ196="No tiene sello",0,1)</f>
        <v>0</v>
      </c>
      <c r="AL196" s="13" t="str">
        <f>IF(Q196&gt;=300,"Exceso en sodio",IFERROR(IF(AND(F196=0,Q196&gt;0),"No tiene sello",IF(Q196/F196&gt;1,"Exceso en sodio","No tiene sello")),"No tiene sello"))</f>
        <v>No tiene sello</v>
      </c>
      <c r="AM196" s="13" t="str">
        <f>IFERROR(IF(F196=0,"No tiene sello",IF(+(AG196/1000)*9*100/F196&gt;1,"Exceso en grasa trans", "No tiene sello")),"No tiene sello")</f>
        <v>No tiene sello</v>
      </c>
    </row>
    <row r="197" spans="1:39" s="4" customFormat="1" ht="13.5" customHeight="1" x14ac:dyDescent="0.25">
      <c r="A197" s="26" t="s">
        <v>1275</v>
      </c>
      <c r="B197" s="26" t="s">
        <v>1276</v>
      </c>
      <c r="C197" s="26" t="s">
        <v>182</v>
      </c>
      <c r="D197" s="47">
        <v>100</v>
      </c>
      <c r="E197" s="28">
        <v>77.7</v>
      </c>
      <c r="F197" s="24">
        <v>89</v>
      </c>
      <c r="G197" s="28">
        <v>376</v>
      </c>
      <c r="H197" s="24">
        <v>2.1</v>
      </c>
      <c r="I197" s="24">
        <v>0.1</v>
      </c>
      <c r="J197" s="24">
        <v>18.899999999999999</v>
      </c>
      <c r="K197" s="28">
        <v>17.100000000000001</v>
      </c>
      <c r="L197" s="28">
        <v>0.94</v>
      </c>
      <c r="M197" s="24">
        <v>1.8</v>
      </c>
      <c r="N197" s="28">
        <v>1.1000000000000001</v>
      </c>
      <c r="O197" s="25">
        <v>12</v>
      </c>
      <c r="P197" s="25">
        <v>0.8</v>
      </c>
      <c r="Q197" s="28">
        <v>6</v>
      </c>
      <c r="R197" s="25">
        <v>57</v>
      </c>
      <c r="S197" s="28">
        <v>0.3</v>
      </c>
      <c r="T197" s="28">
        <v>23</v>
      </c>
      <c r="U197" s="28">
        <v>422</v>
      </c>
      <c r="V197" s="28">
        <v>0.08</v>
      </c>
      <c r="W197" s="28">
        <v>0.03</v>
      </c>
      <c r="X197" s="28">
        <v>1.1000000000000001</v>
      </c>
      <c r="Y197" s="28">
        <v>16</v>
      </c>
      <c r="Z197" s="28">
        <v>0</v>
      </c>
      <c r="AA197" s="25">
        <v>20</v>
      </c>
      <c r="AB197" s="25">
        <v>0</v>
      </c>
      <c r="AC197" s="25">
        <v>0</v>
      </c>
      <c r="AD197" s="28">
        <v>0</v>
      </c>
      <c r="AE197" s="28">
        <v>0</v>
      </c>
      <c r="AF197" s="28">
        <v>0</v>
      </c>
      <c r="AG197" s="28">
        <v>0</v>
      </c>
      <c r="AH197" s="24">
        <v>0</v>
      </c>
      <c r="AI197" s="28">
        <v>100</v>
      </c>
      <c r="AJ197" s="13" t="str">
        <f xml:space="preserve"> IF(AD197&gt;F197,"Exceso en grasa saturada",IFERROR(IF(F197=0,"No tiene sello",IF((AD197*9)*100/F197&gt;10,"Exceso en grasa saturada","No tiene sello")),"No tiene sello"))</f>
        <v>No tiene sello</v>
      </c>
      <c r="AK197" s="13">
        <f>IF(AJ197="No tiene sello",0,1)</f>
        <v>0</v>
      </c>
      <c r="AL197" s="13" t="str">
        <f>IF(Q197&gt;=300,"Exceso en sodio",IFERROR(IF(AND(F197=0,Q197&gt;0),"No tiene sello",IF(Q197/F197&gt;1,"Exceso en sodio","No tiene sello")),"No tiene sello"))</f>
        <v>No tiene sello</v>
      </c>
      <c r="AM197" s="13" t="str">
        <f>IFERROR(IF(F197=0,"No tiene sello",IF(+(AG197/1000)*9*100/F197&gt;1,"Exceso en grasa trans", "No tiene sello")),"No tiene sello")</f>
        <v>No tiene sello</v>
      </c>
    </row>
    <row r="198" spans="1:39" ht="13.5" customHeight="1" x14ac:dyDescent="0.25">
      <c r="A198" s="20" t="s">
        <v>1273</v>
      </c>
      <c r="B198" s="20" t="s">
        <v>1274</v>
      </c>
      <c r="C198" s="20" t="s">
        <v>187</v>
      </c>
      <c r="D198" s="46">
        <v>100</v>
      </c>
      <c r="E198" s="23">
        <v>76.3</v>
      </c>
      <c r="F198" s="24">
        <v>96</v>
      </c>
      <c r="G198" s="23">
        <v>407</v>
      </c>
      <c r="H198" s="24">
        <v>2</v>
      </c>
      <c r="I198" s="24">
        <v>0.1</v>
      </c>
      <c r="J198" s="24">
        <v>20.9</v>
      </c>
      <c r="K198" s="23">
        <v>19.100000000000001</v>
      </c>
      <c r="L198" s="23">
        <v>1.04</v>
      </c>
      <c r="M198" s="24">
        <v>1.8</v>
      </c>
      <c r="N198" s="23">
        <v>0.7</v>
      </c>
      <c r="O198" s="25">
        <v>6</v>
      </c>
      <c r="P198" s="25">
        <v>0.3</v>
      </c>
      <c r="Q198" s="23">
        <v>6</v>
      </c>
      <c r="R198" s="25">
        <v>47</v>
      </c>
      <c r="S198" s="23">
        <v>0.3</v>
      </c>
      <c r="T198" s="23">
        <v>20</v>
      </c>
      <c r="U198" s="23">
        <v>352</v>
      </c>
      <c r="V198" s="23">
        <v>0.15</v>
      </c>
      <c r="W198" s="23">
        <v>0.02</v>
      </c>
      <c r="X198" s="23">
        <v>1.3</v>
      </c>
      <c r="Y198" s="23">
        <v>9</v>
      </c>
      <c r="Z198" s="23">
        <v>0</v>
      </c>
      <c r="AA198" s="25">
        <v>7</v>
      </c>
      <c r="AB198" s="25">
        <v>1</v>
      </c>
      <c r="AC198" s="25">
        <v>0</v>
      </c>
      <c r="AD198" s="23">
        <v>0</v>
      </c>
      <c r="AE198" s="23">
        <v>0</v>
      </c>
      <c r="AF198" s="23">
        <v>0</v>
      </c>
      <c r="AG198" s="23">
        <v>0</v>
      </c>
      <c r="AH198" s="24">
        <v>0</v>
      </c>
      <c r="AI198" s="23">
        <v>100</v>
      </c>
      <c r="AJ198" s="13" t="str">
        <f xml:space="preserve"> IF(AD198&gt;F198,"Exceso en grasa saturada",IFERROR(IF(F198=0,"No tiene sello",IF((AD198*9)*100/F198&gt;10,"Exceso en grasa saturada","No tiene sello")),"No tiene sello"))</f>
        <v>No tiene sello</v>
      </c>
      <c r="AK198" s="13">
        <f>IF(AJ198="No tiene sello",0,1)</f>
        <v>0</v>
      </c>
      <c r="AL198" s="13" t="str">
        <f>IF(Q198&gt;=300,"Exceso en sodio",IFERROR(IF(AND(F198=0,Q198&gt;0),"No tiene sello",IF(Q198/F198&gt;1,"Exceso en sodio","No tiene sello")),"No tiene sello"))</f>
        <v>No tiene sello</v>
      </c>
      <c r="AM198" s="13" t="str">
        <f>IFERROR(IF(F198=0,"No tiene sello",IF(+(AG198/1000)*9*100/F198&gt;1,"Exceso en grasa trans", "No tiene sello")),"No tiene sello")</f>
        <v>No tiene sello</v>
      </c>
    </row>
    <row r="199" spans="1:39" ht="13.5" customHeight="1" x14ac:dyDescent="0.25">
      <c r="A199" s="26" t="s">
        <v>1271</v>
      </c>
      <c r="B199" s="26" t="s">
        <v>1272</v>
      </c>
      <c r="C199" s="26" t="s">
        <v>187</v>
      </c>
      <c r="D199" s="47">
        <v>100</v>
      </c>
      <c r="E199" s="28">
        <v>76.2</v>
      </c>
      <c r="F199" s="24">
        <v>97</v>
      </c>
      <c r="G199" s="28">
        <v>410</v>
      </c>
      <c r="H199" s="24">
        <v>2</v>
      </c>
      <c r="I199" s="24">
        <v>0.2</v>
      </c>
      <c r="J199" s="24">
        <v>20.9</v>
      </c>
      <c r="K199" s="28">
        <v>19</v>
      </c>
      <c r="L199" s="28">
        <v>1.04</v>
      </c>
      <c r="M199" s="24">
        <v>1.9</v>
      </c>
      <c r="N199" s="28">
        <v>0.8</v>
      </c>
      <c r="O199" s="25">
        <v>8</v>
      </c>
      <c r="P199" s="25">
        <v>0.8</v>
      </c>
      <c r="Q199" s="28">
        <v>10</v>
      </c>
      <c r="R199" s="25">
        <v>59</v>
      </c>
      <c r="S199" s="28">
        <v>0.3</v>
      </c>
      <c r="T199" s="28">
        <v>22</v>
      </c>
      <c r="U199" s="28">
        <v>445</v>
      </c>
      <c r="V199" s="28">
        <v>0.11</v>
      </c>
      <c r="W199" s="28">
        <v>0.06</v>
      </c>
      <c r="X199" s="28">
        <v>1.5</v>
      </c>
      <c r="Y199" s="28">
        <v>16</v>
      </c>
      <c r="Z199" s="28">
        <v>0</v>
      </c>
      <c r="AA199" s="25">
        <v>18</v>
      </c>
      <c r="AB199" s="25">
        <v>0</v>
      </c>
      <c r="AC199" s="25">
        <v>0</v>
      </c>
      <c r="AD199" s="28">
        <v>0</v>
      </c>
      <c r="AE199" s="28">
        <v>0</v>
      </c>
      <c r="AF199" s="28">
        <v>0</v>
      </c>
      <c r="AG199" s="28">
        <v>0</v>
      </c>
      <c r="AH199" s="24">
        <v>0</v>
      </c>
      <c r="AI199" s="28">
        <v>90</v>
      </c>
      <c r="AJ199" s="13" t="str">
        <f xml:space="preserve"> IF(AD199&gt;F199,"Exceso en grasa saturada",IFERROR(IF(F199=0,"No tiene sello",IF((AD199*9)*100/F199&gt;10,"Exceso en grasa saturada","No tiene sello")),"No tiene sello"))</f>
        <v>No tiene sello</v>
      </c>
      <c r="AK199" s="13">
        <f>IF(AJ199="No tiene sello",0,1)</f>
        <v>0</v>
      </c>
      <c r="AL199" s="13" t="str">
        <f>IF(Q199&gt;=300,"Exceso en sodio",IFERROR(IF(AND(F199=0,Q199&gt;0),"No tiene sello",IF(Q199/F199&gt;1,"Exceso en sodio","No tiene sello")),"No tiene sello"))</f>
        <v>No tiene sello</v>
      </c>
      <c r="AM199" s="13" t="str">
        <f>IFERROR(IF(F199=0,"No tiene sello",IF(+(AG199/1000)*9*100/F199&gt;1,"Exceso en grasa trans", "No tiene sello")),"No tiene sello")</f>
        <v>No tiene sello</v>
      </c>
    </row>
    <row r="200" spans="1:39" ht="13.5" customHeight="1" x14ac:dyDescent="0.25">
      <c r="A200" s="29" t="s">
        <v>1269</v>
      </c>
      <c r="B200" s="29" t="s">
        <v>1270</v>
      </c>
      <c r="C200" s="29" t="s">
        <v>154</v>
      </c>
      <c r="D200" s="46">
        <v>100</v>
      </c>
      <c r="E200" s="31">
        <v>96.7</v>
      </c>
      <c r="F200" s="24">
        <v>14</v>
      </c>
      <c r="G200" s="31">
        <v>57</v>
      </c>
      <c r="H200" s="24">
        <v>0.5</v>
      </c>
      <c r="I200" s="24">
        <v>0.1</v>
      </c>
      <c r="J200" s="24">
        <v>2.2999999999999998</v>
      </c>
      <c r="K200" s="31">
        <v>1.6</v>
      </c>
      <c r="L200" s="31">
        <v>0.23</v>
      </c>
      <c r="M200" s="24">
        <v>0.7</v>
      </c>
      <c r="N200" s="31">
        <v>0.4</v>
      </c>
      <c r="O200" s="31">
        <v>18</v>
      </c>
      <c r="P200" s="31">
        <v>0.3</v>
      </c>
      <c r="Q200" s="31">
        <v>2</v>
      </c>
      <c r="R200" s="31">
        <v>22</v>
      </c>
      <c r="S200" s="31">
        <v>0.1</v>
      </c>
      <c r="T200" s="31">
        <v>12</v>
      </c>
      <c r="U200" s="31">
        <v>141</v>
      </c>
      <c r="V200" s="31">
        <v>0.02</v>
      </c>
      <c r="W200" s="31">
        <v>0.02</v>
      </c>
      <c r="X200" s="31">
        <v>0.1</v>
      </c>
      <c r="Y200" s="31">
        <v>14</v>
      </c>
      <c r="Z200" s="31">
        <v>0</v>
      </c>
      <c r="AA200" s="31">
        <v>8</v>
      </c>
      <c r="AB200" s="31">
        <v>2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75</v>
      </c>
      <c r="AJ200" s="13" t="str">
        <f xml:space="preserve"> IF(AD200&gt;F200,"Exceso en grasa saturada",IFERROR(IF(F200=0,"No tiene sello",IF((AD200*9)*100/F200&gt;10,"Exceso en grasa saturada","No tiene sello")),"No tiene sello"))</f>
        <v>No tiene sello</v>
      </c>
      <c r="AK200" s="13">
        <f>IF(AJ200="No tiene sello",0,1)</f>
        <v>0</v>
      </c>
      <c r="AL200" s="13" t="str">
        <f>IF(Q200&gt;=300,"Exceso en sodio",IFERROR(IF(AND(F200=0,Q200&gt;0),"No tiene sello",IF(Q200/F200&gt;1,"Exceso en sodio","No tiene sello")),"No tiene sello"))</f>
        <v>No tiene sello</v>
      </c>
      <c r="AM200" s="13" t="str">
        <f>IFERROR(IF(F200=0,"No tiene sello",IF(+(AG200/1000)*9*100/F200&gt;1,"Exceso en grasa trans", "No tiene sello")),"No tiene sello")</f>
        <v>No tiene sello</v>
      </c>
    </row>
    <row r="201" spans="1:39" ht="13.5" customHeight="1" x14ac:dyDescent="0.25">
      <c r="A201" s="26" t="s">
        <v>1267</v>
      </c>
      <c r="B201" s="26" t="s">
        <v>1268</v>
      </c>
      <c r="C201" s="26" t="s">
        <v>154</v>
      </c>
      <c r="D201" s="47">
        <v>100</v>
      </c>
      <c r="E201" s="28">
        <v>94.5</v>
      </c>
      <c r="F201" s="24">
        <v>21</v>
      </c>
      <c r="G201" s="28">
        <v>89</v>
      </c>
      <c r="H201" s="24">
        <v>0.6</v>
      </c>
      <c r="I201" s="24">
        <v>0.2</v>
      </c>
      <c r="J201" s="24">
        <v>3.8</v>
      </c>
      <c r="K201" s="28">
        <v>3</v>
      </c>
      <c r="L201" s="28">
        <v>0.38</v>
      </c>
      <c r="M201" s="24">
        <v>0.8</v>
      </c>
      <c r="N201" s="28">
        <v>0.8</v>
      </c>
      <c r="O201" s="25">
        <v>15</v>
      </c>
      <c r="P201" s="25">
        <v>0.7</v>
      </c>
      <c r="Q201" s="28">
        <v>4</v>
      </c>
      <c r="R201" s="25">
        <v>24</v>
      </c>
      <c r="S201" s="28">
        <v>0</v>
      </c>
      <c r="T201" s="28">
        <v>10</v>
      </c>
      <c r="U201" s="28">
        <v>68</v>
      </c>
      <c r="V201" s="28">
        <v>0.04</v>
      </c>
      <c r="W201" s="28">
        <v>0.05</v>
      </c>
      <c r="X201" s="28">
        <v>0.2</v>
      </c>
      <c r="Y201" s="28">
        <v>0</v>
      </c>
      <c r="Z201" s="28">
        <v>0</v>
      </c>
      <c r="AA201" s="25">
        <v>14</v>
      </c>
      <c r="AB201" s="25">
        <v>3</v>
      </c>
      <c r="AC201" s="25">
        <v>0</v>
      </c>
      <c r="AD201" s="28">
        <v>0</v>
      </c>
      <c r="AE201" s="28">
        <v>0</v>
      </c>
      <c r="AF201" s="28">
        <v>0</v>
      </c>
      <c r="AG201" s="28">
        <v>0</v>
      </c>
      <c r="AH201" s="24">
        <v>0</v>
      </c>
      <c r="AI201" s="28">
        <v>90</v>
      </c>
      <c r="AJ201" s="13" t="str">
        <f xml:space="preserve"> IF(AD201&gt;F201,"Exceso en grasa saturada",IFERROR(IF(F201=0,"No tiene sello",IF((AD201*9)*100/F201&gt;10,"Exceso en grasa saturada","No tiene sello")),"No tiene sello"))</f>
        <v>No tiene sello</v>
      </c>
      <c r="AK201" s="13">
        <f>IF(AJ201="No tiene sello",0,1)</f>
        <v>0</v>
      </c>
      <c r="AL201" s="13" t="str">
        <f>IF(Q201&gt;=300,"Exceso en sodio",IFERROR(IF(AND(F201=0,Q201&gt;0),"No tiene sello",IF(Q201/F201&gt;1,"Exceso en sodio","No tiene sello")),"No tiene sello"))</f>
        <v>No tiene sello</v>
      </c>
      <c r="AM201" s="13" t="str">
        <f>IFERROR(IF(F201=0,"No tiene sello",IF(+(AG201/1000)*9*100/F201&gt;1,"Exceso en grasa trans", "No tiene sello")),"No tiene sello")</f>
        <v>No tiene sello</v>
      </c>
    </row>
    <row r="202" spans="1:39" ht="13.5" customHeight="1" x14ac:dyDescent="0.25">
      <c r="A202" s="20" t="s">
        <v>1265</v>
      </c>
      <c r="B202" s="20" t="s">
        <v>1266</v>
      </c>
      <c r="C202" s="20" t="s">
        <v>176</v>
      </c>
      <c r="D202" s="46">
        <v>100</v>
      </c>
      <c r="E202" s="23">
        <v>86.9</v>
      </c>
      <c r="F202" s="24">
        <v>55</v>
      </c>
      <c r="G202" s="23">
        <v>230</v>
      </c>
      <c r="H202" s="24">
        <v>2.9</v>
      </c>
      <c r="I202" s="24">
        <v>1</v>
      </c>
      <c r="J202" s="24">
        <v>6.9</v>
      </c>
      <c r="K202" s="23">
        <v>3.6</v>
      </c>
      <c r="L202" s="23">
        <v>0.69</v>
      </c>
      <c r="M202" s="24">
        <v>3.3</v>
      </c>
      <c r="N202" s="23">
        <v>2.2000000000000002</v>
      </c>
      <c r="O202" s="25">
        <v>138</v>
      </c>
      <c r="P202" s="25">
        <v>6.6</v>
      </c>
      <c r="Q202" s="23">
        <v>56</v>
      </c>
      <c r="R202" s="25">
        <v>59</v>
      </c>
      <c r="S202" s="23">
        <v>1.1000000000000001</v>
      </c>
      <c r="T202" s="23">
        <v>50</v>
      </c>
      <c r="U202" s="23">
        <v>554</v>
      </c>
      <c r="V202" s="23">
        <v>0.11</v>
      </c>
      <c r="W202" s="23">
        <v>0.09</v>
      </c>
      <c r="X202" s="23">
        <v>1.3</v>
      </c>
      <c r="Y202" s="23">
        <v>152</v>
      </c>
      <c r="Z202" s="23">
        <v>0</v>
      </c>
      <c r="AA202" s="25">
        <v>161</v>
      </c>
      <c r="AB202" s="25">
        <v>421</v>
      </c>
      <c r="AC202" s="25">
        <v>0</v>
      </c>
      <c r="AD202" s="23">
        <v>0</v>
      </c>
      <c r="AE202" s="23">
        <v>0</v>
      </c>
      <c r="AF202" s="23">
        <v>0</v>
      </c>
      <c r="AG202" s="23">
        <v>0</v>
      </c>
      <c r="AH202" s="24">
        <v>0</v>
      </c>
      <c r="AI202" s="23">
        <v>90</v>
      </c>
      <c r="AJ202" s="13" t="str">
        <f xml:space="preserve"> IF(AD202&gt;F202,"Exceso en grasa saturada",IFERROR(IF(F202=0,"No tiene sello",IF((AD202*9)*100/F202&gt;10,"Exceso en grasa saturada","No tiene sello")),"No tiene sello"))</f>
        <v>No tiene sello</v>
      </c>
      <c r="AK202" s="13">
        <f>IF(AJ202="No tiene sello",0,1)</f>
        <v>0</v>
      </c>
      <c r="AL202" s="13" t="str">
        <f>IF(Q202&gt;=300,"Exceso en sodio",IFERROR(IF(AND(F202=0,Q202&gt;0),"No tiene sello",IF(Q202/F202&gt;1,"Exceso en sodio","No tiene sello")),"No tiene sello"))</f>
        <v>Exceso en sodio</v>
      </c>
      <c r="AM202" s="13" t="str">
        <f>IFERROR(IF(F202=0,"No tiene sello",IF(+(AG202/1000)*9*100/F202&gt;1,"Exceso en grasa trans", "No tiene sello")),"No tiene sello")</f>
        <v>No tiene sello</v>
      </c>
    </row>
    <row r="203" spans="1:39" ht="13.5" customHeight="1" x14ac:dyDescent="0.25">
      <c r="A203" s="26" t="s">
        <v>1263</v>
      </c>
      <c r="B203" s="26" t="s">
        <v>1264</v>
      </c>
      <c r="C203" s="26" t="s">
        <v>154</v>
      </c>
      <c r="D203" s="47">
        <v>100</v>
      </c>
      <c r="E203" s="28">
        <v>91.9</v>
      </c>
      <c r="F203" s="24">
        <v>35</v>
      </c>
      <c r="G203" s="28">
        <v>149</v>
      </c>
      <c r="H203" s="24">
        <v>1</v>
      </c>
      <c r="I203" s="24">
        <v>0.3</v>
      </c>
      <c r="J203" s="24">
        <v>6.3</v>
      </c>
      <c r="K203" s="28">
        <v>4.5999999999999996</v>
      </c>
      <c r="L203" s="28">
        <v>0.63</v>
      </c>
      <c r="M203" s="24">
        <v>1.7</v>
      </c>
      <c r="N203" s="28">
        <v>0.5</v>
      </c>
      <c r="O203" s="25">
        <v>7</v>
      </c>
      <c r="P203" s="25">
        <v>0.4</v>
      </c>
      <c r="Q203" s="28">
        <v>2</v>
      </c>
      <c r="R203" s="25">
        <v>24</v>
      </c>
      <c r="S203" s="28">
        <v>0.2</v>
      </c>
      <c r="T203" s="28">
        <v>12</v>
      </c>
      <c r="U203" s="28">
        <v>211</v>
      </c>
      <c r="V203" s="28">
        <v>0.05</v>
      </c>
      <c r="W203" s="28">
        <v>7.0000000000000007E-2</v>
      </c>
      <c r="X203" s="28">
        <v>1.1000000000000001</v>
      </c>
      <c r="Y203" s="28">
        <v>35</v>
      </c>
      <c r="Z203" s="28">
        <v>0</v>
      </c>
      <c r="AA203" s="25">
        <v>160</v>
      </c>
      <c r="AB203" s="25">
        <v>184</v>
      </c>
      <c r="AC203" s="25">
        <v>0</v>
      </c>
      <c r="AD203" s="28">
        <v>0</v>
      </c>
      <c r="AE203" s="28">
        <v>0</v>
      </c>
      <c r="AF203" s="28">
        <v>0</v>
      </c>
      <c r="AG203" s="28">
        <v>0</v>
      </c>
      <c r="AH203" s="24">
        <v>0</v>
      </c>
      <c r="AI203" s="28">
        <v>85</v>
      </c>
      <c r="AJ203" s="13" t="str">
        <f xml:space="preserve"> IF(AD203&gt;F203,"Exceso en grasa saturada",IFERROR(IF(F203=0,"No tiene sello",IF((AD203*9)*100/F203&gt;10,"Exceso en grasa saturada","No tiene sello")),"No tiene sello"))</f>
        <v>No tiene sello</v>
      </c>
      <c r="AK203" s="13">
        <f>IF(AJ203="No tiene sello",0,1)</f>
        <v>0</v>
      </c>
      <c r="AL203" s="13" t="str">
        <f>IF(Q203&gt;=300,"Exceso en sodio",IFERROR(IF(AND(F203=0,Q203&gt;0),"No tiene sello",IF(Q203/F203&gt;1,"Exceso en sodio","No tiene sello")),"No tiene sello"))</f>
        <v>No tiene sello</v>
      </c>
      <c r="AM203" s="13" t="str">
        <f>IFERROR(IF(F203=0,"No tiene sello",IF(+(AG203/1000)*9*100/F203&gt;1,"Exceso en grasa trans", "No tiene sello")),"No tiene sello")</f>
        <v>No tiene sello</v>
      </c>
    </row>
    <row r="204" spans="1:39" ht="13.5" customHeight="1" x14ac:dyDescent="0.25">
      <c r="A204" s="20" t="s">
        <v>1261</v>
      </c>
      <c r="B204" s="20" t="s">
        <v>1262</v>
      </c>
      <c r="C204" s="20" t="s">
        <v>154</v>
      </c>
      <c r="D204" s="46">
        <v>100</v>
      </c>
      <c r="E204" s="23">
        <v>93.7</v>
      </c>
      <c r="F204" s="24">
        <v>28</v>
      </c>
      <c r="G204" s="23">
        <v>118</v>
      </c>
      <c r="H204" s="24">
        <v>0.9</v>
      </c>
      <c r="I204" s="24">
        <v>0.1</v>
      </c>
      <c r="J204" s="24">
        <v>4.9000000000000004</v>
      </c>
      <c r="K204" s="23">
        <v>3</v>
      </c>
      <c r="L204" s="23">
        <v>0.49</v>
      </c>
      <c r="M204" s="24">
        <v>1.9</v>
      </c>
      <c r="N204" s="23">
        <v>0.4</v>
      </c>
      <c r="O204" s="25">
        <v>11</v>
      </c>
      <c r="P204" s="25">
        <v>0.4</v>
      </c>
      <c r="Q204" s="23">
        <v>3</v>
      </c>
      <c r="R204" s="25">
        <v>20</v>
      </c>
      <c r="S204" s="23">
        <v>0.1</v>
      </c>
      <c r="T204" s="23">
        <v>10</v>
      </c>
      <c r="U204" s="23">
        <v>175</v>
      </c>
      <c r="V204" s="23">
        <v>0.06</v>
      </c>
      <c r="W204" s="23">
        <v>0.03</v>
      </c>
      <c r="X204" s="23">
        <v>0.5</v>
      </c>
      <c r="Y204" s="23">
        <v>10</v>
      </c>
      <c r="Z204" s="23">
        <v>0</v>
      </c>
      <c r="AA204" s="25">
        <v>93</v>
      </c>
      <c r="AB204" s="25">
        <v>20</v>
      </c>
      <c r="AC204" s="25">
        <v>0</v>
      </c>
      <c r="AD204" s="23">
        <v>0</v>
      </c>
      <c r="AE204" s="23">
        <v>0</v>
      </c>
      <c r="AF204" s="23">
        <v>0</v>
      </c>
      <c r="AG204" s="23">
        <v>0</v>
      </c>
      <c r="AH204" s="24">
        <v>0</v>
      </c>
      <c r="AI204" s="23">
        <v>80</v>
      </c>
      <c r="AJ204" s="13" t="str">
        <f xml:space="preserve"> IF(AD204&gt;F204,"Exceso en grasa saturada",IFERROR(IF(F204=0,"No tiene sello",IF((AD204*9)*100/F204&gt;10,"Exceso en grasa saturada","No tiene sello")),"No tiene sello"))</f>
        <v>No tiene sello</v>
      </c>
      <c r="AK204" s="13">
        <f>IF(AJ204="No tiene sello",0,1)</f>
        <v>0</v>
      </c>
      <c r="AL204" s="13" t="str">
        <f>IF(Q204&gt;=300,"Exceso en sodio",IFERROR(IF(AND(F204=0,Q204&gt;0),"No tiene sello",IF(Q204/F204&gt;1,"Exceso en sodio","No tiene sello")),"No tiene sello"))</f>
        <v>No tiene sello</v>
      </c>
      <c r="AM204" s="13" t="str">
        <f>IFERROR(IF(F204=0,"No tiene sello",IF(+(AG204/1000)*9*100/F204&gt;1,"Exceso en grasa trans", "No tiene sello")),"No tiene sello")</f>
        <v>No tiene sello</v>
      </c>
    </row>
    <row r="205" spans="1:39" s="4" customFormat="1" ht="13.5" customHeight="1" x14ac:dyDescent="0.25">
      <c r="A205" s="26" t="s">
        <v>1259</v>
      </c>
      <c r="B205" s="26" t="s">
        <v>1260</v>
      </c>
      <c r="C205" s="26" t="s">
        <v>143</v>
      </c>
      <c r="D205" s="47">
        <v>100</v>
      </c>
      <c r="E205" s="28">
        <v>66.3</v>
      </c>
      <c r="F205" s="24">
        <v>136</v>
      </c>
      <c r="G205" s="28">
        <v>578</v>
      </c>
      <c r="H205" s="24">
        <v>1.3</v>
      </c>
      <c r="I205" s="24">
        <v>0.3</v>
      </c>
      <c r="J205" s="24">
        <v>31</v>
      </c>
      <c r="K205" s="28">
        <v>28.7</v>
      </c>
      <c r="L205" s="28">
        <v>3.1</v>
      </c>
      <c r="M205" s="24">
        <v>2.2999999999999998</v>
      </c>
      <c r="N205" s="28">
        <v>1.2</v>
      </c>
      <c r="O205" s="25">
        <v>4</v>
      </c>
      <c r="P205" s="25">
        <v>0.6</v>
      </c>
      <c r="Q205" s="28">
        <v>4</v>
      </c>
      <c r="R205" s="25">
        <v>35</v>
      </c>
      <c r="S205" s="28">
        <v>0.1</v>
      </c>
      <c r="T205" s="28">
        <v>37</v>
      </c>
      <c r="U205" s="28">
        <v>499</v>
      </c>
      <c r="V205" s="28">
        <v>0.05</v>
      </c>
      <c r="W205" s="28">
        <v>0.05</v>
      </c>
      <c r="X205" s="28">
        <v>0.6</v>
      </c>
      <c r="Y205" s="28">
        <v>22</v>
      </c>
      <c r="Z205" s="28">
        <v>0</v>
      </c>
      <c r="AA205" s="25">
        <v>18</v>
      </c>
      <c r="AB205" s="25">
        <v>57</v>
      </c>
      <c r="AC205" s="25">
        <v>0</v>
      </c>
      <c r="AD205" s="28">
        <v>0</v>
      </c>
      <c r="AE205" s="28">
        <v>0</v>
      </c>
      <c r="AF205" s="28">
        <v>0</v>
      </c>
      <c r="AG205" s="28">
        <v>0</v>
      </c>
      <c r="AH205" s="24">
        <v>0</v>
      </c>
      <c r="AI205" s="28">
        <v>72</v>
      </c>
      <c r="AJ205" s="13" t="str">
        <f xml:space="preserve"> IF(AD205&gt;F205,"Exceso en grasa saturada",IFERROR(IF(F205=0,"No tiene sello",IF((AD205*9)*100/F205&gt;10,"Exceso en grasa saturada","No tiene sello")),"No tiene sello"))</f>
        <v>No tiene sello</v>
      </c>
      <c r="AK205" s="13">
        <f>IF(AJ205="No tiene sello",0,1)</f>
        <v>0</v>
      </c>
      <c r="AL205" s="13" t="str">
        <f>IF(Q205&gt;=300,"Exceso en sodio",IFERROR(IF(AND(F205=0,Q205&gt;0),"No tiene sello",IF(Q205/F205&gt;1,"Exceso en sodio","No tiene sello")),"No tiene sello"))</f>
        <v>No tiene sello</v>
      </c>
      <c r="AM205" s="13" t="str">
        <f>IFERROR(IF(F205=0,"No tiene sello",IF(+(AG205/1000)*9*100/F205&gt;1,"Exceso en grasa trans", "No tiene sello")),"No tiene sello")</f>
        <v>No tiene sello</v>
      </c>
    </row>
    <row r="206" spans="1:39" ht="13.5" customHeight="1" x14ac:dyDescent="0.25">
      <c r="A206" s="20" t="s">
        <v>1257</v>
      </c>
      <c r="B206" s="20" t="s">
        <v>1258</v>
      </c>
      <c r="C206" s="20" t="s">
        <v>143</v>
      </c>
      <c r="D206" s="46">
        <v>100</v>
      </c>
      <c r="E206" s="23">
        <v>59.8</v>
      </c>
      <c r="F206" s="24">
        <v>163</v>
      </c>
      <c r="G206" s="23">
        <v>690</v>
      </c>
      <c r="H206" s="24">
        <v>1</v>
      </c>
      <c r="I206" s="24">
        <v>0.2</v>
      </c>
      <c r="J206" s="24">
        <v>38.1</v>
      </c>
      <c r="K206" s="23">
        <v>35.799999999999997</v>
      </c>
      <c r="L206" s="23">
        <v>3.81</v>
      </c>
      <c r="M206" s="24">
        <v>2.2999999999999998</v>
      </c>
      <c r="N206" s="23">
        <v>0.9</v>
      </c>
      <c r="O206" s="25">
        <v>8</v>
      </c>
      <c r="P206" s="25">
        <v>0.5</v>
      </c>
      <c r="Q206" s="23">
        <v>30</v>
      </c>
      <c r="R206" s="25">
        <v>43</v>
      </c>
      <c r="S206" s="23">
        <v>0.1</v>
      </c>
      <c r="T206" s="23">
        <v>0</v>
      </c>
      <c r="U206" s="23">
        <v>0</v>
      </c>
      <c r="V206" s="23">
        <v>0.09</v>
      </c>
      <c r="W206" s="23">
        <v>0.14000000000000001</v>
      </c>
      <c r="X206" s="23">
        <v>0.6</v>
      </c>
      <c r="Y206" s="23">
        <v>0</v>
      </c>
      <c r="Z206" s="23">
        <v>0</v>
      </c>
      <c r="AA206" s="25">
        <v>19</v>
      </c>
      <c r="AB206" s="25">
        <v>56</v>
      </c>
      <c r="AC206" s="25">
        <v>0</v>
      </c>
      <c r="AD206" s="23">
        <v>0</v>
      </c>
      <c r="AE206" s="23">
        <v>0</v>
      </c>
      <c r="AF206" s="23">
        <v>0</v>
      </c>
      <c r="AG206" s="23">
        <v>0</v>
      </c>
      <c r="AH206" s="24">
        <v>0</v>
      </c>
      <c r="AI206" s="23">
        <v>68</v>
      </c>
      <c r="AJ206" s="13" t="str">
        <f xml:space="preserve"> IF(AD206&gt;F206,"Exceso en grasa saturada",IFERROR(IF(F206=0,"No tiene sello",IF((AD206*9)*100/F206&gt;10,"Exceso en grasa saturada","No tiene sello")),"No tiene sello"))</f>
        <v>No tiene sello</v>
      </c>
      <c r="AK206" s="13">
        <f>IF(AJ206="No tiene sello",0,1)</f>
        <v>0</v>
      </c>
      <c r="AL206" s="13" t="str">
        <f>IF(Q206&gt;=300,"Exceso en sodio",IFERROR(IF(AND(F206=0,Q206&gt;0),"No tiene sello",IF(Q206/F206&gt;1,"Exceso en sodio","No tiene sello")),"No tiene sello"))</f>
        <v>No tiene sello</v>
      </c>
      <c r="AM206" s="13" t="str">
        <f>IFERROR(IF(F206=0,"No tiene sello",IF(+(AG206/1000)*9*100/F206&gt;1,"Exceso en grasa trans", "No tiene sello")),"No tiene sello")</f>
        <v>No tiene sello</v>
      </c>
    </row>
    <row r="207" spans="1:39" ht="13.5" customHeight="1" x14ac:dyDescent="0.25">
      <c r="A207" s="26" t="s">
        <v>1255</v>
      </c>
      <c r="B207" s="26" t="s">
        <v>1256</v>
      </c>
      <c r="C207" s="26" t="s">
        <v>143</v>
      </c>
      <c r="D207" s="47">
        <v>100</v>
      </c>
      <c r="E207" s="28">
        <v>67.400000000000006</v>
      </c>
      <c r="F207" s="24">
        <v>128</v>
      </c>
      <c r="G207" s="28">
        <v>544</v>
      </c>
      <c r="H207" s="24">
        <v>1.3</v>
      </c>
      <c r="I207" s="24">
        <v>0.1</v>
      </c>
      <c r="J207" s="24">
        <v>30.3</v>
      </c>
      <c r="K207" s="28">
        <v>29.9</v>
      </c>
      <c r="L207" s="28">
        <v>3.03</v>
      </c>
      <c r="M207" s="24">
        <v>0.4</v>
      </c>
      <c r="N207" s="28">
        <v>0.9</v>
      </c>
      <c r="O207" s="25">
        <v>4</v>
      </c>
      <c r="P207" s="25">
        <v>0.7</v>
      </c>
      <c r="Q207" s="28">
        <v>0</v>
      </c>
      <c r="R207" s="25">
        <v>38</v>
      </c>
      <c r="S207" s="28">
        <v>0.2</v>
      </c>
      <c r="T207" s="28">
        <v>0</v>
      </c>
      <c r="U207" s="28">
        <v>0</v>
      </c>
      <c r="V207" s="28">
        <v>0.04</v>
      </c>
      <c r="W207" s="28">
        <v>0.04</v>
      </c>
      <c r="X207" s="28">
        <v>0.6</v>
      </c>
      <c r="Y207" s="28">
        <v>0</v>
      </c>
      <c r="Z207" s="28">
        <v>0</v>
      </c>
      <c r="AA207" s="25">
        <v>15</v>
      </c>
      <c r="AB207" s="25">
        <v>16</v>
      </c>
      <c r="AC207" s="25">
        <v>0</v>
      </c>
      <c r="AD207" s="28">
        <v>0</v>
      </c>
      <c r="AE207" s="28">
        <v>0</v>
      </c>
      <c r="AF207" s="28">
        <v>0</v>
      </c>
      <c r="AG207" s="28">
        <v>0</v>
      </c>
      <c r="AH207" s="24">
        <v>0</v>
      </c>
      <c r="AI207" s="28">
        <v>60</v>
      </c>
      <c r="AJ207" s="13" t="str">
        <f xml:space="preserve"> IF(AD207&gt;F207,"Exceso en grasa saturada",IFERROR(IF(F207=0,"No tiene sello",IF((AD207*9)*100/F207&gt;10,"Exceso en grasa saturada","No tiene sello")),"No tiene sello"))</f>
        <v>No tiene sello</v>
      </c>
      <c r="AK207" s="13">
        <f>IF(AJ207="No tiene sello",0,1)</f>
        <v>0</v>
      </c>
      <c r="AL207" s="13" t="str">
        <f>IF(Q207&gt;=300,"Exceso en sodio",IFERROR(IF(AND(F207=0,Q207&gt;0),"No tiene sello",IF(Q207/F207&gt;1,"Exceso en sodio","No tiene sello")),"No tiene sello"))</f>
        <v>No tiene sello</v>
      </c>
      <c r="AM207" s="13" t="str">
        <f>IFERROR(IF(F207=0,"No tiene sello",IF(+(AG207/1000)*9*100/F207&gt;1,"Exceso en grasa trans", "No tiene sello")),"No tiene sello")</f>
        <v>No tiene sello</v>
      </c>
    </row>
    <row r="208" spans="1:39" ht="13.5" customHeight="1" x14ac:dyDescent="0.25">
      <c r="A208" s="20" t="s">
        <v>1253</v>
      </c>
      <c r="B208" s="20" t="s">
        <v>1254</v>
      </c>
      <c r="C208" s="20" t="s">
        <v>143</v>
      </c>
      <c r="D208" s="46">
        <v>100</v>
      </c>
      <c r="E208" s="23">
        <v>66.3</v>
      </c>
      <c r="F208" s="24">
        <v>136</v>
      </c>
      <c r="G208" s="23">
        <v>578</v>
      </c>
      <c r="H208" s="24">
        <v>1.1000000000000001</v>
      </c>
      <c r="I208" s="24">
        <v>0.3</v>
      </c>
      <c r="J208" s="24">
        <v>31.1</v>
      </c>
      <c r="K208" s="23">
        <v>28.8</v>
      </c>
      <c r="L208" s="23">
        <v>3.11</v>
      </c>
      <c r="M208" s="24">
        <v>2.4</v>
      </c>
      <c r="N208" s="23">
        <v>1.2</v>
      </c>
      <c r="O208" s="25">
        <v>4</v>
      </c>
      <c r="P208" s="25">
        <v>0.8</v>
      </c>
      <c r="Q208" s="23">
        <v>4</v>
      </c>
      <c r="R208" s="25">
        <v>35</v>
      </c>
      <c r="S208" s="23">
        <v>0.1</v>
      </c>
      <c r="T208" s="23">
        <v>37</v>
      </c>
      <c r="U208" s="23">
        <v>499</v>
      </c>
      <c r="V208" s="23">
        <v>0.05</v>
      </c>
      <c r="W208" s="23">
        <v>0.02</v>
      </c>
      <c r="X208" s="23">
        <v>0.5</v>
      </c>
      <c r="Y208" s="23">
        <v>22</v>
      </c>
      <c r="Z208" s="23">
        <v>0</v>
      </c>
      <c r="AA208" s="25">
        <v>17</v>
      </c>
      <c r="AB208" s="25">
        <v>57</v>
      </c>
      <c r="AC208" s="25">
        <v>0</v>
      </c>
      <c r="AD208" s="23">
        <v>0</v>
      </c>
      <c r="AE208" s="23">
        <v>0</v>
      </c>
      <c r="AF208" s="23">
        <v>0</v>
      </c>
      <c r="AG208" s="23">
        <v>0</v>
      </c>
      <c r="AH208" s="24">
        <v>0</v>
      </c>
      <c r="AI208" s="23">
        <v>65</v>
      </c>
      <c r="AJ208" s="13" t="str">
        <f xml:space="preserve"> IF(AD208&gt;F208,"Exceso en grasa saturada",IFERROR(IF(F208=0,"No tiene sello",IF((AD208*9)*100/F208&gt;10,"Exceso en grasa saturada","No tiene sello")),"No tiene sello"))</f>
        <v>No tiene sello</v>
      </c>
      <c r="AK208" s="13">
        <f>IF(AJ208="No tiene sello",0,1)</f>
        <v>0</v>
      </c>
      <c r="AL208" s="13" t="str">
        <f>IF(Q208&gt;=300,"Exceso en sodio",IFERROR(IF(AND(F208=0,Q208&gt;0),"No tiene sello",IF(Q208/F208&gt;1,"Exceso en sodio","No tiene sello")),"No tiene sello"))</f>
        <v>No tiene sello</v>
      </c>
      <c r="AM208" s="13" t="str">
        <f>IFERROR(IF(F208=0,"No tiene sello",IF(+(AG208/1000)*9*100/F208&gt;1,"Exceso en grasa trans", "No tiene sello")),"No tiene sello")</f>
        <v>No tiene sello</v>
      </c>
    </row>
    <row r="209" spans="1:39" ht="13.5" customHeight="1" x14ac:dyDescent="0.25">
      <c r="A209" s="26" t="s">
        <v>1251</v>
      </c>
      <c r="B209" s="26" t="s">
        <v>1252</v>
      </c>
      <c r="C209" s="26" t="s">
        <v>143</v>
      </c>
      <c r="D209" s="47">
        <v>100</v>
      </c>
      <c r="E209" s="28">
        <v>58.4</v>
      </c>
      <c r="F209" s="24">
        <v>166</v>
      </c>
      <c r="G209" s="28">
        <v>703</v>
      </c>
      <c r="H209" s="24">
        <v>1.2</v>
      </c>
      <c r="I209" s="24">
        <v>0.1</v>
      </c>
      <c r="J209" s="24">
        <v>39.4</v>
      </c>
      <c r="K209" s="28">
        <v>38.299999999999997</v>
      </c>
      <c r="L209" s="28">
        <v>3.94</v>
      </c>
      <c r="M209" s="24">
        <v>1.1000000000000001</v>
      </c>
      <c r="N209" s="28">
        <v>0.9</v>
      </c>
      <c r="O209" s="25">
        <v>8</v>
      </c>
      <c r="P209" s="25">
        <v>0.9</v>
      </c>
      <c r="Q209" s="28">
        <v>10</v>
      </c>
      <c r="R209" s="25">
        <v>31</v>
      </c>
      <c r="S209" s="28">
        <v>0.1</v>
      </c>
      <c r="T209" s="28">
        <v>0</v>
      </c>
      <c r="U209" s="28">
        <v>0</v>
      </c>
      <c r="V209" s="28">
        <v>7.0000000000000007E-2</v>
      </c>
      <c r="W209" s="28">
        <v>0.03</v>
      </c>
      <c r="X209" s="28">
        <v>0.6</v>
      </c>
      <c r="Y209" s="28">
        <v>0</v>
      </c>
      <c r="Z209" s="28">
        <v>0</v>
      </c>
      <c r="AA209" s="25">
        <v>20</v>
      </c>
      <c r="AB209" s="25">
        <v>100</v>
      </c>
      <c r="AC209" s="25">
        <v>0</v>
      </c>
      <c r="AD209" s="28">
        <v>0</v>
      </c>
      <c r="AE209" s="28">
        <v>0</v>
      </c>
      <c r="AF209" s="28">
        <v>0</v>
      </c>
      <c r="AG209" s="28">
        <v>0</v>
      </c>
      <c r="AH209" s="24">
        <v>0</v>
      </c>
      <c r="AI209" s="28">
        <v>60</v>
      </c>
      <c r="AJ209" s="13" t="str">
        <f xml:space="preserve"> IF(AD209&gt;F209,"Exceso en grasa saturada",IFERROR(IF(F209=0,"No tiene sello",IF((AD209*9)*100/F209&gt;10,"Exceso en grasa saturada","No tiene sello")),"No tiene sello"))</f>
        <v>No tiene sello</v>
      </c>
      <c r="AK209" s="13">
        <f>IF(AJ209="No tiene sello",0,1)</f>
        <v>0</v>
      </c>
      <c r="AL209" s="13" t="str">
        <f>IF(Q209&gt;=300,"Exceso en sodio",IFERROR(IF(AND(F209=0,Q209&gt;0),"No tiene sello",IF(Q209/F209&gt;1,"Exceso en sodio","No tiene sello")),"No tiene sello"))</f>
        <v>No tiene sello</v>
      </c>
      <c r="AM209" s="13" t="str">
        <f>IFERROR(IF(F209=0,"No tiene sello",IF(+(AG209/1000)*9*100/F209&gt;1,"Exceso en grasa trans", "No tiene sello")),"No tiene sello")</f>
        <v>No tiene sello</v>
      </c>
    </row>
    <row r="210" spans="1:39" ht="13.5" customHeight="1" x14ac:dyDescent="0.25">
      <c r="A210" s="20" t="s">
        <v>1249</v>
      </c>
      <c r="B210" s="20" t="s">
        <v>1250</v>
      </c>
      <c r="C210" s="20" t="s">
        <v>143</v>
      </c>
      <c r="D210" s="46">
        <v>100</v>
      </c>
      <c r="E210" s="23">
        <v>69.099999999999994</v>
      </c>
      <c r="F210" s="24">
        <v>125</v>
      </c>
      <c r="G210" s="23">
        <v>529</v>
      </c>
      <c r="H210" s="24">
        <v>1.2</v>
      </c>
      <c r="I210" s="24">
        <v>0.3</v>
      </c>
      <c r="J210" s="24">
        <v>28.2</v>
      </c>
      <c r="K210" s="23">
        <v>25.9</v>
      </c>
      <c r="L210" s="23">
        <v>2.82</v>
      </c>
      <c r="M210" s="24">
        <v>2.2999999999999998</v>
      </c>
      <c r="N210" s="23">
        <v>1.2</v>
      </c>
      <c r="O210" s="25">
        <v>3</v>
      </c>
      <c r="P210" s="25">
        <v>0.5</v>
      </c>
      <c r="Q210" s="23">
        <v>4</v>
      </c>
      <c r="R210" s="25">
        <v>30</v>
      </c>
      <c r="S210" s="23">
        <v>0.1</v>
      </c>
      <c r="T210" s="23">
        <v>37</v>
      </c>
      <c r="U210" s="23">
        <v>499</v>
      </c>
      <c r="V210" s="23">
        <v>0.06</v>
      </c>
      <c r="W210" s="23">
        <v>0.06</v>
      </c>
      <c r="X210" s="23">
        <v>0.5</v>
      </c>
      <c r="Y210" s="23">
        <v>22</v>
      </c>
      <c r="Z210" s="23">
        <v>0</v>
      </c>
      <c r="AA210" s="25">
        <v>17</v>
      </c>
      <c r="AB210" s="25">
        <v>58</v>
      </c>
      <c r="AC210" s="25">
        <v>0</v>
      </c>
      <c r="AD210" s="23">
        <v>0</v>
      </c>
      <c r="AE210" s="23">
        <v>0</v>
      </c>
      <c r="AF210" s="23">
        <v>0</v>
      </c>
      <c r="AG210" s="23">
        <v>0</v>
      </c>
      <c r="AH210" s="24">
        <v>0</v>
      </c>
      <c r="AI210" s="23">
        <v>60</v>
      </c>
      <c r="AJ210" s="13" t="str">
        <f xml:space="preserve"> IF(AD210&gt;F210,"Exceso en grasa saturada",IFERROR(IF(F210=0,"No tiene sello",IF((AD210*9)*100/F210&gt;10,"Exceso en grasa saturada","No tiene sello")),"No tiene sello"))</f>
        <v>No tiene sello</v>
      </c>
      <c r="AK210" s="13">
        <f>IF(AJ210="No tiene sello",0,1)</f>
        <v>0</v>
      </c>
      <c r="AL210" s="13" t="str">
        <f>IF(Q210&gt;=300,"Exceso en sodio",IFERROR(IF(AND(F210=0,Q210&gt;0),"No tiene sello",IF(Q210/F210&gt;1,"Exceso en sodio","No tiene sello")),"No tiene sello"))</f>
        <v>No tiene sello</v>
      </c>
      <c r="AM210" s="13" t="str">
        <f>IFERROR(IF(F210=0,"No tiene sello",IF(+(AG210/1000)*9*100/F210&gt;1,"Exceso en grasa trans", "No tiene sello")),"No tiene sello")</f>
        <v>No tiene sello</v>
      </c>
    </row>
    <row r="211" spans="1:39" ht="13.5" customHeight="1" x14ac:dyDescent="0.25">
      <c r="A211" s="33" t="s">
        <v>1247</v>
      </c>
      <c r="B211" s="33" t="s">
        <v>1248</v>
      </c>
      <c r="C211" s="33" t="s">
        <v>143</v>
      </c>
      <c r="D211" s="47">
        <v>100</v>
      </c>
      <c r="E211" s="35">
        <v>68.400000000000006</v>
      </c>
      <c r="F211" s="24">
        <v>130</v>
      </c>
      <c r="G211" s="35">
        <v>550</v>
      </c>
      <c r="H211" s="24">
        <v>0.8</v>
      </c>
      <c r="I211" s="24">
        <v>0.2</v>
      </c>
      <c r="J211" s="24">
        <v>30.1</v>
      </c>
      <c r="K211" s="35">
        <v>27.8</v>
      </c>
      <c r="L211" s="35">
        <v>3.01</v>
      </c>
      <c r="M211" s="24">
        <v>2.2999999999999998</v>
      </c>
      <c r="N211" s="35">
        <v>0.6</v>
      </c>
      <c r="O211" s="25">
        <v>4</v>
      </c>
      <c r="P211" s="25">
        <v>0.5</v>
      </c>
      <c r="Q211" s="35">
        <v>5</v>
      </c>
      <c r="R211" s="25">
        <v>30</v>
      </c>
      <c r="S211" s="35">
        <v>0.2</v>
      </c>
      <c r="T211" s="35">
        <v>34</v>
      </c>
      <c r="U211" s="35">
        <v>414</v>
      </c>
      <c r="V211" s="35">
        <v>0.05</v>
      </c>
      <c r="W211" s="35">
        <v>0.05</v>
      </c>
      <c r="X211" s="35">
        <v>0.6</v>
      </c>
      <c r="Y211" s="35">
        <v>26</v>
      </c>
      <c r="Z211" s="35">
        <v>0</v>
      </c>
      <c r="AA211" s="25">
        <v>9</v>
      </c>
      <c r="AB211" s="25">
        <v>56</v>
      </c>
      <c r="AC211" s="25">
        <v>0</v>
      </c>
      <c r="AD211" s="35">
        <v>0</v>
      </c>
      <c r="AE211" s="35">
        <v>0</v>
      </c>
      <c r="AF211" s="35">
        <v>0</v>
      </c>
      <c r="AG211" s="35">
        <v>0</v>
      </c>
      <c r="AH211" s="24">
        <v>0</v>
      </c>
      <c r="AI211" s="35">
        <v>100</v>
      </c>
      <c r="AJ211" s="13" t="str">
        <f xml:space="preserve"> IF(AD211&gt;F211,"Exceso en grasa saturada",IFERROR(IF(F211=0,"No tiene sello",IF((AD211*9)*100/F211&gt;10,"Exceso en grasa saturada","No tiene sello")),"No tiene sello"))</f>
        <v>No tiene sello</v>
      </c>
      <c r="AK211" s="13">
        <f>IF(AJ211="No tiene sello",0,1)</f>
        <v>0</v>
      </c>
      <c r="AL211" s="13" t="str">
        <f>IF(Q211&gt;=300,"Exceso en sodio",IFERROR(IF(AND(F211=0,Q211&gt;0),"No tiene sello",IF(Q211/F211&gt;1,"Exceso en sodio","No tiene sello")),"No tiene sello"))</f>
        <v>No tiene sello</v>
      </c>
      <c r="AM211" s="13" t="str">
        <f>IFERROR(IF(F211=0,"No tiene sello",IF(+(AG211/1000)*9*100/F211&gt;1,"Exceso en grasa trans", "No tiene sello")),"No tiene sello")</f>
        <v>No tiene sello</v>
      </c>
    </row>
    <row r="212" spans="1:39" ht="13.5" customHeight="1" x14ac:dyDescent="0.25">
      <c r="A212" s="20" t="s">
        <v>1245</v>
      </c>
      <c r="B212" s="20" t="s">
        <v>1246</v>
      </c>
      <c r="C212" s="20" t="s">
        <v>143</v>
      </c>
      <c r="D212" s="46">
        <v>100</v>
      </c>
      <c r="E212" s="23">
        <v>67.3</v>
      </c>
      <c r="F212" s="24">
        <v>132</v>
      </c>
      <c r="G212" s="23">
        <v>559</v>
      </c>
      <c r="H212" s="24">
        <v>1.1000000000000001</v>
      </c>
      <c r="I212" s="24">
        <v>0.2</v>
      </c>
      <c r="J212" s="24">
        <v>30.3</v>
      </c>
      <c r="K212" s="23">
        <v>28</v>
      </c>
      <c r="L212" s="23">
        <v>3.03</v>
      </c>
      <c r="M212" s="24">
        <v>2.2999999999999998</v>
      </c>
      <c r="N212" s="23">
        <v>1.2</v>
      </c>
      <c r="O212" s="25">
        <v>3</v>
      </c>
      <c r="P212" s="25">
        <v>0.5</v>
      </c>
      <c r="Q212" s="23">
        <v>4</v>
      </c>
      <c r="R212" s="25">
        <v>36</v>
      </c>
      <c r="S212" s="23">
        <v>0.1</v>
      </c>
      <c r="T212" s="23">
        <v>37</v>
      </c>
      <c r="U212" s="23">
        <v>500</v>
      </c>
      <c r="V212" s="23">
        <v>7.0000000000000007E-2</v>
      </c>
      <c r="W212" s="23">
        <v>0.05</v>
      </c>
      <c r="X212" s="23">
        <v>0.5</v>
      </c>
      <c r="Y212" s="23">
        <v>22</v>
      </c>
      <c r="Z212" s="23">
        <v>0</v>
      </c>
      <c r="AA212" s="25">
        <v>15</v>
      </c>
      <c r="AB212" s="25">
        <v>54</v>
      </c>
      <c r="AC212" s="25">
        <v>0</v>
      </c>
      <c r="AD212" s="23">
        <v>0</v>
      </c>
      <c r="AE212" s="23">
        <v>0</v>
      </c>
      <c r="AF212" s="23">
        <v>0</v>
      </c>
      <c r="AG212" s="23">
        <v>0</v>
      </c>
      <c r="AH212" s="24">
        <v>0</v>
      </c>
      <c r="AI212" s="23">
        <v>72</v>
      </c>
      <c r="AJ212" s="13" t="str">
        <f xml:space="preserve"> IF(AD212&gt;F212,"Exceso en grasa saturada",IFERROR(IF(F212=0,"No tiene sello",IF((AD212*9)*100/F212&gt;10,"Exceso en grasa saturada","No tiene sello")),"No tiene sello"))</f>
        <v>No tiene sello</v>
      </c>
      <c r="AK212" s="13">
        <f>IF(AJ212="No tiene sello",0,1)</f>
        <v>0</v>
      </c>
      <c r="AL212" s="13" t="str">
        <f>IF(Q212&gt;=300,"Exceso en sodio",IFERROR(IF(AND(F212=0,Q212&gt;0),"No tiene sello",IF(Q212/F212&gt;1,"Exceso en sodio","No tiene sello")),"No tiene sello"))</f>
        <v>No tiene sello</v>
      </c>
      <c r="AM212" s="13" t="str">
        <f>IFERROR(IF(F212=0,"No tiene sello",IF(+(AG212/1000)*9*100/F212&gt;1,"Exceso en grasa trans", "No tiene sello")),"No tiene sello")</f>
        <v>No tiene sello</v>
      </c>
    </row>
    <row r="213" spans="1:39" ht="13.5" customHeight="1" x14ac:dyDescent="0.25">
      <c r="A213" s="26" t="s">
        <v>1243</v>
      </c>
      <c r="B213" s="26" t="s">
        <v>1244</v>
      </c>
      <c r="C213" s="26" t="s">
        <v>143</v>
      </c>
      <c r="D213" s="47">
        <v>100</v>
      </c>
      <c r="E213" s="28">
        <v>34.700000000000003</v>
      </c>
      <c r="F213" s="24">
        <v>312</v>
      </c>
      <c r="G213" s="28">
        <v>1314</v>
      </c>
      <c r="H213" s="24">
        <v>1.2</v>
      </c>
      <c r="I213" s="24">
        <v>10.199999999999999</v>
      </c>
      <c r="J213" s="24">
        <v>52.6</v>
      </c>
      <c r="K213" s="28">
        <v>50.1</v>
      </c>
      <c r="L213" s="28">
        <v>5.26</v>
      </c>
      <c r="M213" s="24">
        <v>2.5</v>
      </c>
      <c r="N213" s="28">
        <v>1.2</v>
      </c>
      <c r="O213" s="25">
        <v>3</v>
      </c>
      <c r="P213" s="25">
        <v>0.8</v>
      </c>
      <c r="Q213" s="28">
        <v>4</v>
      </c>
      <c r="R213" s="25">
        <v>33</v>
      </c>
      <c r="S213" s="28">
        <v>0.3</v>
      </c>
      <c r="T213" s="28">
        <v>40</v>
      </c>
      <c r="U213" s="28">
        <v>434</v>
      </c>
      <c r="V213" s="28">
        <v>0.05</v>
      </c>
      <c r="W213" s="28">
        <v>0.05</v>
      </c>
      <c r="X213" s="28">
        <v>0.8</v>
      </c>
      <c r="Y213" s="28">
        <v>24</v>
      </c>
      <c r="Z213" s="28">
        <v>0</v>
      </c>
      <c r="AA213" s="25">
        <v>20</v>
      </c>
      <c r="AB213" s="25">
        <v>61</v>
      </c>
      <c r="AC213" s="25">
        <v>0</v>
      </c>
      <c r="AD213" s="28">
        <v>0</v>
      </c>
      <c r="AE213" s="28">
        <v>0</v>
      </c>
      <c r="AF213" s="28">
        <v>0</v>
      </c>
      <c r="AG213" s="28">
        <v>100</v>
      </c>
      <c r="AH213" s="24">
        <v>0</v>
      </c>
      <c r="AI213" s="28">
        <v>100</v>
      </c>
      <c r="AJ213" s="13" t="str">
        <f xml:space="preserve"> IF(AD213&gt;F213,"Exceso en grasa saturada",IFERROR(IF(F213=0,"No tiene sello",IF((AD213*9)*100/F213&gt;10,"Exceso en grasa saturada","No tiene sello")),"No tiene sello"))</f>
        <v>No tiene sello</v>
      </c>
      <c r="AK213" s="13">
        <f>IF(AJ213="No tiene sello",0,1)</f>
        <v>0</v>
      </c>
      <c r="AL213" s="13" t="str">
        <f>IF(Q213&gt;=300,"Exceso en sodio",IFERROR(IF(AND(F213=0,Q213&gt;0),"No tiene sello",IF(Q213/F213&gt;1,"Exceso en sodio","No tiene sello")),"No tiene sello"))</f>
        <v>No tiene sello</v>
      </c>
      <c r="AM213" s="13" t="str">
        <f>IFERROR(IF(F213=0,"No tiene sello",IF(+(AG213/1000)*9*100/F213&gt;1,"Exceso en grasa trans", "No tiene sello")),"No tiene sello")</f>
        <v>No tiene sello</v>
      </c>
    </row>
    <row r="214" spans="1:39" ht="13.5" customHeight="1" x14ac:dyDescent="0.25">
      <c r="A214" s="29" t="s">
        <v>1241</v>
      </c>
      <c r="B214" s="37" t="s">
        <v>1242</v>
      </c>
      <c r="C214" s="29" t="s">
        <v>143</v>
      </c>
      <c r="D214" s="46">
        <v>100</v>
      </c>
      <c r="E214" s="31">
        <v>67.099999999999994</v>
      </c>
      <c r="F214" s="24">
        <v>133</v>
      </c>
      <c r="G214" s="31">
        <v>563</v>
      </c>
      <c r="H214" s="24">
        <v>0.9</v>
      </c>
      <c r="I214" s="24">
        <v>0.3</v>
      </c>
      <c r="J214" s="24">
        <v>30.6</v>
      </c>
      <c r="K214" s="31">
        <v>28.3</v>
      </c>
      <c r="L214" s="31">
        <v>3.06</v>
      </c>
      <c r="M214" s="24">
        <v>2.2999999999999998</v>
      </c>
      <c r="N214" s="31">
        <v>1.1000000000000001</v>
      </c>
      <c r="O214" s="31">
        <v>7</v>
      </c>
      <c r="P214" s="31">
        <v>0.5</v>
      </c>
      <c r="Q214" s="31">
        <v>0</v>
      </c>
      <c r="R214" s="31">
        <v>22</v>
      </c>
      <c r="S214" s="31">
        <v>0.2</v>
      </c>
      <c r="T214" s="31">
        <v>25</v>
      </c>
      <c r="U214" s="31">
        <v>277</v>
      </c>
      <c r="V214" s="31">
        <v>0.06</v>
      </c>
      <c r="W214" s="31">
        <v>0.17</v>
      </c>
      <c r="X214" s="31">
        <v>1.6</v>
      </c>
      <c r="Y214" s="31">
        <v>0</v>
      </c>
      <c r="Z214" s="31">
        <v>0</v>
      </c>
      <c r="AA214" s="31">
        <v>0</v>
      </c>
      <c r="AB214" s="31">
        <v>45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100</v>
      </c>
      <c r="AJ214" s="13" t="str">
        <f xml:space="preserve"> IF(AD214&gt;F214,"Exceso en grasa saturada",IFERROR(IF(F214=0,"No tiene sello",IF((AD214*9)*100/F214&gt;10,"Exceso en grasa saturada","No tiene sello")),"No tiene sello"))</f>
        <v>No tiene sello</v>
      </c>
      <c r="AK214" s="13">
        <f>IF(AJ214="No tiene sello",0,1)</f>
        <v>0</v>
      </c>
      <c r="AL214" s="13" t="str">
        <f>IF(Q214&gt;=300,"Exceso en sodio",IFERROR(IF(AND(F214=0,Q214&gt;0),"No tiene sello",IF(Q214/F214&gt;1,"Exceso en sodio","No tiene sello")),"No tiene sello"))</f>
        <v>No tiene sello</v>
      </c>
      <c r="AM214" s="13" t="str">
        <f>IFERROR(IF(F214=0,"No tiene sello",IF(+(AG214/1000)*9*100/F214&gt;1,"Exceso en grasa trans", "No tiene sello")),"No tiene sello")</f>
        <v>No tiene sello</v>
      </c>
    </row>
    <row r="215" spans="1:39" ht="13.5" customHeight="1" x14ac:dyDescent="0.25">
      <c r="A215" s="26" t="s">
        <v>1239</v>
      </c>
      <c r="B215" s="26" t="s">
        <v>1240</v>
      </c>
      <c r="C215" s="26" t="s">
        <v>143</v>
      </c>
      <c r="D215" s="47">
        <v>100</v>
      </c>
      <c r="E215" s="28">
        <v>58.5</v>
      </c>
      <c r="F215" s="24">
        <v>166</v>
      </c>
      <c r="G215" s="28">
        <v>705</v>
      </c>
      <c r="H215" s="24">
        <v>1.2</v>
      </c>
      <c r="I215" s="24">
        <v>0.2</v>
      </c>
      <c r="J215" s="24">
        <v>39.299999999999997</v>
      </c>
      <c r="K215" s="28">
        <v>38.1</v>
      </c>
      <c r="L215" s="28">
        <v>3.93</v>
      </c>
      <c r="M215" s="24">
        <v>1.2</v>
      </c>
      <c r="N215" s="28">
        <v>0.8</v>
      </c>
      <c r="O215" s="25">
        <v>8</v>
      </c>
      <c r="P215" s="25">
        <v>0.4</v>
      </c>
      <c r="Q215" s="28">
        <v>26</v>
      </c>
      <c r="R215" s="25">
        <v>20</v>
      </c>
      <c r="S215" s="28">
        <v>0.1</v>
      </c>
      <c r="T215" s="28">
        <v>0</v>
      </c>
      <c r="U215" s="28">
        <v>627</v>
      </c>
      <c r="V215" s="28">
        <v>0.06</v>
      </c>
      <c r="W215" s="28">
        <v>0.04</v>
      </c>
      <c r="X215" s="28">
        <v>0.5</v>
      </c>
      <c r="Y215" s="28">
        <v>0</v>
      </c>
      <c r="Z215" s="28">
        <v>0</v>
      </c>
      <c r="AA215" s="25">
        <v>20</v>
      </c>
      <c r="AB215" s="25">
        <v>105</v>
      </c>
      <c r="AC215" s="25">
        <v>0</v>
      </c>
      <c r="AD215" s="28">
        <v>0</v>
      </c>
      <c r="AE215" s="28">
        <v>0</v>
      </c>
      <c r="AF215" s="28">
        <v>0</v>
      </c>
      <c r="AG215" s="28">
        <v>0</v>
      </c>
      <c r="AH215" s="24">
        <v>0</v>
      </c>
      <c r="AI215" s="28">
        <v>68</v>
      </c>
      <c r="AJ215" s="13" t="str">
        <f xml:space="preserve"> IF(AD215&gt;F215,"Exceso en grasa saturada",IFERROR(IF(F215=0,"No tiene sello",IF((AD215*9)*100/F215&gt;10,"Exceso en grasa saturada","No tiene sello")),"No tiene sello"))</f>
        <v>No tiene sello</v>
      </c>
      <c r="AK215" s="13">
        <f>IF(AJ215="No tiene sello",0,1)</f>
        <v>0</v>
      </c>
      <c r="AL215" s="13" t="str">
        <f>IF(Q215&gt;=300,"Exceso en sodio",IFERROR(IF(AND(F215=0,Q215&gt;0),"No tiene sello",IF(Q215/F215&gt;1,"Exceso en sodio","No tiene sello")),"No tiene sello"))</f>
        <v>No tiene sello</v>
      </c>
      <c r="AM215" s="13" t="str">
        <f>IFERROR(IF(F215=0,"No tiene sello",IF(+(AG215/1000)*9*100/F215&gt;1,"Exceso en grasa trans", "No tiene sello")),"No tiene sello")</f>
        <v>No tiene sello</v>
      </c>
    </row>
    <row r="216" spans="1:39" ht="13.5" customHeight="1" x14ac:dyDescent="0.25">
      <c r="A216" s="29" t="s">
        <v>1237</v>
      </c>
      <c r="B216" s="29" t="s">
        <v>1238</v>
      </c>
      <c r="C216" s="29" t="s">
        <v>143</v>
      </c>
      <c r="D216" s="46">
        <v>100</v>
      </c>
      <c r="E216" s="31">
        <v>36.1</v>
      </c>
      <c r="F216" s="24">
        <v>353</v>
      </c>
      <c r="G216" s="31">
        <v>1476</v>
      </c>
      <c r="H216" s="24">
        <v>1.6</v>
      </c>
      <c r="I216" s="24">
        <v>19.2</v>
      </c>
      <c r="J216" s="24">
        <v>41.8</v>
      </c>
      <c r="K216" s="31">
        <v>38.299999999999997</v>
      </c>
      <c r="L216" s="31">
        <v>4.18</v>
      </c>
      <c r="M216" s="24">
        <v>3.5</v>
      </c>
      <c r="N216" s="31">
        <v>1.4</v>
      </c>
      <c r="O216" s="25">
        <v>4</v>
      </c>
      <c r="P216" s="25">
        <v>0.7</v>
      </c>
      <c r="Q216" s="31">
        <v>2</v>
      </c>
      <c r="R216" s="25">
        <v>42</v>
      </c>
      <c r="S216" s="31">
        <v>0.2</v>
      </c>
      <c r="T216" s="31">
        <v>53</v>
      </c>
      <c r="U216" s="31">
        <v>482</v>
      </c>
      <c r="V216" s="31">
        <v>0.05</v>
      </c>
      <c r="W216" s="31">
        <v>0.1</v>
      </c>
      <c r="X216" s="31">
        <v>0.8</v>
      </c>
      <c r="Y216" s="31">
        <v>15</v>
      </c>
      <c r="Z216" s="31">
        <v>0</v>
      </c>
      <c r="AA216" s="25">
        <v>3</v>
      </c>
      <c r="AB216" s="25">
        <v>60</v>
      </c>
      <c r="AC216" s="25">
        <v>0</v>
      </c>
      <c r="AD216" s="31">
        <v>0</v>
      </c>
      <c r="AE216" s="31">
        <v>0</v>
      </c>
      <c r="AF216" s="31">
        <v>0</v>
      </c>
      <c r="AG216" s="31">
        <v>150</v>
      </c>
      <c r="AH216" s="24">
        <v>0</v>
      </c>
      <c r="AI216" s="31">
        <v>100</v>
      </c>
      <c r="AJ216" s="13" t="str">
        <f xml:space="preserve"> IF(AD216&gt;F216,"Exceso en grasa saturada",IFERROR(IF(F216=0,"No tiene sello",IF((AD216*9)*100/F216&gt;10,"Exceso en grasa saturada","No tiene sello")),"No tiene sello"))</f>
        <v>No tiene sello</v>
      </c>
      <c r="AK216" s="13">
        <f>IF(AJ216="No tiene sello",0,1)</f>
        <v>0</v>
      </c>
      <c r="AL216" s="13" t="str">
        <f>IF(Q216&gt;=300,"Exceso en sodio",IFERROR(IF(AND(F216=0,Q216&gt;0),"No tiene sello",IF(Q216/F216&gt;1,"Exceso en sodio","No tiene sello")),"No tiene sello"))</f>
        <v>No tiene sello</v>
      </c>
      <c r="AM216" s="13" t="str">
        <f>IFERROR(IF(F216=0,"No tiene sello",IF(+(AG216/1000)*9*100/F216&gt;1,"Exceso en grasa trans", "No tiene sello")),"No tiene sello")</f>
        <v>No tiene sello</v>
      </c>
    </row>
    <row r="217" spans="1:39" ht="13.5" customHeight="1" x14ac:dyDescent="0.25">
      <c r="A217" s="26" t="s">
        <v>1235</v>
      </c>
      <c r="B217" s="26" t="s">
        <v>1236</v>
      </c>
      <c r="C217" s="26" t="s">
        <v>143</v>
      </c>
      <c r="D217" s="47">
        <v>100</v>
      </c>
      <c r="E217" s="28">
        <v>67.5</v>
      </c>
      <c r="F217" s="24">
        <v>132</v>
      </c>
      <c r="G217" s="28">
        <v>560</v>
      </c>
      <c r="H217" s="24">
        <v>1.3</v>
      </c>
      <c r="I217" s="24">
        <v>0.3</v>
      </c>
      <c r="J217" s="24">
        <v>29.9</v>
      </c>
      <c r="K217" s="28">
        <v>27.6</v>
      </c>
      <c r="L217" s="28">
        <v>2.99</v>
      </c>
      <c r="M217" s="24">
        <v>2.2999999999999998</v>
      </c>
      <c r="N217" s="28">
        <v>1</v>
      </c>
      <c r="O217" s="25">
        <v>3</v>
      </c>
      <c r="P217" s="25">
        <v>0.5</v>
      </c>
      <c r="Q217" s="28">
        <v>4</v>
      </c>
      <c r="R217" s="25">
        <v>36</v>
      </c>
      <c r="S217" s="28">
        <v>0.1</v>
      </c>
      <c r="T217" s="28">
        <v>37</v>
      </c>
      <c r="U217" s="28">
        <v>500</v>
      </c>
      <c r="V217" s="28">
        <v>0.05</v>
      </c>
      <c r="W217" s="28">
        <v>0.05</v>
      </c>
      <c r="X217" s="28">
        <v>0.7</v>
      </c>
      <c r="Y217" s="28">
        <v>22</v>
      </c>
      <c r="Z217" s="28">
        <v>0</v>
      </c>
      <c r="AA217" s="25">
        <v>15</v>
      </c>
      <c r="AB217" s="25">
        <v>60</v>
      </c>
      <c r="AC217" s="25">
        <v>0</v>
      </c>
      <c r="AD217" s="28">
        <v>0</v>
      </c>
      <c r="AE217" s="28">
        <v>0</v>
      </c>
      <c r="AF217" s="28">
        <v>0</v>
      </c>
      <c r="AG217" s="28">
        <v>0</v>
      </c>
      <c r="AH217" s="24">
        <v>0</v>
      </c>
      <c r="AI217" s="28">
        <v>60</v>
      </c>
      <c r="AJ217" s="13" t="str">
        <f xml:space="preserve"> IF(AD217&gt;F217,"Exceso en grasa saturada",IFERROR(IF(F217=0,"No tiene sello",IF((AD217*9)*100/F217&gt;10,"Exceso en grasa saturada","No tiene sello")),"No tiene sello"))</f>
        <v>No tiene sello</v>
      </c>
      <c r="AK217" s="13">
        <f>IF(AJ217="No tiene sello",0,1)</f>
        <v>0</v>
      </c>
      <c r="AL217" s="13" t="str">
        <f>IF(Q217&gt;=300,"Exceso en sodio",IFERROR(IF(AND(F217=0,Q217&gt;0),"No tiene sello",IF(Q217/F217&gt;1,"Exceso en sodio","No tiene sello")),"No tiene sello"))</f>
        <v>No tiene sello</v>
      </c>
      <c r="AM217" s="13" t="str">
        <f>IFERROR(IF(F217=0,"No tiene sello",IF(+(AG217/1000)*9*100/F217&gt;1,"Exceso en grasa trans", "No tiene sello")),"No tiene sello")</f>
        <v>No tiene sello</v>
      </c>
    </row>
    <row r="218" spans="1:39" ht="13.5" customHeight="1" x14ac:dyDescent="0.25">
      <c r="A218" s="20" t="s">
        <v>1233</v>
      </c>
      <c r="B218" s="20" t="s">
        <v>1234</v>
      </c>
      <c r="C218" s="20" t="s">
        <v>143</v>
      </c>
      <c r="D218" s="46">
        <v>100</v>
      </c>
      <c r="E218" s="23">
        <v>68.900000000000006</v>
      </c>
      <c r="F218" s="24">
        <v>123</v>
      </c>
      <c r="G218" s="23">
        <v>521</v>
      </c>
      <c r="H218" s="24">
        <v>1</v>
      </c>
      <c r="I218" s="24">
        <v>0.2</v>
      </c>
      <c r="J218" s="24">
        <v>29</v>
      </c>
      <c r="K218" s="23">
        <v>28.5</v>
      </c>
      <c r="L218" s="23">
        <v>2.9</v>
      </c>
      <c r="M218" s="24">
        <v>0.5</v>
      </c>
      <c r="N218" s="23">
        <v>0.9</v>
      </c>
      <c r="O218" s="25">
        <v>6</v>
      </c>
      <c r="P218" s="25">
        <v>0.4</v>
      </c>
      <c r="Q218" s="23">
        <v>0</v>
      </c>
      <c r="R218" s="25">
        <v>40</v>
      </c>
      <c r="S218" s="23">
        <v>0.1</v>
      </c>
      <c r="T218" s="23">
        <v>0</v>
      </c>
      <c r="U218" s="23">
        <v>0</v>
      </c>
      <c r="V218" s="23">
        <v>7.0000000000000007E-2</v>
      </c>
      <c r="W218" s="23">
        <v>0.04</v>
      </c>
      <c r="X218" s="23">
        <v>0.5</v>
      </c>
      <c r="Y218" s="23">
        <v>0</v>
      </c>
      <c r="Z218" s="23">
        <v>0</v>
      </c>
      <c r="AA218" s="25">
        <v>20</v>
      </c>
      <c r="AB218" s="25">
        <v>130</v>
      </c>
      <c r="AC218" s="25">
        <v>0</v>
      </c>
      <c r="AD218" s="23">
        <v>0</v>
      </c>
      <c r="AE218" s="23">
        <v>0</v>
      </c>
      <c r="AF218" s="23">
        <v>0</v>
      </c>
      <c r="AG218" s="23">
        <v>0</v>
      </c>
      <c r="AH218" s="24">
        <v>0</v>
      </c>
      <c r="AI218" s="23">
        <v>60</v>
      </c>
      <c r="AJ218" s="13" t="str">
        <f xml:space="preserve"> IF(AD218&gt;F218,"Exceso en grasa saturada",IFERROR(IF(F218=0,"No tiene sello",IF((AD218*9)*100/F218&gt;10,"Exceso en grasa saturada","No tiene sello")),"No tiene sello"))</f>
        <v>No tiene sello</v>
      </c>
      <c r="AK218" s="13">
        <f>IF(AJ218="No tiene sello",0,1)</f>
        <v>0</v>
      </c>
      <c r="AL218" s="13" t="str">
        <f>IF(Q218&gt;=300,"Exceso en sodio",IFERROR(IF(AND(F218=0,Q218&gt;0),"No tiene sello",IF(Q218/F218&gt;1,"Exceso en sodio","No tiene sello")),"No tiene sello"))</f>
        <v>No tiene sello</v>
      </c>
      <c r="AM218" s="13" t="str">
        <f>IFERROR(IF(F218=0,"No tiene sello",IF(+(AG218/1000)*9*100/F218&gt;1,"Exceso en grasa trans", "No tiene sello")),"No tiene sello")</f>
        <v>No tiene sello</v>
      </c>
    </row>
    <row r="219" spans="1:39" s="4" customFormat="1" ht="13.5" customHeight="1" x14ac:dyDescent="0.25">
      <c r="A219" s="26" t="s">
        <v>1231</v>
      </c>
      <c r="B219" s="26" t="s">
        <v>1232</v>
      </c>
      <c r="C219" s="26" t="s">
        <v>339</v>
      </c>
      <c r="D219" s="47">
        <v>100</v>
      </c>
      <c r="E219" s="28">
        <v>94.7</v>
      </c>
      <c r="F219" s="24">
        <v>22</v>
      </c>
      <c r="G219" s="28">
        <v>93</v>
      </c>
      <c r="H219" s="24">
        <v>0.8</v>
      </c>
      <c r="I219" s="24">
        <v>0.1</v>
      </c>
      <c r="J219" s="24">
        <v>3.7</v>
      </c>
      <c r="K219" s="28">
        <v>2.1</v>
      </c>
      <c r="L219" s="28">
        <v>0.37</v>
      </c>
      <c r="M219" s="24">
        <v>1.6</v>
      </c>
      <c r="N219" s="28">
        <v>0.7</v>
      </c>
      <c r="O219" s="25">
        <v>23</v>
      </c>
      <c r="P219" s="25">
        <v>0.6</v>
      </c>
      <c r="Q219" s="28">
        <v>13</v>
      </c>
      <c r="R219" s="25">
        <v>24</v>
      </c>
      <c r="S219" s="28">
        <v>0.3</v>
      </c>
      <c r="T219" s="28">
        <v>10</v>
      </c>
      <c r="U219" s="28">
        <v>235</v>
      </c>
      <c r="V219" s="28">
        <v>0.03</v>
      </c>
      <c r="W219" s="28">
        <v>0.03</v>
      </c>
      <c r="X219" s="28">
        <v>0.3</v>
      </c>
      <c r="Y219" s="28">
        <v>29</v>
      </c>
      <c r="Z219" s="28">
        <v>0</v>
      </c>
      <c r="AA219" s="25">
        <v>20</v>
      </c>
      <c r="AB219" s="25">
        <v>0</v>
      </c>
      <c r="AC219" s="25">
        <v>0</v>
      </c>
      <c r="AD219" s="28">
        <v>0</v>
      </c>
      <c r="AE219" s="28">
        <v>0</v>
      </c>
      <c r="AF219" s="28">
        <v>0</v>
      </c>
      <c r="AG219" s="28">
        <v>0</v>
      </c>
      <c r="AH219" s="24">
        <v>0</v>
      </c>
      <c r="AI219" s="28">
        <v>90</v>
      </c>
      <c r="AJ219" s="13" t="str">
        <f xml:space="preserve"> IF(AD219&gt;F219,"Exceso en grasa saturada",IFERROR(IF(F219=0,"No tiene sello",IF((AD219*9)*100/F219&gt;10,"Exceso en grasa saturada","No tiene sello")),"No tiene sello"))</f>
        <v>No tiene sello</v>
      </c>
      <c r="AK219" s="13">
        <f>IF(AJ219="No tiene sello",0,1)</f>
        <v>0</v>
      </c>
      <c r="AL219" s="13" t="str">
        <f>IF(Q219&gt;=300,"Exceso en sodio",IFERROR(IF(AND(F219=0,Q219&gt;0),"No tiene sello",IF(Q219/F219&gt;1,"Exceso en sodio","No tiene sello")),"No tiene sello"))</f>
        <v>No tiene sello</v>
      </c>
      <c r="AM219" s="13" t="str">
        <f>IFERROR(IF(F219=0,"No tiene sello",IF(+(AG219/1000)*9*100/F219&gt;1,"Exceso en grasa trans", "No tiene sello")),"No tiene sello")</f>
        <v>No tiene sello</v>
      </c>
    </row>
    <row r="220" spans="1:39" s="5" customFormat="1" ht="13.5" customHeight="1" x14ac:dyDescent="0.25">
      <c r="A220" s="20" t="s">
        <v>1229</v>
      </c>
      <c r="B220" s="20" t="s">
        <v>1230</v>
      </c>
      <c r="C220" s="20" t="s">
        <v>143</v>
      </c>
      <c r="D220" s="46">
        <v>100</v>
      </c>
      <c r="E220" s="23">
        <v>87.1</v>
      </c>
      <c r="F220" s="24">
        <v>53</v>
      </c>
      <c r="G220" s="23">
        <v>224</v>
      </c>
      <c r="H220" s="24">
        <v>1.5</v>
      </c>
      <c r="I220" s="24">
        <v>0.2</v>
      </c>
      <c r="J220" s="24">
        <v>10.1</v>
      </c>
      <c r="K220" s="23">
        <v>7.4</v>
      </c>
      <c r="L220" s="23">
        <v>1.01</v>
      </c>
      <c r="M220" s="24">
        <v>2.7</v>
      </c>
      <c r="N220" s="23">
        <v>1.1000000000000001</v>
      </c>
      <c r="O220" s="25">
        <v>17</v>
      </c>
      <c r="P220" s="25">
        <v>0.8</v>
      </c>
      <c r="Q220" s="23">
        <v>77</v>
      </c>
      <c r="R220" s="25">
        <v>45</v>
      </c>
      <c r="S220" s="23">
        <v>0.5</v>
      </c>
      <c r="T220" s="23">
        <v>23</v>
      </c>
      <c r="U220" s="23">
        <v>377</v>
      </c>
      <c r="V220" s="23">
        <v>0.03</v>
      </c>
      <c r="W220" s="23">
        <v>0.05</v>
      </c>
      <c r="X220" s="23">
        <v>0.2</v>
      </c>
      <c r="Y220" s="23">
        <v>80</v>
      </c>
      <c r="Z220" s="23">
        <v>0.03</v>
      </c>
      <c r="AA220" s="25">
        <v>3</v>
      </c>
      <c r="AB220" s="25">
        <v>5</v>
      </c>
      <c r="AC220" s="25">
        <v>0</v>
      </c>
      <c r="AD220" s="23">
        <v>0</v>
      </c>
      <c r="AE220" s="23">
        <v>0</v>
      </c>
      <c r="AF220" s="23">
        <v>0</v>
      </c>
      <c r="AG220" s="23">
        <v>0</v>
      </c>
      <c r="AH220" s="24">
        <v>0</v>
      </c>
      <c r="AI220" s="23">
        <v>100</v>
      </c>
      <c r="AJ220" s="13" t="str">
        <f xml:space="preserve"> IF(AD220&gt;F220,"Exceso en grasa saturada",IFERROR(IF(F220=0,"No tiene sello",IF((AD220*9)*100/F220&gt;10,"Exceso en grasa saturada","No tiene sello")),"No tiene sello"))</f>
        <v>No tiene sello</v>
      </c>
      <c r="AK220" s="13">
        <f>IF(AJ220="No tiene sello",0,1)</f>
        <v>0</v>
      </c>
      <c r="AL220" s="13" t="str">
        <f>IF(Q220&gt;=300,"Exceso en sodio",IFERROR(IF(AND(F220=0,Q220&gt;0),"No tiene sello",IF(Q220/F220&gt;1,"Exceso en sodio","No tiene sello")),"No tiene sello"))</f>
        <v>Exceso en sodio</v>
      </c>
      <c r="AM220" s="13" t="str">
        <f>IFERROR(IF(F220=0,"No tiene sello",IF(+(AG220/1000)*9*100/F220&gt;1,"Exceso en grasa trans", "No tiene sello")),"No tiene sello")</f>
        <v>No tiene sello</v>
      </c>
    </row>
    <row r="221" spans="1:39" ht="13.5" customHeight="1" x14ac:dyDescent="0.25">
      <c r="A221" s="26" t="s">
        <v>1227</v>
      </c>
      <c r="B221" s="26" t="s">
        <v>1228</v>
      </c>
      <c r="C221" s="26" t="s">
        <v>143</v>
      </c>
      <c r="D221" s="47">
        <v>100</v>
      </c>
      <c r="E221" s="28">
        <v>87.2</v>
      </c>
      <c r="F221" s="24">
        <v>53</v>
      </c>
      <c r="G221" s="28">
        <v>226</v>
      </c>
      <c r="H221" s="24">
        <v>1.4</v>
      </c>
      <c r="I221" s="24">
        <v>0.1</v>
      </c>
      <c r="J221" s="24">
        <v>10.3</v>
      </c>
      <c r="K221" s="28">
        <v>7.5</v>
      </c>
      <c r="L221" s="28">
        <v>1.03</v>
      </c>
      <c r="M221" s="24">
        <v>2.8</v>
      </c>
      <c r="N221" s="28">
        <v>1</v>
      </c>
      <c r="O221" s="25">
        <v>16</v>
      </c>
      <c r="P221" s="25">
        <v>0.8</v>
      </c>
      <c r="Q221" s="28">
        <v>71</v>
      </c>
      <c r="R221" s="25">
        <v>40</v>
      </c>
      <c r="S221" s="28">
        <v>0.4</v>
      </c>
      <c r="T221" s="28">
        <v>23</v>
      </c>
      <c r="U221" s="28">
        <v>352</v>
      </c>
      <c r="V221" s="28">
        <v>0.03</v>
      </c>
      <c r="W221" s="28">
        <v>0.04</v>
      </c>
      <c r="X221" s="28">
        <v>0.3</v>
      </c>
      <c r="Y221" s="28">
        <v>109</v>
      </c>
      <c r="Z221" s="28">
        <v>0</v>
      </c>
      <c r="AA221" s="25">
        <v>6</v>
      </c>
      <c r="AB221" s="25">
        <v>2</v>
      </c>
      <c r="AC221" s="25">
        <v>0</v>
      </c>
      <c r="AD221" s="28">
        <v>0</v>
      </c>
      <c r="AE221" s="28">
        <v>0</v>
      </c>
      <c r="AF221" s="28">
        <v>0</v>
      </c>
      <c r="AG221" s="28">
        <v>0</v>
      </c>
      <c r="AH221" s="24">
        <v>0</v>
      </c>
      <c r="AI221" s="28">
        <v>80</v>
      </c>
      <c r="AJ221" s="13" t="str">
        <f xml:space="preserve"> IF(AD221&gt;F221,"Exceso en grasa saturada",IFERROR(IF(F221=0,"No tiene sello",IF((AD221*9)*100/F221&gt;10,"Exceso en grasa saturada","No tiene sello")),"No tiene sello"))</f>
        <v>No tiene sello</v>
      </c>
      <c r="AK221" s="13">
        <f>IF(AJ221="No tiene sello",0,1)</f>
        <v>0</v>
      </c>
      <c r="AL221" s="13" t="str">
        <f>IF(Q221&gt;=300,"Exceso en sodio",IFERROR(IF(AND(F221=0,Q221&gt;0),"No tiene sello",IF(Q221/F221&gt;1,"Exceso en sodio","No tiene sello")),"No tiene sello"))</f>
        <v>Exceso en sodio</v>
      </c>
      <c r="AM221" s="13" t="str">
        <f>IFERROR(IF(F221=0,"No tiene sello",IF(+(AG221/1000)*9*100/F221&gt;1,"Exceso en grasa trans", "No tiene sello")),"No tiene sello")</f>
        <v>No tiene sello</v>
      </c>
    </row>
    <row r="222" spans="1:39" ht="13.5" customHeight="1" x14ac:dyDescent="0.25">
      <c r="A222" s="20" t="s">
        <v>1225</v>
      </c>
      <c r="B222" s="20" t="s">
        <v>1226</v>
      </c>
      <c r="C222" s="20" t="s">
        <v>176</v>
      </c>
      <c r="D222" s="46">
        <v>100</v>
      </c>
      <c r="E222" s="23">
        <v>90.7</v>
      </c>
      <c r="F222" s="24">
        <v>40</v>
      </c>
      <c r="G222" s="23">
        <v>169</v>
      </c>
      <c r="H222" s="24">
        <v>1.8</v>
      </c>
      <c r="I222" s="24">
        <v>0.3</v>
      </c>
      <c r="J222" s="24">
        <v>6.4</v>
      </c>
      <c r="K222" s="23">
        <v>3.7</v>
      </c>
      <c r="L222" s="23">
        <v>0.64</v>
      </c>
      <c r="M222" s="24">
        <v>2.6</v>
      </c>
      <c r="N222" s="23">
        <v>0.9</v>
      </c>
      <c r="O222" s="25">
        <v>44</v>
      </c>
      <c r="P222" s="25">
        <v>0.5</v>
      </c>
      <c r="Q222" s="23">
        <v>18</v>
      </c>
      <c r="R222" s="25">
        <v>40</v>
      </c>
      <c r="S222" s="23">
        <v>0.2</v>
      </c>
      <c r="T222" s="23">
        <v>13</v>
      </c>
      <c r="U222" s="23">
        <v>224</v>
      </c>
      <c r="V222" s="23">
        <v>0.06</v>
      </c>
      <c r="W222" s="23">
        <v>0.08</v>
      </c>
      <c r="X222" s="23">
        <v>0.3</v>
      </c>
      <c r="Y222" s="23">
        <v>43</v>
      </c>
      <c r="Z222" s="23">
        <v>0</v>
      </c>
      <c r="AA222" s="25">
        <v>35</v>
      </c>
      <c r="AB222" s="25">
        <v>24</v>
      </c>
      <c r="AC222" s="25">
        <v>0</v>
      </c>
      <c r="AD222" s="23">
        <v>0</v>
      </c>
      <c r="AE222" s="23">
        <v>0</v>
      </c>
      <c r="AF222" s="23">
        <v>0</v>
      </c>
      <c r="AG222" s="23">
        <v>0</v>
      </c>
      <c r="AH222" s="24">
        <v>0</v>
      </c>
      <c r="AI222" s="23">
        <v>70</v>
      </c>
      <c r="AJ222" s="13" t="str">
        <f xml:space="preserve"> IF(AD222&gt;F222,"Exceso en grasa saturada",IFERROR(IF(F222=0,"No tiene sello",IF((AD222*9)*100/F222&gt;10,"Exceso en grasa saturada","No tiene sello")),"No tiene sello"))</f>
        <v>No tiene sello</v>
      </c>
      <c r="AK222" s="13">
        <f>IF(AJ222="No tiene sello",0,1)</f>
        <v>0</v>
      </c>
      <c r="AL222" s="13" t="str">
        <f>IF(Q222&gt;=300,"Exceso en sodio",IFERROR(IF(AND(F222=0,Q222&gt;0),"No tiene sello",IF(Q222/F222&gt;1,"Exceso en sodio","No tiene sello")),"No tiene sello"))</f>
        <v>No tiene sello</v>
      </c>
      <c r="AM222" s="13" t="str">
        <f>IFERROR(IF(F222=0,"No tiene sello",IF(+(AG222/1000)*9*100/F222&gt;1,"Exceso en grasa trans", "No tiene sello")),"No tiene sello")</f>
        <v>No tiene sello</v>
      </c>
    </row>
    <row r="223" spans="1:39" ht="13.5" customHeight="1" x14ac:dyDescent="0.25">
      <c r="A223" s="26" t="s">
        <v>1223</v>
      </c>
      <c r="B223" s="26" t="s">
        <v>1224</v>
      </c>
      <c r="C223" s="26" t="s">
        <v>176</v>
      </c>
      <c r="D223" s="47">
        <v>100</v>
      </c>
      <c r="E223" s="28">
        <v>93.6</v>
      </c>
      <c r="F223" s="24">
        <v>30</v>
      </c>
      <c r="G223" s="28">
        <v>124</v>
      </c>
      <c r="H223" s="24">
        <v>1</v>
      </c>
      <c r="I223" s="24">
        <v>0.2</v>
      </c>
      <c r="J223" s="24">
        <v>4.7</v>
      </c>
      <c r="K223" s="28">
        <v>2.2000000000000002</v>
      </c>
      <c r="L223" s="28">
        <v>0.47</v>
      </c>
      <c r="M223" s="24">
        <v>2.5</v>
      </c>
      <c r="N223" s="28">
        <v>0.5</v>
      </c>
      <c r="O223" s="25">
        <v>41</v>
      </c>
      <c r="P223" s="25">
        <v>0.5</v>
      </c>
      <c r="Q223" s="28">
        <v>5</v>
      </c>
      <c r="R223" s="25">
        <v>33</v>
      </c>
      <c r="S223" s="28">
        <v>0.3</v>
      </c>
      <c r="T223" s="28">
        <v>17</v>
      </c>
      <c r="U223" s="28">
        <v>262</v>
      </c>
      <c r="V223" s="28">
        <v>7.0000000000000007E-2</v>
      </c>
      <c r="W223" s="28">
        <v>0.06</v>
      </c>
      <c r="X223" s="28">
        <v>0.3</v>
      </c>
      <c r="Y223" s="28">
        <v>29</v>
      </c>
      <c r="Z223" s="28">
        <v>0</v>
      </c>
      <c r="AA223" s="25">
        <v>33</v>
      </c>
      <c r="AB223" s="25">
        <v>3</v>
      </c>
      <c r="AC223" s="25">
        <v>0</v>
      </c>
      <c r="AD223" s="28">
        <v>0</v>
      </c>
      <c r="AE223" s="28">
        <v>0</v>
      </c>
      <c r="AF223" s="28">
        <v>0</v>
      </c>
      <c r="AG223" s="28">
        <v>0</v>
      </c>
      <c r="AH223" s="24">
        <v>0</v>
      </c>
      <c r="AI223" s="28">
        <v>100</v>
      </c>
      <c r="AJ223" s="13" t="str">
        <f xml:space="preserve"> IF(AD223&gt;F223,"Exceso en grasa saturada",IFERROR(IF(F223=0,"No tiene sello",IF((AD223*9)*100/F223&gt;10,"Exceso en grasa saturada","No tiene sello")),"No tiene sello"))</f>
        <v>No tiene sello</v>
      </c>
      <c r="AK223" s="13">
        <f>IF(AJ223="No tiene sello",0,1)</f>
        <v>0</v>
      </c>
      <c r="AL223" s="13" t="str">
        <f>IF(Q223&gt;=300,"Exceso en sodio",IFERROR(IF(AND(F223=0,Q223&gt;0),"No tiene sello",IF(Q223/F223&gt;1,"Exceso en sodio","No tiene sello")),"No tiene sello"))</f>
        <v>No tiene sello</v>
      </c>
      <c r="AM223" s="13" t="str">
        <f>IFERROR(IF(F223=0,"No tiene sello",IF(+(AG223/1000)*9*100/F223&gt;1,"Exceso en grasa trans", "No tiene sello")),"No tiene sello")</f>
        <v>No tiene sello</v>
      </c>
    </row>
    <row r="224" spans="1:39" ht="13.5" customHeight="1" x14ac:dyDescent="0.25">
      <c r="A224" s="20" t="s">
        <v>1221</v>
      </c>
      <c r="B224" s="20" t="s">
        <v>1222</v>
      </c>
      <c r="C224" s="20" t="s">
        <v>176</v>
      </c>
      <c r="D224" s="46">
        <v>100</v>
      </c>
      <c r="E224" s="23">
        <v>91.1</v>
      </c>
      <c r="F224" s="24">
        <v>39</v>
      </c>
      <c r="G224" s="23">
        <v>163</v>
      </c>
      <c r="H224" s="24">
        <v>1.4</v>
      </c>
      <c r="I224" s="24">
        <v>0.3</v>
      </c>
      <c r="J224" s="24">
        <v>6.5</v>
      </c>
      <c r="K224" s="23">
        <v>4.4000000000000004</v>
      </c>
      <c r="L224" s="23">
        <v>0.65</v>
      </c>
      <c r="M224" s="24">
        <v>2.1</v>
      </c>
      <c r="N224" s="23">
        <v>0.7</v>
      </c>
      <c r="O224" s="25">
        <v>45</v>
      </c>
      <c r="P224" s="25">
        <v>0.6</v>
      </c>
      <c r="Q224" s="23">
        <v>27</v>
      </c>
      <c r="R224" s="25">
        <v>33</v>
      </c>
      <c r="S224" s="23">
        <v>0.2</v>
      </c>
      <c r="T224" s="23">
        <v>16</v>
      </c>
      <c r="U224" s="23">
        <v>246</v>
      </c>
      <c r="V224" s="23">
        <v>7.0000000000000007E-2</v>
      </c>
      <c r="W224" s="23">
        <v>0.06</v>
      </c>
      <c r="X224" s="23">
        <v>0.4</v>
      </c>
      <c r="Y224" s="23">
        <v>18</v>
      </c>
      <c r="Z224" s="23">
        <v>0</v>
      </c>
      <c r="AA224" s="25">
        <v>56</v>
      </c>
      <c r="AB224" s="25">
        <v>4</v>
      </c>
      <c r="AC224" s="25">
        <v>0</v>
      </c>
      <c r="AD224" s="23">
        <v>0</v>
      </c>
      <c r="AE224" s="23">
        <v>0</v>
      </c>
      <c r="AF224" s="23">
        <v>0</v>
      </c>
      <c r="AG224" s="23">
        <v>0</v>
      </c>
      <c r="AH224" s="24">
        <v>0</v>
      </c>
      <c r="AI224" s="23">
        <v>85</v>
      </c>
      <c r="AJ224" s="13" t="str">
        <f xml:space="preserve"> IF(AD224&gt;F224,"Exceso en grasa saturada",IFERROR(IF(F224=0,"No tiene sello",IF((AD224*9)*100/F224&gt;10,"Exceso en grasa saturada","No tiene sello")),"No tiene sello"))</f>
        <v>No tiene sello</v>
      </c>
      <c r="AK224" s="13">
        <f>IF(AJ224="No tiene sello",0,1)</f>
        <v>0</v>
      </c>
      <c r="AL224" s="13" t="str">
        <f>IF(Q224&gt;=300,"Exceso en sodio",IFERROR(IF(AND(F224=0,Q224&gt;0),"No tiene sello",IF(Q224/F224&gt;1,"Exceso en sodio","No tiene sello")),"No tiene sello"))</f>
        <v>No tiene sello</v>
      </c>
      <c r="AM224" s="13" t="str">
        <f>IFERROR(IF(F224=0,"No tiene sello",IF(+(AG224/1000)*9*100/F224&gt;1,"Exceso en grasa trans", "No tiene sello")),"No tiene sello")</f>
        <v>No tiene sello</v>
      </c>
    </row>
    <row r="225" spans="1:39" ht="13.5" customHeight="1" x14ac:dyDescent="0.25">
      <c r="A225" s="26" t="s">
        <v>1219</v>
      </c>
      <c r="B225" s="26" t="s">
        <v>1220</v>
      </c>
      <c r="C225" s="26" t="s">
        <v>339</v>
      </c>
      <c r="D225" s="47">
        <v>100</v>
      </c>
      <c r="E225" s="28">
        <v>75.400000000000006</v>
      </c>
      <c r="F225" s="24">
        <v>103</v>
      </c>
      <c r="G225" s="28">
        <v>435</v>
      </c>
      <c r="H225" s="24">
        <v>3.3</v>
      </c>
      <c r="I225" s="24">
        <v>0.3</v>
      </c>
      <c r="J225" s="24">
        <v>20.100000000000001</v>
      </c>
      <c r="K225" s="28">
        <v>16.8</v>
      </c>
      <c r="L225" s="28">
        <v>2.0099999999999998</v>
      </c>
      <c r="M225" s="24">
        <v>3.3</v>
      </c>
      <c r="N225" s="28">
        <v>0.9</v>
      </c>
      <c r="O225" s="25">
        <v>60</v>
      </c>
      <c r="P225" s="25">
        <v>0.7</v>
      </c>
      <c r="Q225" s="28">
        <v>20</v>
      </c>
      <c r="R225" s="25">
        <v>75</v>
      </c>
      <c r="S225" s="28">
        <v>0.4</v>
      </c>
      <c r="T225" s="28">
        <v>23</v>
      </c>
      <c r="U225" s="28">
        <v>380</v>
      </c>
      <c r="V225" s="28">
        <v>0.08</v>
      </c>
      <c r="W225" s="28">
        <v>0.05</v>
      </c>
      <c r="X225" s="28">
        <v>0.5</v>
      </c>
      <c r="Y225" s="28">
        <v>26</v>
      </c>
      <c r="Z225" s="28">
        <v>0</v>
      </c>
      <c r="AA225" s="25">
        <v>8</v>
      </c>
      <c r="AB225" s="25">
        <v>0</v>
      </c>
      <c r="AC225" s="25">
        <v>0</v>
      </c>
      <c r="AD225" s="28">
        <v>0</v>
      </c>
      <c r="AE225" s="28">
        <v>0</v>
      </c>
      <c r="AF225" s="28">
        <v>0</v>
      </c>
      <c r="AG225" s="28">
        <v>0</v>
      </c>
      <c r="AH225" s="24">
        <v>0</v>
      </c>
      <c r="AI225" s="28">
        <v>60</v>
      </c>
      <c r="AJ225" s="13" t="str">
        <f xml:space="preserve"> IF(AD225&gt;F225,"Exceso en grasa saturada",IFERROR(IF(F225=0,"No tiene sello",IF((AD225*9)*100/F225&gt;10,"Exceso en grasa saturada","No tiene sello")),"No tiene sello"))</f>
        <v>No tiene sello</v>
      </c>
      <c r="AK225" s="13">
        <f>IF(AJ225="No tiene sello",0,1)</f>
        <v>0</v>
      </c>
      <c r="AL225" s="13" t="str">
        <f>IF(Q225&gt;=300,"Exceso en sodio",IFERROR(IF(AND(F225=0,Q225&gt;0),"No tiene sello",IF(Q225/F225&gt;1,"Exceso en sodio","No tiene sello")),"No tiene sello"))</f>
        <v>No tiene sello</v>
      </c>
      <c r="AM225" s="13" t="str">
        <f>IFERROR(IF(F225=0,"No tiene sello",IF(+(AG225/1000)*9*100/F225&gt;1,"Exceso en grasa trans", "No tiene sello")),"No tiene sello")</f>
        <v>No tiene sello</v>
      </c>
    </row>
    <row r="226" spans="1:39" ht="13.5" customHeight="1" x14ac:dyDescent="0.25">
      <c r="A226" s="29" t="s">
        <v>1217</v>
      </c>
      <c r="B226" s="29" t="s">
        <v>1218</v>
      </c>
      <c r="C226" s="29" t="s">
        <v>143</v>
      </c>
      <c r="D226" s="46">
        <v>100</v>
      </c>
      <c r="E226" s="31">
        <v>94.3</v>
      </c>
      <c r="F226" s="24">
        <v>23</v>
      </c>
      <c r="G226" s="31">
        <v>98</v>
      </c>
      <c r="H226" s="24">
        <v>0.9</v>
      </c>
      <c r="I226" s="24">
        <v>0.1</v>
      </c>
      <c r="J226" s="24">
        <v>4.0999999999999996</v>
      </c>
      <c r="K226" s="31">
        <v>2.9</v>
      </c>
      <c r="L226" s="31">
        <v>0.41</v>
      </c>
      <c r="M226" s="24">
        <v>1.2</v>
      </c>
      <c r="N226" s="31">
        <v>0.6</v>
      </c>
      <c r="O226" s="31">
        <v>9</v>
      </c>
      <c r="P226" s="31">
        <v>0.5</v>
      </c>
      <c r="Q226" s="31">
        <v>6</v>
      </c>
      <c r="R226" s="31">
        <v>24</v>
      </c>
      <c r="S226" s="31">
        <v>0.1</v>
      </c>
      <c r="T226" s="31">
        <v>10</v>
      </c>
      <c r="U226" s="31">
        <v>236</v>
      </c>
      <c r="V226" s="31">
        <v>0.05</v>
      </c>
      <c r="W226" s="31">
        <v>0.05</v>
      </c>
      <c r="X226" s="31">
        <v>0.6</v>
      </c>
      <c r="Y226" s="31">
        <v>23</v>
      </c>
      <c r="Z226" s="31">
        <v>0</v>
      </c>
      <c r="AA226" s="31">
        <v>20</v>
      </c>
      <c r="AB226" s="31">
        <v>62</v>
      </c>
      <c r="AC226" s="31">
        <v>0</v>
      </c>
      <c r="AD226" s="31">
        <v>0</v>
      </c>
      <c r="AE226" s="31">
        <v>0</v>
      </c>
      <c r="AF226" s="31">
        <v>0</v>
      </c>
      <c r="AG226" s="31">
        <v>0</v>
      </c>
      <c r="AH226" s="31">
        <v>0</v>
      </c>
      <c r="AI226" s="31">
        <v>80</v>
      </c>
      <c r="AJ226" s="13" t="str">
        <f xml:space="preserve"> IF(AD226&gt;F226,"Exceso en grasa saturada",IFERROR(IF(F226=0,"No tiene sello",IF((AD226*9)*100/F226&gt;10,"Exceso en grasa saturada","No tiene sello")),"No tiene sello"))</f>
        <v>No tiene sello</v>
      </c>
      <c r="AK226" s="13">
        <f>IF(AJ226="No tiene sello",0,1)</f>
        <v>0</v>
      </c>
      <c r="AL226" s="13" t="str">
        <f>IF(Q226&gt;=300,"Exceso en sodio",IFERROR(IF(AND(F226=0,Q226&gt;0),"No tiene sello",IF(Q226/F226&gt;1,"Exceso en sodio","No tiene sello")),"No tiene sello"))</f>
        <v>No tiene sello</v>
      </c>
      <c r="AM226" s="13" t="str">
        <f>IFERROR(IF(F226=0,"No tiene sello",IF(+(AG226/1000)*9*100/F226&gt;1,"Exceso en grasa trans", "No tiene sello")),"No tiene sello")</f>
        <v>No tiene sello</v>
      </c>
    </row>
    <row r="227" spans="1:39" ht="13.5" customHeight="1" x14ac:dyDescent="0.25">
      <c r="A227" s="26" t="s">
        <v>1215</v>
      </c>
      <c r="B227" s="26" t="s">
        <v>1216</v>
      </c>
      <c r="C227" s="26" t="s">
        <v>143</v>
      </c>
      <c r="D227" s="47">
        <v>100</v>
      </c>
      <c r="E227" s="28">
        <v>94.1</v>
      </c>
      <c r="F227" s="24">
        <v>25</v>
      </c>
      <c r="G227" s="28">
        <v>104</v>
      </c>
      <c r="H227" s="24">
        <v>0.9</v>
      </c>
      <c r="I227" s="24">
        <v>0.1</v>
      </c>
      <c r="J227" s="24">
        <v>4.3</v>
      </c>
      <c r="K227" s="28">
        <v>2.8</v>
      </c>
      <c r="L227" s="28">
        <v>0.43</v>
      </c>
      <c r="M227" s="24">
        <v>1.5</v>
      </c>
      <c r="N227" s="28">
        <v>0.6</v>
      </c>
      <c r="O227" s="25">
        <v>12</v>
      </c>
      <c r="P227" s="25">
        <v>0.7</v>
      </c>
      <c r="Q227" s="28">
        <v>7</v>
      </c>
      <c r="R227" s="25">
        <v>28</v>
      </c>
      <c r="S227" s="28">
        <v>0.1</v>
      </c>
      <c r="T227" s="28">
        <v>10</v>
      </c>
      <c r="U227" s="28">
        <v>227</v>
      </c>
      <c r="V227" s="28">
        <v>0.05</v>
      </c>
      <c r="W227" s="28">
        <v>0.02</v>
      </c>
      <c r="X227" s="28">
        <v>0.5</v>
      </c>
      <c r="Y227" s="28">
        <v>13</v>
      </c>
      <c r="Z227" s="28">
        <v>0</v>
      </c>
      <c r="AA227" s="25">
        <v>27</v>
      </c>
      <c r="AB227" s="25">
        <v>41</v>
      </c>
      <c r="AC227" s="25">
        <v>0</v>
      </c>
      <c r="AD227" s="28">
        <v>0</v>
      </c>
      <c r="AE227" s="28">
        <v>0</v>
      </c>
      <c r="AF227" s="28">
        <v>0</v>
      </c>
      <c r="AG227" s="28">
        <v>0</v>
      </c>
      <c r="AH227" s="24">
        <v>0</v>
      </c>
      <c r="AI227" s="28">
        <v>100</v>
      </c>
      <c r="AJ227" s="13" t="str">
        <f xml:space="preserve"> IF(AD227&gt;F227,"Exceso en grasa saturada",IFERROR(IF(F227=0,"No tiene sello",IF((AD227*9)*100/F227&gt;10,"Exceso en grasa saturada","No tiene sello")),"No tiene sello"))</f>
        <v>No tiene sello</v>
      </c>
      <c r="AK227" s="13">
        <f>IF(AJ227="No tiene sello",0,1)</f>
        <v>0</v>
      </c>
      <c r="AL227" s="13" t="str">
        <f>IF(Q227&gt;=300,"Exceso en sodio",IFERROR(IF(AND(F227=0,Q227&gt;0),"No tiene sello",IF(Q227/F227&gt;1,"Exceso en sodio","No tiene sello")),"No tiene sello"))</f>
        <v>No tiene sello</v>
      </c>
      <c r="AM227" s="13" t="str">
        <f>IFERROR(IF(F227=0,"No tiene sello",IF(+(AG227/1000)*9*100/F227&gt;1,"Exceso en grasa trans", "No tiene sello")),"No tiene sello")</f>
        <v>No tiene sello</v>
      </c>
    </row>
    <row r="228" spans="1:39" ht="13.5" customHeight="1" x14ac:dyDescent="0.25">
      <c r="A228" s="20" t="s">
        <v>1212</v>
      </c>
      <c r="B228" s="20" t="s">
        <v>1214</v>
      </c>
      <c r="C228" s="20" t="s">
        <v>1213</v>
      </c>
      <c r="D228" s="46">
        <v>100</v>
      </c>
      <c r="E228" s="23">
        <v>94.4</v>
      </c>
      <c r="F228" s="24">
        <v>19</v>
      </c>
      <c r="G228" s="23">
        <v>82</v>
      </c>
      <c r="H228" s="24">
        <v>0.6</v>
      </c>
      <c r="I228" s="24">
        <v>0</v>
      </c>
      <c r="J228" s="24">
        <v>4</v>
      </c>
      <c r="K228" s="23">
        <v>3.5</v>
      </c>
      <c r="L228" s="23">
        <v>0.4</v>
      </c>
      <c r="M228" s="24">
        <v>0.5</v>
      </c>
      <c r="N228" s="23">
        <v>1</v>
      </c>
      <c r="O228" s="25">
        <v>10</v>
      </c>
      <c r="P228" s="25">
        <v>0.4</v>
      </c>
      <c r="Q228" s="23">
        <v>9</v>
      </c>
      <c r="R228" s="25">
        <v>28</v>
      </c>
      <c r="S228" s="23">
        <v>0.1</v>
      </c>
      <c r="T228" s="23">
        <v>11</v>
      </c>
      <c r="U228" s="23">
        <v>220</v>
      </c>
      <c r="V228" s="23">
        <v>0.08</v>
      </c>
      <c r="W228" s="23">
        <v>0.06</v>
      </c>
      <c r="X228" s="23">
        <v>0.7</v>
      </c>
      <c r="Y228" s="23">
        <v>20</v>
      </c>
      <c r="Z228" s="23">
        <v>0</v>
      </c>
      <c r="AA228" s="25">
        <v>11</v>
      </c>
      <c r="AB228" s="25">
        <v>25</v>
      </c>
      <c r="AC228" s="25">
        <v>0</v>
      </c>
      <c r="AD228" s="23">
        <v>0</v>
      </c>
      <c r="AE228" s="23">
        <v>0</v>
      </c>
      <c r="AF228" s="23">
        <v>0</v>
      </c>
      <c r="AG228" s="23">
        <v>0</v>
      </c>
      <c r="AH228" s="24">
        <v>0</v>
      </c>
      <c r="AI228" s="23">
        <v>100</v>
      </c>
      <c r="AJ228" s="13" t="str">
        <f xml:space="preserve"> IF(AD228&gt;F228,"Exceso en grasa saturada",IFERROR(IF(F228=0,"No tiene sello",IF((AD228*9)*100/F228&gt;10,"Exceso en grasa saturada","No tiene sello")),"No tiene sello"))</f>
        <v>No tiene sello</v>
      </c>
      <c r="AK228" s="13">
        <f>IF(AJ228="No tiene sello",0,1)</f>
        <v>0</v>
      </c>
      <c r="AL228" s="13" t="str">
        <f>IF(Q228&gt;=300,"Exceso en sodio",IFERROR(IF(AND(F228=0,Q228&gt;0),"No tiene sello",IF(Q228/F228&gt;1,"Exceso en sodio","No tiene sello")),"No tiene sello"))</f>
        <v>No tiene sello</v>
      </c>
      <c r="AM228" s="13" t="str">
        <f>IFERROR(IF(F228=0,"No tiene sello",IF(+(AG228/1000)*9*100/F228&gt;1,"Exceso en grasa trans", "No tiene sello")),"No tiene sello")</f>
        <v>No tiene sello</v>
      </c>
    </row>
    <row r="229" spans="1:39" ht="13.5" customHeight="1" x14ac:dyDescent="0.25">
      <c r="A229" s="26" t="s">
        <v>1210</v>
      </c>
      <c r="B229" s="26" t="s">
        <v>1211</v>
      </c>
      <c r="C229" s="26" t="s">
        <v>143</v>
      </c>
      <c r="D229" s="47">
        <v>100</v>
      </c>
      <c r="E229" s="28">
        <v>61.6</v>
      </c>
      <c r="F229" s="24">
        <v>157</v>
      </c>
      <c r="G229" s="28">
        <v>664</v>
      </c>
      <c r="H229" s="24">
        <v>0.7</v>
      </c>
      <c r="I229" s="24">
        <v>0.2</v>
      </c>
      <c r="J229" s="24">
        <v>36.6</v>
      </c>
      <c r="K229" s="28">
        <v>33.9</v>
      </c>
      <c r="L229" s="28">
        <v>1.83</v>
      </c>
      <c r="M229" s="24">
        <v>2.7</v>
      </c>
      <c r="N229" s="28">
        <v>0.9</v>
      </c>
      <c r="O229" s="25">
        <v>16</v>
      </c>
      <c r="P229" s="25">
        <v>0.5</v>
      </c>
      <c r="Q229" s="28">
        <v>4</v>
      </c>
      <c r="R229" s="25">
        <v>45</v>
      </c>
      <c r="S229" s="28">
        <v>0.2</v>
      </c>
      <c r="T229" s="28">
        <v>16</v>
      </c>
      <c r="U229" s="28">
        <v>100</v>
      </c>
      <c r="V229" s="28">
        <v>0.03</v>
      </c>
      <c r="W229" s="28">
        <v>0.02</v>
      </c>
      <c r="X229" s="28">
        <v>0.5</v>
      </c>
      <c r="Y229" s="28">
        <v>11</v>
      </c>
      <c r="Z229" s="28">
        <v>0</v>
      </c>
      <c r="AA229" s="25">
        <v>21</v>
      </c>
      <c r="AB229" s="25">
        <v>1</v>
      </c>
      <c r="AC229" s="25">
        <v>0</v>
      </c>
      <c r="AD229" s="28">
        <v>0</v>
      </c>
      <c r="AE229" s="28">
        <v>0</v>
      </c>
      <c r="AF229" s="28">
        <v>0</v>
      </c>
      <c r="AG229" s="28">
        <v>0</v>
      </c>
      <c r="AH229" s="24">
        <v>0</v>
      </c>
      <c r="AI229" s="28">
        <v>100</v>
      </c>
      <c r="AJ229" s="13" t="str">
        <f xml:space="preserve"> IF(AD229&gt;F229,"Exceso en grasa saturada",IFERROR(IF(F229=0,"No tiene sello",IF((AD229*9)*100/F229&gt;10,"Exceso en grasa saturada","No tiene sello")),"No tiene sello"))</f>
        <v>No tiene sello</v>
      </c>
      <c r="AK229" s="13">
        <f>IF(AJ229="No tiene sello",0,1)</f>
        <v>0</v>
      </c>
      <c r="AL229" s="13" t="str">
        <f>IF(Q229&gt;=300,"Exceso en sodio",IFERROR(IF(AND(F229=0,Q229&gt;0),"No tiene sello",IF(Q229/F229&gt;1,"Exceso en sodio","No tiene sello")),"No tiene sello"))</f>
        <v>No tiene sello</v>
      </c>
      <c r="AM229" s="13" t="str">
        <f>IFERROR(IF(F229=0,"No tiene sello",IF(+(AG229/1000)*9*100/F229&gt;1,"Exceso en grasa trans", "No tiene sello")),"No tiene sello")</f>
        <v>No tiene sello</v>
      </c>
    </row>
    <row r="230" spans="1:39" ht="13.5" customHeight="1" x14ac:dyDescent="0.25">
      <c r="A230" s="20" t="s">
        <v>1208</v>
      </c>
      <c r="B230" s="20" t="s">
        <v>1209</v>
      </c>
      <c r="C230" s="20" t="s">
        <v>143</v>
      </c>
      <c r="D230" s="46">
        <v>100</v>
      </c>
      <c r="E230" s="23">
        <v>60.9</v>
      </c>
      <c r="F230" s="24">
        <v>159</v>
      </c>
      <c r="G230" s="23">
        <v>675</v>
      </c>
      <c r="H230" s="24">
        <v>0.9</v>
      </c>
      <c r="I230" s="24">
        <v>0.3</v>
      </c>
      <c r="J230" s="24">
        <v>37.4</v>
      </c>
      <c r="K230" s="23">
        <v>35.6</v>
      </c>
      <c r="L230" s="23">
        <v>1.87</v>
      </c>
      <c r="M230" s="24">
        <v>1.8</v>
      </c>
      <c r="N230" s="23">
        <v>0.6</v>
      </c>
      <c r="O230" s="25">
        <v>16</v>
      </c>
      <c r="P230" s="25">
        <v>0.3</v>
      </c>
      <c r="Q230" s="23">
        <v>14</v>
      </c>
      <c r="R230" s="25">
        <v>30</v>
      </c>
      <c r="S230" s="23">
        <v>0.3</v>
      </c>
      <c r="T230" s="23">
        <v>21</v>
      </c>
      <c r="U230" s="23">
        <v>186</v>
      </c>
      <c r="V230" s="23">
        <v>0.04</v>
      </c>
      <c r="W230" s="23">
        <v>0.03</v>
      </c>
      <c r="X230" s="23">
        <v>0.8</v>
      </c>
      <c r="Y230" s="23">
        <v>27</v>
      </c>
      <c r="Z230" s="23">
        <v>0</v>
      </c>
      <c r="AA230" s="25">
        <v>30</v>
      </c>
      <c r="AB230" s="25">
        <v>1</v>
      </c>
      <c r="AC230" s="25">
        <v>0</v>
      </c>
      <c r="AD230" s="23">
        <v>0</v>
      </c>
      <c r="AE230" s="23">
        <v>0</v>
      </c>
      <c r="AF230" s="23">
        <v>0</v>
      </c>
      <c r="AG230" s="23">
        <v>0</v>
      </c>
      <c r="AH230" s="24">
        <v>0</v>
      </c>
      <c r="AI230" s="23">
        <v>80</v>
      </c>
      <c r="AJ230" s="13" t="str">
        <f xml:space="preserve"> IF(AD230&gt;F230,"Exceso en grasa saturada",IFERROR(IF(F230=0,"No tiene sello",IF((AD230*9)*100/F230&gt;10,"Exceso en grasa saturada","No tiene sello")),"No tiene sello"))</f>
        <v>No tiene sello</v>
      </c>
      <c r="AK230" s="13">
        <f>IF(AJ230="No tiene sello",0,1)</f>
        <v>0</v>
      </c>
      <c r="AL230" s="13" t="str">
        <f>IF(Q230&gt;=300,"Exceso en sodio",IFERROR(IF(AND(F230=0,Q230&gt;0),"No tiene sello",IF(Q230/F230&gt;1,"Exceso en sodio","No tiene sello")),"No tiene sello"))</f>
        <v>No tiene sello</v>
      </c>
      <c r="AM230" s="13" t="str">
        <f>IFERROR(IF(F230=0,"No tiene sello",IF(+(AG230/1000)*9*100/F230&gt;1,"Exceso en grasa trans", "No tiene sello")),"No tiene sello")</f>
        <v>No tiene sello</v>
      </c>
    </row>
    <row r="231" spans="1:39" ht="13.5" customHeight="1" x14ac:dyDescent="0.25">
      <c r="A231" s="26" t="s">
        <v>1206</v>
      </c>
      <c r="B231" s="26" t="s">
        <v>1207</v>
      </c>
      <c r="C231" s="26" t="s">
        <v>143</v>
      </c>
      <c r="D231" s="47">
        <v>100</v>
      </c>
      <c r="E231" s="28">
        <v>49.5</v>
      </c>
      <c r="F231" s="24">
        <v>231</v>
      </c>
      <c r="G231" s="28">
        <v>972</v>
      </c>
      <c r="H231" s="24">
        <v>0.9</v>
      </c>
      <c r="I231" s="24">
        <v>5.0999999999999996</v>
      </c>
      <c r="J231" s="24">
        <v>43.6</v>
      </c>
      <c r="K231" s="28">
        <v>40.1</v>
      </c>
      <c r="L231" s="28">
        <v>2.1800000000000002</v>
      </c>
      <c r="M231" s="24">
        <v>3.4</v>
      </c>
      <c r="N231" s="28">
        <v>1</v>
      </c>
      <c r="O231" s="25">
        <v>20</v>
      </c>
      <c r="P231" s="25">
        <v>0.9</v>
      </c>
      <c r="Q231" s="28">
        <v>179</v>
      </c>
      <c r="R231" s="25">
        <v>52</v>
      </c>
      <c r="S231" s="28">
        <v>0.4</v>
      </c>
      <c r="T231" s="28">
        <v>21</v>
      </c>
      <c r="U231" s="28">
        <v>325</v>
      </c>
      <c r="V231" s="28">
        <v>0.04</v>
      </c>
      <c r="W231" s="28">
        <v>7.0000000000000007E-2</v>
      </c>
      <c r="X231" s="28">
        <v>0.5</v>
      </c>
      <c r="Y231" s="28">
        <v>0</v>
      </c>
      <c r="Z231" s="28">
        <v>0</v>
      </c>
      <c r="AA231" s="25">
        <v>0</v>
      </c>
      <c r="AB231" s="25">
        <v>0</v>
      </c>
      <c r="AC231" s="25">
        <v>0</v>
      </c>
      <c r="AD231" s="28">
        <v>0</v>
      </c>
      <c r="AE231" s="28">
        <v>0</v>
      </c>
      <c r="AF231" s="28">
        <v>0</v>
      </c>
      <c r="AG231" s="28">
        <v>80</v>
      </c>
      <c r="AH231" s="24">
        <v>0</v>
      </c>
      <c r="AI231" s="28">
        <v>100</v>
      </c>
      <c r="AJ231" s="13" t="str">
        <f xml:space="preserve"> IF(AD231&gt;F231,"Exceso en grasa saturada",IFERROR(IF(F231=0,"No tiene sello",IF((AD231*9)*100/F231&gt;10,"Exceso en grasa saturada","No tiene sello")),"No tiene sello"))</f>
        <v>No tiene sello</v>
      </c>
      <c r="AK231" s="13">
        <f>IF(AJ231="No tiene sello",0,1)</f>
        <v>0</v>
      </c>
      <c r="AL231" s="13" t="str">
        <f>IF(Q231&gt;=300,"Exceso en sodio",IFERROR(IF(AND(F231=0,Q231&gt;0),"No tiene sello",IF(Q231/F231&gt;1,"Exceso en sodio","No tiene sello")),"No tiene sello"))</f>
        <v>No tiene sello</v>
      </c>
      <c r="AM231" s="13" t="str">
        <f>IFERROR(IF(F231=0,"No tiene sello",IF(+(AG231/1000)*9*100/F231&gt;1,"Exceso en grasa trans", "No tiene sello")),"No tiene sello")</f>
        <v>No tiene sello</v>
      </c>
    </row>
    <row r="232" spans="1:39" ht="13.5" customHeight="1" x14ac:dyDescent="0.25">
      <c r="A232" s="29" t="s">
        <v>1204</v>
      </c>
      <c r="B232" s="29" t="s">
        <v>1205</v>
      </c>
      <c r="C232" s="29" t="s">
        <v>143</v>
      </c>
      <c r="D232" s="46">
        <v>100</v>
      </c>
      <c r="E232" s="31">
        <v>90.3</v>
      </c>
      <c r="F232" s="24">
        <v>43</v>
      </c>
      <c r="G232" s="31">
        <v>181</v>
      </c>
      <c r="H232" s="24">
        <v>0.8</v>
      </c>
      <c r="I232" s="24">
        <v>0.2</v>
      </c>
      <c r="J232" s="24">
        <v>8.1</v>
      </c>
      <c r="K232" s="31">
        <v>5.3</v>
      </c>
      <c r="L232" s="31">
        <v>0.81</v>
      </c>
      <c r="M232" s="24">
        <v>2.8</v>
      </c>
      <c r="N232" s="31">
        <v>0.7</v>
      </c>
      <c r="O232" s="31">
        <v>30</v>
      </c>
      <c r="P232" s="31">
        <v>0.4</v>
      </c>
      <c r="Q232" s="31">
        <v>22</v>
      </c>
      <c r="R232" s="31">
        <v>29</v>
      </c>
      <c r="S232" s="31">
        <v>0.2</v>
      </c>
      <c r="T232" s="31">
        <v>11</v>
      </c>
      <c r="U232" s="31">
        <v>265</v>
      </c>
      <c r="V232" s="31">
        <v>7.0000000000000007E-2</v>
      </c>
      <c r="W232" s="31">
        <v>0.04</v>
      </c>
      <c r="X232" s="31">
        <v>0.6</v>
      </c>
      <c r="Y232" s="31">
        <v>14</v>
      </c>
      <c r="Z232" s="31">
        <v>0</v>
      </c>
      <c r="AA232" s="31">
        <v>2</v>
      </c>
      <c r="AB232" s="31">
        <v>1667</v>
      </c>
      <c r="AC232" s="31">
        <v>0</v>
      </c>
      <c r="AD232" s="31">
        <v>0</v>
      </c>
      <c r="AE232" s="31">
        <v>0</v>
      </c>
      <c r="AF232" s="31">
        <v>0</v>
      </c>
      <c r="AG232" s="31">
        <v>0</v>
      </c>
      <c r="AH232" s="31">
        <v>0</v>
      </c>
      <c r="AI232" s="31">
        <v>100</v>
      </c>
      <c r="AJ232" s="13" t="str">
        <f xml:space="preserve"> IF(AD232&gt;F232,"Exceso en grasa saturada",IFERROR(IF(F232=0,"No tiene sello",IF((AD232*9)*100/F232&gt;10,"Exceso en grasa saturada","No tiene sello")),"No tiene sello"))</f>
        <v>No tiene sello</v>
      </c>
      <c r="AK232" s="13">
        <f>IF(AJ232="No tiene sello",0,1)</f>
        <v>0</v>
      </c>
      <c r="AL232" s="13" t="str">
        <f>IF(Q232&gt;=300,"Exceso en sodio",IFERROR(IF(AND(F232=0,Q232&gt;0),"No tiene sello",IF(Q232/F232&gt;1,"Exceso en sodio","No tiene sello")),"No tiene sello"))</f>
        <v>No tiene sello</v>
      </c>
      <c r="AM232" s="13" t="str">
        <f>IFERROR(IF(F232=0,"No tiene sello",IF(+(AG232/1000)*9*100/F232&gt;1,"Exceso en grasa trans", "No tiene sello")),"No tiene sello")</f>
        <v>No tiene sello</v>
      </c>
    </row>
    <row r="233" spans="1:39" ht="13.5" customHeight="1" x14ac:dyDescent="0.25">
      <c r="A233" s="33" t="s">
        <v>1202</v>
      </c>
      <c r="B233" s="33" t="s">
        <v>1203</v>
      </c>
      <c r="C233" s="33" t="s">
        <v>143</v>
      </c>
      <c r="D233" s="47">
        <v>100</v>
      </c>
      <c r="E233" s="35">
        <v>88.9</v>
      </c>
      <c r="F233" s="24">
        <v>47</v>
      </c>
      <c r="G233" s="35">
        <v>199</v>
      </c>
      <c r="H233" s="24">
        <v>0.7</v>
      </c>
      <c r="I233" s="24">
        <v>0.1</v>
      </c>
      <c r="J233" s="24">
        <v>9.5</v>
      </c>
      <c r="K233" s="35">
        <v>6.8</v>
      </c>
      <c r="L233" s="35">
        <v>0.95</v>
      </c>
      <c r="M233" s="24">
        <v>2.7</v>
      </c>
      <c r="N233" s="35">
        <v>0.8</v>
      </c>
      <c r="O233" s="35">
        <v>27</v>
      </c>
      <c r="P233" s="35">
        <v>0.4</v>
      </c>
      <c r="Q233" s="35">
        <v>35</v>
      </c>
      <c r="R233" s="35">
        <v>35</v>
      </c>
      <c r="S233" s="35">
        <v>0.2</v>
      </c>
      <c r="T233" s="35">
        <v>10</v>
      </c>
      <c r="U233" s="35">
        <v>320</v>
      </c>
      <c r="V233" s="35">
        <v>0.04</v>
      </c>
      <c r="W233" s="35">
        <v>0.04</v>
      </c>
      <c r="X233" s="35">
        <v>0.4</v>
      </c>
      <c r="Y233" s="35">
        <v>22</v>
      </c>
      <c r="Z233" s="35">
        <v>0</v>
      </c>
      <c r="AA233" s="35">
        <v>3</v>
      </c>
      <c r="AB233" s="35">
        <v>1318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0</v>
      </c>
      <c r="AI233" s="35">
        <v>85</v>
      </c>
      <c r="AJ233" s="13" t="str">
        <f xml:space="preserve"> IF(AD233&gt;F233,"Exceso en grasa saturada",IFERROR(IF(F233=0,"No tiene sello",IF((AD233*9)*100/F233&gt;10,"Exceso en grasa saturada","No tiene sello")),"No tiene sello"))</f>
        <v>No tiene sello</v>
      </c>
      <c r="AK233" s="13">
        <f>IF(AJ233="No tiene sello",0,1)</f>
        <v>0</v>
      </c>
      <c r="AL233" s="13" t="str">
        <f>IF(Q233&gt;=300,"Exceso en sodio",IFERROR(IF(AND(F233=0,Q233&gt;0),"No tiene sello",IF(Q233/F233&gt;1,"Exceso en sodio","No tiene sello")),"No tiene sello"))</f>
        <v>No tiene sello</v>
      </c>
      <c r="AM233" s="13" t="str">
        <f>IFERROR(IF(F233=0,"No tiene sello",IF(+(AG233/1000)*9*100/F233&gt;1,"Exceso en grasa trans", "No tiene sello")),"No tiene sello")</f>
        <v>No tiene sello</v>
      </c>
    </row>
    <row r="234" spans="1:39" ht="13.5" customHeight="1" x14ac:dyDescent="0.25">
      <c r="A234" s="20" t="s">
        <v>1199</v>
      </c>
      <c r="B234" s="20" t="s">
        <v>1201</v>
      </c>
      <c r="C234" s="20" t="s">
        <v>1200</v>
      </c>
      <c r="D234" s="46">
        <v>100</v>
      </c>
      <c r="E234" s="23">
        <v>88.5</v>
      </c>
      <c r="F234" s="24">
        <v>46</v>
      </c>
      <c r="G234" s="23">
        <v>195</v>
      </c>
      <c r="H234" s="24">
        <v>0.9</v>
      </c>
      <c r="I234" s="24">
        <v>0.2</v>
      </c>
      <c r="J234" s="24">
        <v>9.5</v>
      </c>
      <c r="K234" s="23">
        <v>8.1999999999999993</v>
      </c>
      <c r="L234" s="23">
        <v>0.95</v>
      </c>
      <c r="M234" s="24">
        <v>1.3</v>
      </c>
      <c r="N234" s="23">
        <v>0.9</v>
      </c>
      <c r="O234" s="25">
        <v>26</v>
      </c>
      <c r="P234" s="25">
        <v>0.7</v>
      </c>
      <c r="Q234" s="23">
        <v>2</v>
      </c>
      <c r="R234" s="25">
        <v>18</v>
      </c>
      <c r="S234" s="23">
        <v>0.3</v>
      </c>
      <c r="T234" s="23">
        <v>9</v>
      </c>
      <c r="U234" s="23">
        <v>346</v>
      </c>
      <c r="V234" s="23">
        <v>0.04</v>
      </c>
      <c r="W234" s="23">
        <v>0.05</v>
      </c>
      <c r="X234" s="23">
        <v>0.4</v>
      </c>
      <c r="Y234" s="23">
        <v>16</v>
      </c>
      <c r="Z234" s="23">
        <v>0</v>
      </c>
      <c r="AA234" s="25">
        <v>4</v>
      </c>
      <c r="AB234" s="25">
        <v>340</v>
      </c>
      <c r="AC234" s="25">
        <v>0</v>
      </c>
      <c r="AD234" s="23">
        <v>0</v>
      </c>
      <c r="AE234" s="23">
        <v>0</v>
      </c>
      <c r="AF234" s="23">
        <v>0</v>
      </c>
      <c r="AG234" s="23">
        <v>0</v>
      </c>
      <c r="AH234" s="24">
        <v>0</v>
      </c>
      <c r="AI234" s="23">
        <v>65</v>
      </c>
      <c r="AJ234" s="13" t="str">
        <f xml:space="preserve"> IF(AD234&gt;F234,"Exceso en grasa saturada",IFERROR(IF(F234=0,"No tiene sello",IF((AD234*9)*100/F234&gt;10,"Exceso en grasa saturada","No tiene sello")),"No tiene sello"))</f>
        <v>No tiene sello</v>
      </c>
      <c r="AK234" s="13">
        <f>IF(AJ234="No tiene sello",0,1)</f>
        <v>0</v>
      </c>
      <c r="AL234" s="13" t="str">
        <f>IF(Q234&gt;=300,"Exceso en sodio",IFERROR(IF(AND(F234=0,Q234&gt;0),"No tiene sello",IF(Q234/F234&gt;1,"Exceso en sodio","No tiene sello")),"No tiene sello"))</f>
        <v>No tiene sello</v>
      </c>
      <c r="AM234" s="13" t="str">
        <f>IFERROR(IF(F234=0,"No tiene sello",IF(+(AG234/1000)*9*100/F234&gt;1,"Exceso en grasa trans", "No tiene sello")),"No tiene sello")</f>
        <v>No tiene sello</v>
      </c>
    </row>
    <row r="235" spans="1:39" ht="13.5" customHeight="1" x14ac:dyDescent="0.25">
      <c r="A235" s="33" t="s">
        <v>1196</v>
      </c>
      <c r="B235" s="33" t="s">
        <v>1198</v>
      </c>
      <c r="C235" s="33" t="s">
        <v>1197</v>
      </c>
      <c r="D235" s="47">
        <v>100</v>
      </c>
      <c r="E235" s="35">
        <v>66.900000000000006</v>
      </c>
      <c r="F235" s="24">
        <v>221</v>
      </c>
      <c r="G235" s="35">
        <v>915</v>
      </c>
      <c r="H235" s="24">
        <v>1.3</v>
      </c>
      <c r="I235" s="24">
        <v>16.399999999999999</v>
      </c>
      <c r="J235" s="24">
        <v>13.5</v>
      </c>
      <c r="K235" s="35">
        <v>6.7</v>
      </c>
      <c r="L235" s="35">
        <v>1.35</v>
      </c>
      <c r="M235" s="24">
        <v>6.8</v>
      </c>
      <c r="N235" s="35">
        <v>1.8</v>
      </c>
      <c r="O235" s="35">
        <v>8</v>
      </c>
      <c r="P235" s="35">
        <v>0.5</v>
      </c>
      <c r="Q235" s="35">
        <v>0</v>
      </c>
      <c r="R235" s="35">
        <v>12</v>
      </c>
      <c r="S235" s="35">
        <v>0.7</v>
      </c>
      <c r="T235" s="35">
        <v>9</v>
      </c>
      <c r="U235" s="35">
        <v>143</v>
      </c>
      <c r="V235" s="35">
        <v>0.08</v>
      </c>
      <c r="W235" s="35">
        <v>0.14000000000000001</v>
      </c>
      <c r="X235" s="35">
        <v>1.6</v>
      </c>
      <c r="Y235" s="35">
        <v>89</v>
      </c>
      <c r="Z235" s="35">
        <v>0</v>
      </c>
      <c r="AA235" s="35">
        <v>5</v>
      </c>
      <c r="AB235" s="35">
        <v>7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0</v>
      </c>
      <c r="AI235" s="35">
        <v>64</v>
      </c>
      <c r="AJ235" s="13" t="str">
        <f xml:space="preserve"> IF(AD235&gt;F235,"Exceso en grasa saturada",IFERROR(IF(F235=0,"No tiene sello",IF((AD235*9)*100/F235&gt;10,"Exceso en grasa saturada","No tiene sello")),"No tiene sello"))</f>
        <v>No tiene sello</v>
      </c>
      <c r="AK235" s="13">
        <f>IF(AJ235="No tiene sello",0,1)</f>
        <v>0</v>
      </c>
      <c r="AL235" s="13" t="str">
        <f>IF(Q235&gt;=300,"Exceso en sodio",IFERROR(IF(AND(F235=0,Q235&gt;0),"No tiene sello",IF(Q235/F235&gt;1,"Exceso en sodio","No tiene sello")),"No tiene sello"))</f>
        <v>No tiene sello</v>
      </c>
      <c r="AM235" s="13" t="str">
        <f>IFERROR(IF(F235=0,"No tiene sello",IF(+(AG235/1000)*9*100/F235&gt;1,"Exceso en grasa trans", "No tiene sello")),"No tiene sello")</f>
        <v>No tiene sello</v>
      </c>
    </row>
    <row r="236" spans="1:39" ht="13.5" customHeight="1" x14ac:dyDescent="0.25">
      <c r="A236" s="29" t="s">
        <v>1194</v>
      </c>
      <c r="B236" s="37" t="s">
        <v>1195</v>
      </c>
      <c r="C236" s="29" t="s">
        <v>1150</v>
      </c>
      <c r="D236" s="46">
        <v>100</v>
      </c>
      <c r="E236" s="31">
        <v>74.3</v>
      </c>
      <c r="F236" s="24">
        <v>179</v>
      </c>
      <c r="G236" s="31">
        <v>741</v>
      </c>
      <c r="H236" s="24">
        <v>1.6</v>
      </c>
      <c r="I236" s="24">
        <v>13.3</v>
      </c>
      <c r="J236" s="24">
        <v>10</v>
      </c>
      <c r="K236" s="31">
        <v>3.4</v>
      </c>
      <c r="L236" s="31">
        <v>1</v>
      </c>
      <c r="M236" s="24">
        <v>6.6</v>
      </c>
      <c r="N236" s="31">
        <v>0.8</v>
      </c>
      <c r="O236" s="31">
        <v>10</v>
      </c>
      <c r="P236" s="31">
        <v>0.4</v>
      </c>
      <c r="Q236" s="31">
        <v>6</v>
      </c>
      <c r="R236" s="31">
        <v>40</v>
      </c>
      <c r="S236" s="31">
        <v>0.5</v>
      </c>
      <c r="T236" s="31">
        <v>27</v>
      </c>
      <c r="U236" s="31">
        <v>456</v>
      </c>
      <c r="V236" s="31">
        <v>0.05</v>
      </c>
      <c r="W236" s="31">
        <v>0.12</v>
      </c>
      <c r="X236" s="31">
        <v>1.4</v>
      </c>
      <c r="Y236" s="31">
        <v>81</v>
      </c>
      <c r="Z236" s="31">
        <v>0</v>
      </c>
      <c r="AA236" s="31">
        <v>8</v>
      </c>
      <c r="AB236" s="31">
        <v>3</v>
      </c>
      <c r="AC236" s="31">
        <v>0</v>
      </c>
      <c r="AD236" s="31">
        <v>0</v>
      </c>
      <c r="AE236" s="31">
        <v>0</v>
      </c>
      <c r="AF236" s="31">
        <v>0</v>
      </c>
      <c r="AG236" s="31">
        <v>0</v>
      </c>
      <c r="AH236" s="31">
        <v>0</v>
      </c>
      <c r="AI236" s="31">
        <v>77</v>
      </c>
      <c r="AJ236" s="13" t="str">
        <f xml:space="preserve"> IF(AD236&gt;F236,"Exceso en grasa saturada",IFERROR(IF(F236=0,"No tiene sello",IF((AD236*9)*100/F236&gt;10,"Exceso en grasa saturada","No tiene sello")),"No tiene sello"))</f>
        <v>No tiene sello</v>
      </c>
      <c r="AK236" s="13">
        <f>IF(AJ236="No tiene sello",0,1)</f>
        <v>0</v>
      </c>
      <c r="AL236" s="13" t="str">
        <f>IF(Q236&gt;=300,"Exceso en sodio",IFERROR(IF(AND(F236=0,Q236&gt;0),"No tiene sello",IF(Q236/F236&gt;1,"Exceso en sodio","No tiene sello")),"No tiene sello"))</f>
        <v>No tiene sello</v>
      </c>
      <c r="AM236" s="13" t="str">
        <f>IFERROR(IF(F236=0,"No tiene sello",IF(+(AG236/1000)*9*100/F236&gt;1,"Exceso en grasa trans", "No tiene sello")),"No tiene sello")</f>
        <v>No tiene sello</v>
      </c>
    </row>
    <row r="237" spans="1:39" ht="13.5" customHeight="1" x14ac:dyDescent="0.25">
      <c r="A237" s="26" t="s">
        <v>1192</v>
      </c>
      <c r="B237" s="26" t="s">
        <v>1193</v>
      </c>
      <c r="C237" s="26" t="s">
        <v>165</v>
      </c>
      <c r="D237" s="47">
        <v>100</v>
      </c>
      <c r="E237" s="28">
        <v>12</v>
      </c>
      <c r="F237" s="24">
        <v>639</v>
      </c>
      <c r="G237" s="28">
        <v>2642</v>
      </c>
      <c r="H237" s="24">
        <v>18.600000000000001</v>
      </c>
      <c r="I237" s="24">
        <v>54.1</v>
      </c>
      <c r="J237" s="24">
        <v>13.9</v>
      </c>
      <c r="K237" s="28">
        <v>3</v>
      </c>
      <c r="L237" s="28">
        <v>1.39</v>
      </c>
      <c r="M237" s="24">
        <v>10.9</v>
      </c>
      <c r="N237" s="28">
        <v>1.4</v>
      </c>
      <c r="O237" s="25">
        <v>228</v>
      </c>
      <c r="P237" s="25">
        <v>3.4</v>
      </c>
      <c r="Q237" s="28">
        <v>21</v>
      </c>
      <c r="R237" s="25">
        <v>480</v>
      </c>
      <c r="S237" s="28">
        <v>3.1</v>
      </c>
      <c r="T237" s="28">
        <v>271</v>
      </c>
      <c r="U237" s="28">
        <v>699</v>
      </c>
      <c r="V237" s="28">
        <v>0.2</v>
      </c>
      <c r="W237" s="28">
        <v>0.61</v>
      </c>
      <c r="X237" s="28">
        <v>3.6</v>
      </c>
      <c r="Y237" s="28">
        <v>47</v>
      </c>
      <c r="Z237" s="28">
        <v>0</v>
      </c>
      <c r="AA237" s="25">
        <v>0</v>
      </c>
      <c r="AB237" s="25">
        <v>0</v>
      </c>
      <c r="AC237" s="25">
        <v>0</v>
      </c>
      <c r="AD237" s="28">
        <v>0</v>
      </c>
      <c r="AE237" s="28">
        <v>0</v>
      </c>
      <c r="AF237" s="28">
        <v>0</v>
      </c>
      <c r="AG237" s="28">
        <v>0</v>
      </c>
      <c r="AH237" s="24">
        <v>0</v>
      </c>
      <c r="AI237" s="28">
        <v>11</v>
      </c>
      <c r="AJ237" s="13" t="str">
        <f xml:space="preserve"> IF(AD237&gt;F237,"Exceso en grasa saturada",IFERROR(IF(F237=0,"No tiene sello",IF((AD237*9)*100/F237&gt;10,"Exceso en grasa saturada","No tiene sello")),"No tiene sello"))</f>
        <v>No tiene sello</v>
      </c>
      <c r="AK237" s="13">
        <f>IF(AJ237="No tiene sello",0,1)</f>
        <v>0</v>
      </c>
      <c r="AL237" s="13" t="str">
        <f>IF(Q237&gt;=300,"Exceso en sodio",IFERROR(IF(AND(F237=0,Q237&gt;0),"No tiene sello",IF(Q237/F237&gt;1,"Exceso en sodio","No tiene sello")),"No tiene sello"))</f>
        <v>No tiene sello</v>
      </c>
      <c r="AM237" s="13" t="str">
        <f>IFERROR(IF(F237=0,"No tiene sello",IF(+(AG237/1000)*9*100/F237&gt;1,"Exceso en grasa trans", "No tiene sello")),"No tiene sello")</f>
        <v>No tiene sello</v>
      </c>
    </row>
    <row r="238" spans="1:39" ht="13.5" customHeight="1" x14ac:dyDescent="0.25">
      <c r="A238" s="20" t="s">
        <v>1190</v>
      </c>
      <c r="B238" s="20" t="s">
        <v>1191</v>
      </c>
      <c r="C238" s="20" t="s">
        <v>1150</v>
      </c>
      <c r="D238" s="46">
        <v>100</v>
      </c>
      <c r="E238" s="23">
        <v>69.7</v>
      </c>
      <c r="F238" s="24">
        <v>124</v>
      </c>
      <c r="G238" s="23">
        <v>527</v>
      </c>
      <c r="H238" s="24">
        <v>2.2999999999999998</v>
      </c>
      <c r="I238" s="24">
        <v>0.1</v>
      </c>
      <c r="J238" s="24">
        <v>27</v>
      </c>
      <c r="K238" s="23">
        <v>23.9</v>
      </c>
      <c r="L238" s="23">
        <v>2.7</v>
      </c>
      <c r="M238" s="24">
        <v>3.1</v>
      </c>
      <c r="N238" s="23">
        <v>0.9</v>
      </c>
      <c r="O238" s="25">
        <v>10</v>
      </c>
      <c r="P238" s="25">
        <v>0.4</v>
      </c>
      <c r="Q238" s="23">
        <v>6</v>
      </c>
      <c r="R238" s="25">
        <v>40</v>
      </c>
      <c r="S238" s="23">
        <v>0.2</v>
      </c>
      <c r="T238" s="23">
        <v>26</v>
      </c>
      <c r="U238" s="23">
        <v>273</v>
      </c>
      <c r="V238" s="23">
        <v>0.1</v>
      </c>
      <c r="W238" s="23">
        <v>0.17</v>
      </c>
      <c r="X238" s="23">
        <v>0.8</v>
      </c>
      <c r="Y238" s="23">
        <v>14</v>
      </c>
      <c r="Z238" s="23">
        <v>0</v>
      </c>
      <c r="AA238" s="25">
        <v>40</v>
      </c>
      <c r="AB238" s="25">
        <v>1</v>
      </c>
      <c r="AC238" s="25">
        <v>0</v>
      </c>
      <c r="AD238" s="23">
        <v>0</v>
      </c>
      <c r="AE238" s="23">
        <v>0</v>
      </c>
      <c r="AF238" s="23">
        <v>0</v>
      </c>
      <c r="AG238" s="23">
        <v>0</v>
      </c>
      <c r="AH238" s="24">
        <v>0</v>
      </c>
      <c r="AI238" s="23">
        <v>40</v>
      </c>
      <c r="AJ238" s="13" t="str">
        <f xml:space="preserve"> IF(AD238&gt;F238,"Exceso en grasa saturada",IFERROR(IF(F238=0,"No tiene sello",IF((AD238*9)*100/F238&gt;10,"Exceso en grasa saturada","No tiene sello")),"No tiene sello"))</f>
        <v>No tiene sello</v>
      </c>
      <c r="AK238" s="13">
        <f>IF(AJ238="No tiene sello",0,1)</f>
        <v>0</v>
      </c>
      <c r="AL238" s="13" t="str">
        <f>IF(Q238&gt;=300,"Exceso en sodio",IFERROR(IF(AND(F238=0,Q238&gt;0),"No tiene sello",IF(Q238/F238&gt;1,"Exceso en sodio","No tiene sello")),"No tiene sello"))</f>
        <v>No tiene sello</v>
      </c>
      <c r="AM238" s="13" t="str">
        <f>IFERROR(IF(F238=0,"No tiene sello",IF(+(AG238/1000)*9*100/F238&gt;1,"Exceso en grasa trans", "No tiene sello")),"No tiene sello")</f>
        <v>No tiene sello</v>
      </c>
    </row>
    <row r="239" spans="1:39" s="4" customFormat="1" ht="13.5" customHeight="1" x14ac:dyDescent="0.25">
      <c r="A239" s="26" t="s">
        <v>1188</v>
      </c>
      <c r="B239" s="26" t="s">
        <v>1189</v>
      </c>
      <c r="C239" s="26" t="s">
        <v>1150</v>
      </c>
      <c r="D239" s="47">
        <v>100</v>
      </c>
      <c r="E239" s="28">
        <v>92.3</v>
      </c>
      <c r="F239" s="24">
        <v>32</v>
      </c>
      <c r="G239" s="28">
        <v>135</v>
      </c>
      <c r="H239" s="24">
        <v>0.9</v>
      </c>
      <c r="I239" s="24">
        <v>0.2</v>
      </c>
      <c r="J239" s="24">
        <v>6.5</v>
      </c>
      <c r="K239" s="28">
        <v>6</v>
      </c>
      <c r="L239" s="28">
        <v>0.65</v>
      </c>
      <c r="M239" s="24">
        <v>0.5</v>
      </c>
      <c r="N239" s="28">
        <v>0.2</v>
      </c>
      <c r="O239" s="25">
        <v>46</v>
      </c>
      <c r="P239" s="25">
        <v>0.7</v>
      </c>
      <c r="Q239" s="28">
        <v>10</v>
      </c>
      <c r="R239" s="25">
        <v>14</v>
      </c>
      <c r="S239" s="28">
        <v>0.1</v>
      </c>
      <c r="T239" s="28">
        <v>6</v>
      </c>
      <c r="U239" s="28">
        <v>223</v>
      </c>
      <c r="V239" s="28">
        <v>0.02</v>
      </c>
      <c r="W239" s="28">
        <v>0.06</v>
      </c>
      <c r="X239" s="28">
        <v>1</v>
      </c>
      <c r="Y239" s="28">
        <v>0</v>
      </c>
      <c r="Z239" s="28">
        <v>0</v>
      </c>
      <c r="AA239" s="25">
        <v>0</v>
      </c>
      <c r="AB239" s="25">
        <v>12</v>
      </c>
      <c r="AC239" s="25">
        <v>0</v>
      </c>
      <c r="AD239" s="28">
        <v>0</v>
      </c>
      <c r="AE239" s="28">
        <v>0</v>
      </c>
      <c r="AF239" s="28">
        <v>0</v>
      </c>
      <c r="AG239" s="28">
        <v>0</v>
      </c>
      <c r="AH239" s="24">
        <v>0</v>
      </c>
      <c r="AI239" s="28">
        <v>45</v>
      </c>
      <c r="AJ239" s="13" t="str">
        <f xml:space="preserve"> IF(AD239&gt;F239,"Exceso en grasa saturada",IFERROR(IF(F239=0,"No tiene sello",IF((AD239*9)*100/F239&gt;10,"Exceso en grasa saturada","No tiene sello")),"No tiene sello"))</f>
        <v>No tiene sello</v>
      </c>
      <c r="AK239" s="13">
        <f>IF(AJ239="No tiene sello",0,1)</f>
        <v>0</v>
      </c>
      <c r="AL239" s="13" t="str">
        <f>IF(Q239&gt;=300,"Exceso en sodio",IFERROR(IF(AND(F239=0,Q239&gt;0),"No tiene sello",IF(Q239/F239&gt;1,"Exceso en sodio","No tiene sello")),"No tiene sello"))</f>
        <v>No tiene sello</v>
      </c>
      <c r="AM239" s="13" t="str">
        <f>IFERROR(IF(F239=0,"No tiene sello",IF(+(AG239/1000)*9*100/F239&gt;1,"Exceso en grasa trans", "No tiene sello")),"No tiene sello")</f>
        <v>No tiene sello</v>
      </c>
    </row>
    <row r="240" spans="1:39" ht="13.5" customHeight="1" x14ac:dyDescent="0.25">
      <c r="A240" s="20" t="s">
        <v>1186</v>
      </c>
      <c r="B240" s="20" t="s">
        <v>1187</v>
      </c>
      <c r="C240" s="20" t="s">
        <v>1150</v>
      </c>
      <c r="D240" s="46">
        <v>100</v>
      </c>
      <c r="E240" s="23">
        <v>91.9</v>
      </c>
      <c r="F240" s="24">
        <v>34</v>
      </c>
      <c r="G240" s="23">
        <v>143</v>
      </c>
      <c r="H240" s="24">
        <v>0.9</v>
      </c>
      <c r="I240" s="24">
        <v>0.2</v>
      </c>
      <c r="J240" s="24">
        <v>6.9</v>
      </c>
      <c r="K240" s="23">
        <v>6.4</v>
      </c>
      <c r="L240" s="23">
        <v>0.69</v>
      </c>
      <c r="M240" s="24">
        <v>0.5</v>
      </c>
      <c r="N240" s="23">
        <v>0.2</v>
      </c>
      <c r="O240" s="25">
        <v>33</v>
      </c>
      <c r="P240" s="25">
        <v>0.2</v>
      </c>
      <c r="Q240" s="23">
        <v>5</v>
      </c>
      <c r="R240" s="25">
        <v>14</v>
      </c>
      <c r="S240" s="23">
        <v>0.1</v>
      </c>
      <c r="T240" s="23">
        <v>6</v>
      </c>
      <c r="U240" s="23">
        <v>224</v>
      </c>
      <c r="V240" s="23">
        <v>0.02</v>
      </c>
      <c r="W240" s="23">
        <v>0.06</v>
      </c>
      <c r="X240" s="23">
        <v>1</v>
      </c>
      <c r="Y240" s="23">
        <v>0</v>
      </c>
      <c r="Z240" s="23">
        <v>0</v>
      </c>
      <c r="AA240" s="25">
        <v>0</v>
      </c>
      <c r="AB240" s="25">
        <v>12</v>
      </c>
      <c r="AC240" s="25">
        <v>0</v>
      </c>
      <c r="AD240" s="23">
        <v>0</v>
      </c>
      <c r="AE240" s="23">
        <v>0</v>
      </c>
      <c r="AF240" s="23">
        <v>0</v>
      </c>
      <c r="AG240" s="23">
        <v>0</v>
      </c>
      <c r="AH240" s="24">
        <v>0</v>
      </c>
      <c r="AI240" s="23">
        <v>45</v>
      </c>
      <c r="AJ240" s="13" t="str">
        <f xml:space="preserve"> IF(AD240&gt;F240,"Exceso en grasa saturada",IFERROR(IF(F240=0,"No tiene sello",IF((AD240*9)*100/F240&gt;10,"Exceso en grasa saturada","No tiene sello")),"No tiene sello"))</f>
        <v>No tiene sello</v>
      </c>
      <c r="AK240" s="13">
        <f>IF(AJ240="No tiene sello",0,1)</f>
        <v>0</v>
      </c>
      <c r="AL240" s="13" t="str">
        <f>IF(Q240&gt;=300,"Exceso en sodio",IFERROR(IF(AND(F240=0,Q240&gt;0),"No tiene sello",IF(Q240/F240&gt;1,"Exceso en sodio","No tiene sello")),"No tiene sello"))</f>
        <v>No tiene sello</v>
      </c>
      <c r="AM240" s="13" t="str">
        <f>IFERROR(IF(F240=0,"No tiene sello",IF(+(AG240/1000)*9*100/F240&gt;1,"Exceso en grasa trans", "No tiene sello")),"No tiene sello")</f>
        <v>No tiene sello</v>
      </c>
    </row>
    <row r="241" spans="1:39" s="4" customFormat="1" ht="13.5" customHeight="1" x14ac:dyDescent="0.25">
      <c r="A241" s="26" t="s">
        <v>1184</v>
      </c>
      <c r="B241" s="26" t="s">
        <v>1185</v>
      </c>
      <c r="C241" s="26" t="s">
        <v>1150</v>
      </c>
      <c r="D241" s="47">
        <v>100</v>
      </c>
      <c r="E241" s="28">
        <v>90.1</v>
      </c>
      <c r="F241" s="24">
        <v>41</v>
      </c>
      <c r="G241" s="28">
        <v>172</v>
      </c>
      <c r="H241" s="24">
        <v>1.5</v>
      </c>
      <c r="I241" s="24">
        <v>0.2</v>
      </c>
      <c r="J241" s="24">
        <v>7.9</v>
      </c>
      <c r="K241" s="28">
        <v>7.4</v>
      </c>
      <c r="L241" s="28">
        <v>0.79</v>
      </c>
      <c r="M241" s="24">
        <v>0.5</v>
      </c>
      <c r="N241" s="28">
        <v>0.3</v>
      </c>
      <c r="O241" s="25">
        <v>76</v>
      </c>
      <c r="P241" s="25">
        <v>1.7</v>
      </c>
      <c r="Q241" s="28">
        <v>16</v>
      </c>
      <c r="R241" s="25">
        <v>14</v>
      </c>
      <c r="S241" s="28">
        <v>0.1</v>
      </c>
      <c r="T241" s="28">
        <v>6</v>
      </c>
      <c r="U241" s="28">
        <v>198</v>
      </c>
      <c r="V241" s="28">
        <v>0.02</v>
      </c>
      <c r="W241" s="28">
        <v>0.06</v>
      </c>
      <c r="X241" s="28">
        <v>1</v>
      </c>
      <c r="Y241" s="28">
        <v>0</v>
      </c>
      <c r="Z241" s="28">
        <v>0</v>
      </c>
      <c r="AA241" s="25">
        <v>0</v>
      </c>
      <c r="AB241" s="25">
        <v>12</v>
      </c>
      <c r="AC241" s="25">
        <v>0</v>
      </c>
      <c r="AD241" s="28">
        <v>0</v>
      </c>
      <c r="AE241" s="28">
        <v>0</v>
      </c>
      <c r="AF241" s="28">
        <v>0</v>
      </c>
      <c r="AG241" s="28">
        <v>0</v>
      </c>
      <c r="AH241" s="24">
        <v>0</v>
      </c>
      <c r="AI241" s="28">
        <v>45</v>
      </c>
      <c r="AJ241" s="13" t="str">
        <f xml:space="preserve"> IF(AD241&gt;F241,"Exceso en grasa saturada",IFERROR(IF(F241=0,"No tiene sello",IF((AD241*9)*100/F241&gt;10,"Exceso en grasa saturada","No tiene sello")),"No tiene sello"))</f>
        <v>No tiene sello</v>
      </c>
      <c r="AK241" s="13">
        <f>IF(AJ241="No tiene sello",0,1)</f>
        <v>0</v>
      </c>
      <c r="AL241" s="13" t="str">
        <f>IF(Q241&gt;=300,"Exceso en sodio",IFERROR(IF(AND(F241=0,Q241&gt;0),"No tiene sello",IF(Q241/F241&gt;1,"Exceso en sodio","No tiene sello")),"No tiene sello"))</f>
        <v>No tiene sello</v>
      </c>
      <c r="AM241" s="13" t="str">
        <f>IFERROR(IF(F241=0,"No tiene sello",IF(+(AG241/1000)*9*100/F241&gt;1,"Exceso en grasa trans", "No tiene sello")),"No tiene sello")</f>
        <v>No tiene sello</v>
      </c>
    </row>
    <row r="242" spans="1:39" ht="13.5" customHeight="1" x14ac:dyDescent="0.25">
      <c r="A242" s="20" t="s">
        <v>1182</v>
      </c>
      <c r="B242" s="20" t="s">
        <v>1183</v>
      </c>
      <c r="C242" s="20" t="s">
        <v>1150</v>
      </c>
      <c r="D242" s="46">
        <v>100</v>
      </c>
      <c r="E242" s="23">
        <v>87.9</v>
      </c>
      <c r="F242" s="24">
        <v>46</v>
      </c>
      <c r="G242" s="23">
        <v>194</v>
      </c>
      <c r="H242" s="24">
        <v>0.9</v>
      </c>
      <c r="I242" s="24">
        <v>0.2</v>
      </c>
      <c r="J242" s="24">
        <v>10.1</v>
      </c>
      <c r="K242" s="23">
        <v>0</v>
      </c>
      <c r="L242" s="23">
        <v>1.01</v>
      </c>
      <c r="M242" s="24">
        <v>0</v>
      </c>
      <c r="N242" s="23">
        <v>0.9</v>
      </c>
      <c r="O242" s="25">
        <v>10</v>
      </c>
      <c r="P242" s="25">
        <v>0.6</v>
      </c>
      <c r="Q242" s="23">
        <v>0</v>
      </c>
      <c r="R242" s="25">
        <v>22</v>
      </c>
      <c r="S242" s="23">
        <v>0</v>
      </c>
      <c r="T242" s="23">
        <v>0</v>
      </c>
      <c r="U242" s="23">
        <v>0</v>
      </c>
      <c r="V242" s="23">
        <v>0</v>
      </c>
      <c r="W242" s="23">
        <v>0.11</v>
      </c>
      <c r="X242" s="23">
        <v>2.7</v>
      </c>
      <c r="Y242" s="23">
        <v>0</v>
      </c>
      <c r="Z242" s="23">
        <v>0</v>
      </c>
      <c r="AA242" s="25">
        <v>20</v>
      </c>
      <c r="AB242" s="25">
        <v>7</v>
      </c>
      <c r="AC242" s="25">
        <v>0</v>
      </c>
      <c r="AD242" s="23">
        <v>0</v>
      </c>
      <c r="AE242" s="23">
        <v>0</v>
      </c>
      <c r="AF242" s="23">
        <v>0</v>
      </c>
      <c r="AG242" s="23">
        <v>0</v>
      </c>
      <c r="AH242" s="24">
        <v>0</v>
      </c>
      <c r="AI242" s="23">
        <v>20</v>
      </c>
      <c r="AJ242" s="13" t="str">
        <f xml:space="preserve"> IF(AD242&gt;F242,"Exceso en grasa saturada",IFERROR(IF(F242=0,"No tiene sello",IF((AD242*9)*100/F242&gt;10,"Exceso en grasa saturada","No tiene sello")),"No tiene sello"))</f>
        <v>No tiene sello</v>
      </c>
      <c r="AK242" s="13">
        <f>IF(AJ242="No tiene sello",0,1)</f>
        <v>0</v>
      </c>
      <c r="AL242" s="13" t="str">
        <f>IF(Q242&gt;=300,"Exceso en sodio",IFERROR(IF(AND(F242=0,Q242&gt;0),"No tiene sello",IF(Q242/F242&gt;1,"Exceso en sodio","No tiene sello")),"No tiene sello"))</f>
        <v>No tiene sello</v>
      </c>
      <c r="AM242" s="13" t="str">
        <f>IFERROR(IF(F242=0,"No tiene sello",IF(+(AG242/1000)*9*100/F242&gt;1,"Exceso en grasa trans", "No tiene sello")),"No tiene sello")</f>
        <v>No tiene sello</v>
      </c>
    </row>
    <row r="243" spans="1:39" ht="13.5" customHeight="1" x14ac:dyDescent="0.25">
      <c r="A243" s="26" t="s">
        <v>1180</v>
      </c>
      <c r="B243" s="26" t="s">
        <v>1181</v>
      </c>
      <c r="C243" s="26" t="s">
        <v>143</v>
      </c>
      <c r="D243" s="47">
        <v>100</v>
      </c>
      <c r="E243" s="28">
        <v>69.099999999999994</v>
      </c>
      <c r="F243" s="24">
        <v>125</v>
      </c>
      <c r="G243" s="28">
        <v>531</v>
      </c>
      <c r="H243" s="24">
        <v>1.2</v>
      </c>
      <c r="I243" s="24">
        <v>0.1</v>
      </c>
      <c r="J243" s="24">
        <v>28.9</v>
      </c>
      <c r="K243" s="28">
        <v>26.9</v>
      </c>
      <c r="L243" s="28">
        <v>23.12</v>
      </c>
      <c r="M243" s="24">
        <v>2</v>
      </c>
      <c r="N243" s="28">
        <v>0.7</v>
      </c>
      <c r="O243" s="25">
        <v>5</v>
      </c>
      <c r="P243" s="25">
        <v>0.4</v>
      </c>
      <c r="Q243" s="28">
        <v>0</v>
      </c>
      <c r="R243" s="25">
        <v>26</v>
      </c>
      <c r="S243" s="28">
        <v>0.3</v>
      </c>
      <c r="T243" s="28">
        <v>28</v>
      </c>
      <c r="U243" s="28">
        <v>355</v>
      </c>
      <c r="V243" s="28">
        <v>0.04</v>
      </c>
      <c r="W243" s="28">
        <v>0.04</v>
      </c>
      <c r="X243" s="28">
        <v>0.5</v>
      </c>
      <c r="Y243" s="28">
        <v>0</v>
      </c>
      <c r="Z243" s="28">
        <v>0</v>
      </c>
      <c r="AA243" s="25">
        <v>10</v>
      </c>
      <c r="AB243" s="25">
        <v>20</v>
      </c>
      <c r="AC243" s="25">
        <v>0</v>
      </c>
      <c r="AD243" s="28">
        <v>0</v>
      </c>
      <c r="AE243" s="28">
        <v>0</v>
      </c>
      <c r="AF243" s="28">
        <v>0</v>
      </c>
      <c r="AG243" s="28">
        <v>0</v>
      </c>
      <c r="AH243" s="24">
        <v>0</v>
      </c>
      <c r="AI243" s="28">
        <v>80</v>
      </c>
      <c r="AJ243" s="13" t="str">
        <f xml:space="preserve"> IF(AD243&gt;F243,"Exceso en grasa saturada",IFERROR(IF(F243=0,"No tiene sello",IF((AD243*9)*100/F243&gt;10,"Exceso en grasa saturada","No tiene sello")),"No tiene sello"))</f>
        <v>No tiene sello</v>
      </c>
      <c r="AK243" s="13">
        <f>IF(AJ243="No tiene sello",0,1)</f>
        <v>0</v>
      </c>
      <c r="AL243" s="13" t="str">
        <f>IF(Q243&gt;=300,"Exceso en sodio",IFERROR(IF(AND(F243=0,Q243&gt;0),"No tiene sello",IF(Q243/F243&gt;1,"Exceso en sodio","No tiene sello")),"No tiene sello"))</f>
        <v>No tiene sello</v>
      </c>
      <c r="AM243" s="13" t="str">
        <f>IFERROR(IF(F243=0,"No tiene sello",IF(+(AG243/1000)*9*100/F243&gt;1,"Exceso en grasa trans", "No tiene sello")),"No tiene sello")</f>
        <v>No tiene sello</v>
      </c>
    </row>
    <row r="244" spans="1:39" ht="13.5" customHeight="1" x14ac:dyDescent="0.25">
      <c r="A244" s="29" t="s">
        <v>1178</v>
      </c>
      <c r="B244" s="29" t="s">
        <v>1179</v>
      </c>
      <c r="C244" s="29" t="s">
        <v>143</v>
      </c>
      <c r="D244" s="46">
        <v>100</v>
      </c>
      <c r="E244" s="31">
        <v>75.3</v>
      </c>
      <c r="F244" s="24">
        <v>101</v>
      </c>
      <c r="G244" s="31">
        <v>430</v>
      </c>
      <c r="H244" s="24">
        <v>1.5</v>
      </c>
      <c r="I244" s="24">
        <v>0.1</v>
      </c>
      <c r="J244" s="24">
        <v>22.3</v>
      </c>
      <c r="K244" s="31">
        <v>19.600000000000001</v>
      </c>
      <c r="L244" s="31">
        <v>15.61</v>
      </c>
      <c r="M244" s="24">
        <v>2.6</v>
      </c>
      <c r="N244" s="31">
        <v>0.8</v>
      </c>
      <c r="O244" s="31">
        <v>8</v>
      </c>
      <c r="P244" s="31">
        <v>0.9</v>
      </c>
      <c r="Q244" s="31">
        <v>3</v>
      </c>
      <c r="R244" s="31">
        <v>27</v>
      </c>
      <c r="S244" s="31">
        <v>0.2</v>
      </c>
      <c r="T244" s="31">
        <v>29</v>
      </c>
      <c r="U244" s="31">
        <v>328</v>
      </c>
      <c r="V244" s="31">
        <v>0.05</v>
      </c>
      <c r="W244" s="31">
        <v>0.03</v>
      </c>
      <c r="X244" s="31">
        <v>0.6</v>
      </c>
      <c r="Y244" s="31">
        <v>21</v>
      </c>
      <c r="Z244" s="31">
        <v>0</v>
      </c>
      <c r="AA244" s="31">
        <v>19</v>
      </c>
      <c r="AB244" s="31">
        <v>22</v>
      </c>
      <c r="AC244" s="31">
        <v>0</v>
      </c>
      <c r="AD244" s="31">
        <v>0</v>
      </c>
      <c r="AE244" s="31">
        <v>0</v>
      </c>
      <c r="AF244" s="31">
        <v>0</v>
      </c>
      <c r="AG244" s="31">
        <v>0</v>
      </c>
      <c r="AH244" s="31">
        <v>0</v>
      </c>
      <c r="AI244" s="31">
        <v>70</v>
      </c>
      <c r="AJ244" s="13" t="str">
        <f xml:space="preserve"> IF(AD244&gt;F244,"Exceso en grasa saturada",IFERROR(IF(F244=0,"No tiene sello",IF((AD244*9)*100/F244&gt;10,"Exceso en grasa saturada","No tiene sello")),"No tiene sello"))</f>
        <v>No tiene sello</v>
      </c>
      <c r="AK244" s="13">
        <f>IF(AJ244="No tiene sello",0,1)</f>
        <v>0</v>
      </c>
      <c r="AL244" s="13" t="str">
        <f>IF(Q244&gt;=300,"Exceso en sodio",IFERROR(IF(AND(F244=0,Q244&gt;0),"No tiene sello",IF(Q244/F244&gt;1,"Exceso en sodio","No tiene sello")),"No tiene sello"))</f>
        <v>No tiene sello</v>
      </c>
      <c r="AM244" s="13" t="str">
        <f>IFERROR(IF(F244=0,"No tiene sello",IF(+(AG244/1000)*9*100/F244&gt;1,"Exceso en grasa trans", "No tiene sello")),"No tiene sello")</f>
        <v>No tiene sello</v>
      </c>
    </row>
    <row r="245" spans="1:39" s="4" customFormat="1" ht="13.5" customHeight="1" x14ac:dyDescent="0.25">
      <c r="A245" s="26" t="s">
        <v>1176</v>
      </c>
      <c r="B245" s="26" t="s">
        <v>1177</v>
      </c>
      <c r="C245" s="26" t="s">
        <v>143</v>
      </c>
      <c r="D245" s="47">
        <v>100</v>
      </c>
      <c r="E245" s="28">
        <v>69.599999999999994</v>
      </c>
      <c r="F245" s="24">
        <v>124</v>
      </c>
      <c r="G245" s="28">
        <v>526</v>
      </c>
      <c r="H245" s="24">
        <v>1.2</v>
      </c>
      <c r="I245" s="24">
        <v>0.2</v>
      </c>
      <c r="J245" s="24">
        <v>28.1</v>
      </c>
      <c r="K245" s="28">
        <v>25.5</v>
      </c>
      <c r="L245" s="28">
        <v>19.670000000000002</v>
      </c>
      <c r="M245" s="24">
        <v>2.6</v>
      </c>
      <c r="N245" s="28">
        <v>0.9</v>
      </c>
      <c r="O245" s="25">
        <v>6</v>
      </c>
      <c r="P245" s="25">
        <v>0.4</v>
      </c>
      <c r="Q245" s="28">
        <v>1</v>
      </c>
      <c r="R245" s="25">
        <v>29</v>
      </c>
      <c r="S245" s="28">
        <v>0.2</v>
      </c>
      <c r="T245" s="28">
        <v>24</v>
      </c>
      <c r="U245" s="28">
        <v>342</v>
      </c>
      <c r="V245" s="28">
        <v>0.05</v>
      </c>
      <c r="W245" s="28">
        <v>0.03</v>
      </c>
      <c r="X245" s="28">
        <v>0.5</v>
      </c>
      <c r="Y245" s="28">
        <v>0</v>
      </c>
      <c r="Z245" s="28">
        <v>0</v>
      </c>
      <c r="AA245" s="25">
        <v>15</v>
      </c>
      <c r="AB245" s="25">
        <v>14</v>
      </c>
      <c r="AC245" s="25">
        <v>0</v>
      </c>
      <c r="AD245" s="28">
        <v>0</v>
      </c>
      <c r="AE245" s="28">
        <v>0</v>
      </c>
      <c r="AF245" s="28">
        <v>0</v>
      </c>
      <c r="AG245" s="28">
        <v>0</v>
      </c>
      <c r="AH245" s="24">
        <v>0</v>
      </c>
      <c r="AI245" s="28">
        <v>80</v>
      </c>
      <c r="AJ245" s="13" t="str">
        <f xml:space="preserve"> IF(AD245&gt;F245,"Exceso en grasa saturada",IFERROR(IF(F245=0,"No tiene sello",IF((AD245*9)*100/F245&gt;10,"Exceso en grasa saturada","No tiene sello")),"No tiene sello"))</f>
        <v>No tiene sello</v>
      </c>
      <c r="AK245" s="13">
        <f>IF(AJ245="No tiene sello",0,1)</f>
        <v>0</v>
      </c>
      <c r="AL245" s="13" t="str">
        <f>IF(Q245&gt;=300,"Exceso en sodio",IFERROR(IF(AND(F245=0,Q245&gt;0),"No tiene sello",IF(Q245/F245&gt;1,"Exceso en sodio","No tiene sello")),"No tiene sello"))</f>
        <v>No tiene sello</v>
      </c>
      <c r="AM245" s="13" t="str">
        <f>IFERROR(IF(F245=0,"No tiene sello",IF(+(AG245/1000)*9*100/F245&gt;1,"Exceso en grasa trans", "No tiene sello")),"No tiene sello")</f>
        <v>No tiene sello</v>
      </c>
    </row>
    <row r="246" spans="1:39" ht="13.5" customHeight="1" x14ac:dyDescent="0.25">
      <c r="A246" s="20" t="s">
        <v>1174</v>
      </c>
      <c r="B246" s="20" t="s">
        <v>1175</v>
      </c>
      <c r="C246" s="20" t="s">
        <v>1150</v>
      </c>
      <c r="D246" s="22">
        <v>100</v>
      </c>
      <c r="E246" s="23">
        <v>89</v>
      </c>
      <c r="F246" s="24">
        <v>48</v>
      </c>
      <c r="G246" s="23">
        <v>201</v>
      </c>
      <c r="H246" s="24">
        <v>0.9</v>
      </c>
      <c r="I246" s="24">
        <v>0.2</v>
      </c>
      <c r="J246" s="24">
        <v>9.1999999999999993</v>
      </c>
      <c r="K246" s="23">
        <v>6.4</v>
      </c>
      <c r="L246" s="23">
        <v>0.92</v>
      </c>
      <c r="M246" s="24">
        <v>2.8</v>
      </c>
      <c r="N246" s="23">
        <v>0.7</v>
      </c>
      <c r="O246" s="25">
        <v>25</v>
      </c>
      <c r="P246" s="25">
        <v>0.4</v>
      </c>
      <c r="Q246" s="23">
        <v>2</v>
      </c>
      <c r="R246" s="25">
        <v>24</v>
      </c>
      <c r="S246" s="23">
        <v>0.2</v>
      </c>
      <c r="T246" s="23">
        <v>16</v>
      </c>
      <c r="U246" s="23">
        <v>232</v>
      </c>
      <c r="V246" s="23">
        <v>0.04</v>
      </c>
      <c r="W246" s="23">
        <v>0.03</v>
      </c>
      <c r="X246" s="23">
        <v>0.3</v>
      </c>
      <c r="Y246" s="23">
        <v>6</v>
      </c>
      <c r="Z246" s="23">
        <v>0</v>
      </c>
      <c r="AA246" s="25">
        <v>5</v>
      </c>
      <c r="AB246" s="25">
        <v>8</v>
      </c>
      <c r="AC246" s="25">
        <v>0</v>
      </c>
      <c r="AD246" s="23">
        <v>0</v>
      </c>
      <c r="AE246" s="23">
        <v>0</v>
      </c>
      <c r="AF246" s="23">
        <v>0</v>
      </c>
      <c r="AG246" s="23">
        <v>0</v>
      </c>
      <c r="AH246" s="24">
        <v>0</v>
      </c>
      <c r="AI246" s="23">
        <v>100</v>
      </c>
      <c r="AJ246" s="13" t="str">
        <f xml:space="preserve"> IF(AD246&gt;F246,"Exceso en grasa saturada",IFERROR(IF(F246=0,"No tiene sello",IF((AD246*9)*100/F246&gt;10,"Exceso en grasa saturada","No tiene sello")),"No tiene sello"))</f>
        <v>No tiene sello</v>
      </c>
      <c r="AK246" s="13">
        <f>IF(AJ246="No tiene sello",0,1)</f>
        <v>0</v>
      </c>
      <c r="AL246" s="13" t="str">
        <f>IF(Q246&gt;=300,"Exceso en sodio",IFERROR(IF(AND(F246=0,Q246&gt;0),"No tiene sello",IF(Q246/F246&gt;1,"Exceso en sodio","No tiene sello")),"No tiene sello"))</f>
        <v>No tiene sello</v>
      </c>
      <c r="AM246" s="13" t="str">
        <f>IFERROR(IF(F246=0,"No tiene sello",IF(+(AG246/1000)*9*100/F246&gt;1,"Exceso en grasa trans", "No tiene sello")),"No tiene sello")</f>
        <v>No tiene sello</v>
      </c>
    </row>
    <row r="247" spans="1:39" ht="13.5" customHeight="1" x14ac:dyDescent="0.25">
      <c r="A247" s="26" t="s">
        <v>1172</v>
      </c>
      <c r="B247" s="26" t="s">
        <v>1173</v>
      </c>
      <c r="C247" s="26" t="s">
        <v>1150</v>
      </c>
      <c r="D247" s="16">
        <v>100</v>
      </c>
      <c r="E247" s="28">
        <v>86.1</v>
      </c>
      <c r="F247" s="24">
        <v>59</v>
      </c>
      <c r="G247" s="28">
        <v>251</v>
      </c>
      <c r="H247" s="24">
        <v>1.7</v>
      </c>
      <c r="I247" s="24">
        <v>0.3</v>
      </c>
      <c r="J247" s="24">
        <v>11.1</v>
      </c>
      <c r="K247" s="28">
        <v>8.3000000000000007</v>
      </c>
      <c r="L247" s="28">
        <v>1.1100000000000001</v>
      </c>
      <c r="M247" s="24">
        <v>2.8</v>
      </c>
      <c r="N247" s="28">
        <v>0.8</v>
      </c>
      <c r="O247" s="25">
        <v>68</v>
      </c>
      <c r="P247" s="25">
        <v>0.5</v>
      </c>
      <c r="Q247" s="28">
        <v>2</v>
      </c>
      <c r="R247" s="25">
        <v>34</v>
      </c>
      <c r="S247" s="28">
        <v>0.2</v>
      </c>
      <c r="T247" s="28">
        <v>16</v>
      </c>
      <c r="U247" s="28">
        <v>232</v>
      </c>
      <c r="V247" s="28">
        <v>0.05</v>
      </c>
      <c r="W247" s="28">
        <v>0.06</v>
      </c>
      <c r="X247" s="28">
        <v>0.3</v>
      </c>
      <c r="Y247" s="28">
        <v>6</v>
      </c>
      <c r="Z247" s="28">
        <v>0</v>
      </c>
      <c r="AA247" s="25">
        <v>18</v>
      </c>
      <c r="AB247" s="25">
        <v>2</v>
      </c>
      <c r="AC247" s="25">
        <v>0</v>
      </c>
      <c r="AD247" s="28">
        <v>0</v>
      </c>
      <c r="AE247" s="28">
        <v>0</v>
      </c>
      <c r="AF247" s="28">
        <v>0</v>
      </c>
      <c r="AG247" s="28">
        <v>0</v>
      </c>
      <c r="AH247" s="24">
        <v>0</v>
      </c>
      <c r="AI247" s="28">
        <v>100</v>
      </c>
      <c r="AJ247" s="13" t="str">
        <f xml:space="preserve"> IF(AD247&gt;F247,"Exceso en grasa saturada",IFERROR(IF(F247=0,"No tiene sello",IF((AD247*9)*100/F247&gt;10,"Exceso en grasa saturada","No tiene sello")),"No tiene sello"))</f>
        <v>No tiene sello</v>
      </c>
      <c r="AK247" s="13">
        <f>IF(AJ247="No tiene sello",0,1)</f>
        <v>0</v>
      </c>
      <c r="AL247" s="13" t="str">
        <f>IF(Q247&gt;=300,"Exceso en sodio",IFERROR(IF(AND(F247=0,Q247&gt;0),"No tiene sello",IF(Q247/F247&gt;1,"Exceso en sodio","No tiene sello")),"No tiene sello"))</f>
        <v>No tiene sello</v>
      </c>
      <c r="AM247" s="13" t="str">
        <f>IFERROR(IF(F247=0,"No tiene sello",IF(+(AG247/1000)*9*100/F247&gt;1,"Exceso en grasa trans", "No tiene sello")),"No tiene sello")</f>
        <v>No tiene sello</v>
      </c>
    </row>
    <row r="248" spans="1:39" s="4" customFormat="1" ht="13.5" customHeight="1" x14ac:dyDescent="0.25">
      <c r="A248" s="20" t="s">
        <v>1170</v>
      </c>
      <c r="B248" s="20" t="s">
        <v>1171</v>
      </c>
      <c r="C248" s="20" t="s">
        <v>1150</v>
      </c>
      <c r="D248" s="22">
        <v>100</v>
      </c>
      <c r="E248" s="23">
        <v>74.099999999999994</v>
      </c>
      <c r="F248" s="24">
        <v>104</v>
      </c>
      <c r="G248" s="23">
        <v>442</v>
      </c>
      <c r="H248" s="24">
        <v>1.2</v>
      </c>
      <c r="I248" s="24">
        <v>0.1</v>
      </c>
      <c r="J248" s="24">
        <v>23.7</v>
      </c>
      <c r="K248" s="23">
        <v>21.9</v>
      </c>
      <c r="L248" s="23">
        <v>2.37</v>
      </c>
      <c r="M248" s="24">
        <v>1.8</v>
      </c>
      <c r="N248" s="23">
        <v>0.9</v>
      </c>
      <c r="O248" s="25">
        <v>40</v>
      </c>
      <c r="P248" s="25">
        <v>1</v>
      </c>
      <c r="Q248" s="23">
        <v>1</v>
      </c>
      <c r="R248" s="25">
        <v>30</v>
      </c>
      <c r="S248" s="23">
        <v>0.1</v>
      </c>
      <c r="T248" s="23">
        <v>11</v>
      </c>
      <c r="U248" s="23">
        <v>236</v>
      </c>
      <c r="V248" s="23">
        <v>0.04</v>
      </c>
      <c r="W248" s="23">
        <v>0.04</v>
      </c>
      <c r="X248" s="23">
        <v>1.5</v>
      </c>
      <c r="Y248" s="23">
        <v>6</v>
      </c>
      <c r="Z248" s="23">
        <v>0</v>
      </c>
      <c r="AA248" s="25">
        <v>30</v>
      </c>
      <c r="AB248" s="25">
        <v>20</v>
      </c>
      <c r="AC248" s="25">
        <v>0</v>
      </c>
      <c r="AD248" s="23">
        <v>0</v>
      </c>
      <c r="AE248" s="23">
        <v>0</v>
      </c>
      <c r="AF248" s="23">
        <v>0</v>
      </c>
      <c r="AG248" s="23">
        <v>0</v>
      </c>
      <c r="AH248" s="24">
        <v>0</v>
      </c>
      <c r="AI248" s="23">
        <v>50</v>
      </c>
      <c r="AJ248" s="13" t="str">
        <f xml:space="preserve"> IF(AD248&gt;F248,"Exceso en grasa saturada",IFERROR(IF(F248=0,"No tiene sello",IF((AD248*9)*100/F248&gt;10,"Exceso en grasa saturada","No tiene sello")),"No tiene sello"))</f>
        <v>No tiene sello</v>
      </c>
      <c r="AK248" s="13">
        <f>IF(AJ248="No tiene sello",0,1)</f>
        <v>0</v>
      </c>
      <c r="AL248" s="13" t="str">
        <f>IF(Q248&gt;=300,"Exceso en sodio",IFERROR(IF(AND(F248=0,Q248&gt;0),"No tiene sello",IF(Q248/F248&gt;1,"Exceso en sodio","No tiene sello")),"No tiene sello"))</f>
        <v>No tiene sello</v>
      </c>
      <c r="AM248" s="13" t="str">
        <f>IFERROR(IF(F248=0,"No tiene sello",IF(+(AG248/1000)*9*100/F248&gt;1,"Exceso en grasa trans", "No tiene sello")),"No tiene sello")</f>
        <v>No tiene sello</v>
      </c>
    </row>
    <row r="249" spans="1:39" ht="13.5" customHeight="1" x14ac:dyDescent="0.25">
      <c r="A249" s="26" t="s">
        <v>1168</v>
      </c>
      <c r="B249" s="26" t="s">
        <v>1169</v>
      </c>
      <c r="C249" s="26" t="s">
        <v>1150</v>
      </c>
      <c r="D249" s="16">
        <v>100</v>
      </c>
      <c r="E249" s="28">
        <v>76.7</v>
      </c>
      <c r="F249" s="24">
        <v>95</v>
      </c>
      <c r="G249" s="28">
        <v>403</v>
      </c>
      <c r="H249" s="24">
        <v>1.5</v>
      </c>
      <c r="I249" s="24">
        <v>0.5</v>
      </c>
      <c r="J249" s="24">
        <v>20.2</v>
      </c>
      <c r="K249" s="28">
        <v>18</v>
      </c>
      <c r="L249" s="28">
        <v>2.02</v>
      </c>
      <c r="M249" s="24">
        <v>2.2000000000000002</v>
      </c>
      <c r="N249" s="28">
        <v>1.1000000000000001</v>
      </c>
      <c r="O249" s="25">
        <v>7</v>
      </c>
      <c r="P249" s="25">
        <v>0.5</v>
      </c>
      <c r="Q249" s="28">
        <v>0</v>
      </c>
      <c r="R249" s="25">
        <v>36</v>
      </c>
      <c r="S249" s="28">
        <v>0.2</v>
      </c>
      <c r="T249" s="28">
        <v>5</v>
      </c>
      <c r="U249" s="28">
        <v>31</v>
      </c>
      <c r="V249" s="28">
        <v>0.1</v>
      </c>
      <c r="W249" s="28">
        <v>0.01</v>
      </c>
      <c r="X249" s="28">
        <v>0.9</v>
      </c>
      <c r="Y249" s="28">
        <v>18</v>
      </c>
      <c r="Z249" s="28">
        <v>0</v>
      </c>
      <c r="AA249" s="25">
        <v>5</v>
      </c>
      <c r="AB249" s="25">
        <v>5</v>
      </c>
      <c r="AC249" s="25">
        <v>0</v>
      </c>
      <c r="AD249" s="28">
        <v>0</v>
      </c>
      <c r="AE249" s="28">
        <v>0</v>
      </c>
      <c r="AF249" s="28">
        <v>0</v>
      </c>
      <c r="AG249" s="28">
        <v>0</v>
      </c>
      <c r="AH249" s="24">
        <v>0</v>
      </c>
      <c r="AI249" s="28">
        <v>51</v>
      </c>
      <c r="AJ249" s="13" t="str">
        <f xml:space="preserve"> IF(AD249&gt;F249,"Exceso en grasa saturada",IFERROR(IF(F249=0,"No tiene sello",IF((AD249*9)*100/F249&gt;10,"Exceso en grasa saturada","No tiene sello")),"No tiene sello"))</f>
        <v>No tiene sello</v>
      </c>
      <c r="AK249" s="13">
        <f>IF(AJ249="No tiene sello",0,1)</f>
        <v>0</v>
      </c>
      <c r="AL249" s="13" t="str">
        <f>IF(Q249&gt;=300,"Exceso en sodio",IFERROR(IF(AND(F249=0,Q249&gt;0),"No tiene sello",IF(Q249/F249&gt;1,"Exceso en sodio","No tiene sello")),"No tiene sello"))</f>
        <v>No tiene sello</v>
      </c>
      <c r="AM249" s="13" t="str">
        <f>IFERROR(IF(F249=0,"No tiene sello",IF(+(AG249/1000)*9*100/F249&gt;1,"Exceso en grasa trans", "No tiene sello")),"No tiene sello")</f>
        <v>No tiene sello</v>
      </c>
    </row>
    <row r="250" spans="1:39" ht="13.5" customHeight="1" x14ac:dyDescent="0.25">
      <c r="A250" s="20" t="s">
        <v>1166</v>
      </c>
      <c r="B250" s="20" t="s">
        <v>1167</v>
      </c>
      <c r="C250" s="20" t="s">
        <v>1150</v>
      </c>
      <c r="D250" s="22">
        <v>100</v>
      </c>
      <c r="E250" s="23">
        <v>48.2</v>
      </c>
      <c r="F250" s="24">
        <v>358</v>
      </c>
      <c r="G250" s="23">
        <v>1482</v>
      </c>
      <c r="H250" s="24">
        <v>6.3</v>
      </c>
      <c r="I250" s="24">
        <v>25.7</v>
      </c>
      <c r="J250" s="24">
        <v>19</v>
      </c>
      <c r="K250" s="23">
        <v>6.3</v>
      </c>
      <c r="L250" s="23">
        <v>1.9</v>
      </c>
      <c r="M250" s="24">
        <v>12.7</v>
      </c>
      <c r="N250" s="23">
        <v>0.8</v>
      </c>
      <c r="O250" s="25">
        <v>81</v>
      </c>
      <c r="P250" s="25">
        <v>7</v>
      </c>
      <c r="Q250" s="23">
        <v>22</v>
      </c>
      <c r="R250" s="25">
        <v>359</v>
      </c>
      <c r="S250" s="23">
        <v>0.9</v>
      </c>
      <c r="T250" s="23">
        <v>100</v>
      </c>
      <c r="U250" s="23">
        <v>620</v>
      </c>
      <c r="V250" s="23">
        <v>0.04</v>
      </c>
      <c r="W250" s="23">
        <v>0.28000000000000003</v>
      </c>
      <c r="X250" s="23">
        <v>1.4</v>
      </c>
      <c r="Y250" s="23">
        <v>0</v>
      </c>
      <c r="Z250" s="23">
        <v>0</v>
      </c>
      <c r="AA250" s="25">
        <v>18</v>
      </c>
      <c r="AB250" s="25">
        <v>0</v>
      </c>
      <c r="AC250" s="25">
        <v>0</v>
      </c>
      <c r="AD250" s="23">
        <v>0</v>
      </c>
      <c r="AE250" s="23">
        <v>0</v>
      </c>
      <c r="AF250" s="23">
        <v>0</v>
      </c>
      <c r="AG250" s="23">
        <v>0</v>
      </c>
      <c r="AH250" s="24">
        <v>0</v>
      </c>
      <c r="AI250" s="23">
        <v>77</v>
      </c>
      <c r="AJ250" s="13" t="str">
        <f xml:space="preserve"> IF(AD250&gt;F250,"Exceso en grasa saturada",IFERROR(IF(F250=0,"No tiene sello",IF((AD250*9)*100/F250&gt;10,"Exceso en grasa saturada","No tiene sello")),"No tiene sello"))</f>
        <v>No tiene sello</v>
      </c>
      <c r="AK250" s="13">
        <f>IF(AJ250="No tiene sello",0,1)</f>
        <v>0</v>
      </c>
      <c r="AL250" s="13" t="str">
        <f>IF(Q250&gt;=300,"Exceso en sodio",IFERROR(IF(AND(F250=0,Q250&gt;0),"No tiene sello",IF(Q250/F250&gt;1,"Exceso en sodio","No tiene sello")),"No tiene sello"))</f>
        <v>No tiene sello</v>
      </c>
      <c r="AM250" s="13" t="str">
        <f>IFERROR(IF(F250=0,"No tiene sello",IF(+(AG250/1000)*9*100/F250&gt;1,"Exceso en grasa trans", "No tiene sello")),"No tiene sello")</f>
        <v>No tiene sello</v>
      </c>
    </row>
    <row r="251" spans="1:39" ht="13.5" customHeight="1" x14ac:dyDescent="0.25">
      <c r="A251" s="26" t="s">
        <v>1164</v>
      </c>
      <c r="B251" s="26" t="s">
        <v>1165</v>
      </c>
      <c r="C251" s="26" t="s">
        <v>1150</v>
      </c>
      <c r="D251" s="16">
        <v>100</v>
      </c>
      <c r="E251" s="28">
        <v>87.8</v>
      </c>
      <c r="F251" s="24">
        <v>53</v>
      </c>
      <c r="G251" s="28">
        <v>222</v>
      </c>
      <c r="H251" s="24">
        <v>0.6</v>
      </c>
      <c r="I251" s="24">
        <v>0.1</v>
      </c>
      <c r="J251" s="24">
        <v>11.1</v>
      </c>
      <c r="K251" s="28">
        <v>8.6999999999999993</v>
      </c>
      <c r="L251" s="28">
        <v>1.1100000000000001</v>
      </c>
      <c r="M251" s="24">
        <v>2.4</v>
      </c>
      <c r="N251" s="28">
        <v>0.4</v>
      </c>
      <c r="O251" s="25">
        <v>17</v>
      </c>
      <c r="P251" s="25">
        <v>0.4</v>
      </c>
      <c r="Q251" s="28">
        <v>2</v>
      </c>
      <c r="R251" s="25">
        <v>24</v>
      </c>
      <c r="S251" s="28">
        <v>0.1</v>
      </c>
      <c r="T251" s="28">
        <v>5</v>
      </c>
      <c r="U251" s="28">
        <v>134</v>
      </c>
      <c r="V251" s="28">
        <v>0.06</v>
      </c>
      <c r="W251" s="28">
        <v>0.02</v>
      </c>
      <c r="X251" s="28">
        <v>0.4</v>
      </c>
      <c r="Y251" s="28">
        <v>3</v>
      </c>
      <c r="Z251" s="28">
        <v>0</v>
      </c>
      <c r="AA251" s="25">
        <v>8</v>
      </c>
      <c r="AB251" s="25">
        <v>2</v>
      </c>
      <c r="AC251" s="25">
        <v>0</v>
      </c>
      <c r="AD251" s="28">
        <v>0</v>
      </c>
      <c r="AE251" s="28">
        <v>0</v>
      </c>
      <c r="AF251" s="28">
        <v>0</v>
      </c>
      <c r="AG251" s="28">
        <v>0</v>
      </c>
      <c r="AH251" s="24">
        <v>0</v>
      </c>
      <c r="AI251" s="28">
        <v>95</v>
      </c>
      <c r="AJ251" s="13" t="str">
        <f xml:space="preserve"> IF(AD251&gt;F251,"Exceso en grasa saturada",IFERROR(IF(F251=0,"No tiene sello",IF((AD251*9)*100/F251&gt;10,"Exceso en grasa saturada","No tiene sello")),"No tiene sello"))</f>
        <v>No tiene sello</v>
      </c>
      <c r="AK251" s="13">
        <f>IF(AJ251="No tiene sello",0,1)</f>
        <v>0</v>
      </c>
      <c r="AL251" s="13" t="str">
        <f>IF(Q251&gt;=300,"Exceso en sodio",IFERROR(IF(AND(F251=0,Q251&gt;0),"No tiene sello",IF(Q251/F251&gt;1,"Exceso en sodio","No tiene sello")),"No tiene sello"))</f>
        <v>No tiene sello</v>
      </c>
      <c r="AM251" s="13" t="str">
        <f>IFERROR(IF(F251=0,"No tiene sello",IF(+(AG251/1000)*9*100/F251&gt;1,"Exceso en grasa trans", "No tiene sello")),"No tiene sello")</f>
        <v>No tiene sello</v>
      </c>
    </row>
    <row r="252" spans="1:39" ht="13.5" customHeight="1" x14ac:dyDescent="0.25">
      <c r="A252" s="20" t="s">
        <v>1162</v>
      </c>
      <c r="B252" s="20" t="s">
        <v>1163</v>
      </c>
      <c r="C252" s="20" t="s">
        <v>1150</v>
      </c>
      <c r="D252" s="22">
        <v>100</v>
      </c>
      <c r="E252" s="23">
        <v>88</v>
      </c>
      <c r="F252" s="24">
        <v>47</v>
      </c>
      <c r="G252" s="23">
        <v>199</v>
      </c>
      <c r="H252" s="24">
        <v>0.6</v>
      </c>
      <c r="I252" s="24">
        <v>0.1</v>
      </c>
      <c r="J252" s="24">
        <v>10.9</v>
      </c>
      <c r="K252" s="23">
        <v>0</v>
      </c>
      <c r="L252" s="23">
        <v>1.0900000000000001</v>
      </c>
      <c r="M252" s="24">
        <v>0</v>
      </c>
      <c r="N252" s="23">
        <v>0.4</v>
      </c>
      <c r="O252" s="25">
        <v>66</v>
      </c>
      <c r="P252" s="25">
        <v>0.3</v>
      </c>
      <c r="Q252" s="23">
        <v>0</v>
      </c>
      <c r="R252" s="25">
        <v>17</v>
      </c>
      <c r="S252" s="23">
        <v>0</v>
      </c>
      <c r="T252" s="23">
        <v>0</v>
      </c>
      <c r="U252" s="23">
        <v>0</v>
      </c>
      <c r="V252" s="23">
        <v>0.04</v>
      </c>
      <c r="W252" s="23">
        <v>0.04</v>
      </c>
      <c r="X252" s="23">
        <v>0.2</v>
      </c>
      <c r="Y252" s="23">
        <v>0</v>
      </c>
      <c r="Z252" s="23">
        <v>0</v>
      </c>
      <c r="AA252" s="25">
        <v>24</v>
      </c>
      <c r="AB252" s="25">
        <v>0</v>
      </c>
      <c r="AC252" s="25">
        <v>0</v>
      </c>
      <c r="AD252" s="23">
        <v>0</v>
      </c>
      <c r="AE252" s="23">
        <v>0</v>
      </c>
      <c r="AF252" s="23">
        <v>0</v>
      </c>
      <c r="AG252" s="23">
        <v>0</v>
      </c>
      <c r="AH252" s="24">
        <v>0</v>
      </c>
      <c r="AI252" s="23">
        <v>41</v>
      </c>
      <c r="AJ252" s="13" t="str">
        <f xml:space="preserve"> IF(AD252&gt;F252,"Exceso en grasa saturada",IFERROR(IF(F252=0,"No tiene sello",IF((AD252*9)*100/F252&gt;10,"Exceso en grasa saturada","No tiene sello")),"No tiene sello"))</f>
        <v>No tiene sello</v>
      </c>
      <c r="AK252" s="13">
        <f>IF(AJ252="No tiene sello",0,1)</f>
        <v>0</v>
      </c>
      <c r="AL252" s="13" t="str">
        <f>IF(Q252&gt;=300,"Exceso en sodio",IFERROR(IF(AND(F252=0,Q252&gt;0),"No tiene sello",IF(Q252/F252&gt;1,"Exceso en sodio","No tiene sello")),"No tiene sello"))</f>
        <v>No tiene sello</v>
      </c>
      <c r="AM252" s="13" t="str">
        <f>IFERROR(IF(F252=0,"No tiene sello",IF(+(AG252/1000)*9*100/F252&gt;1,"Exceso en grasa trans", "No tiene sello")),"No tiene sello")</f>
        <v>No tiene sello</v>
      </c>
    </row>
    <row r="253" spans="1:39" ht="13.5" customHeight="1" x14ac:dyDescent="0.25">
      <c r="A253" s="26" t="s">
        <v>1160</v>
      </c>
      <c r="B253" s="26" t="s">
        <v>1161</v>
      </c>
      <c r="C253" s="26" t="s">
        <v>143</v>
      </c>
      <c r="D253" s="16">
        <v>100</v>
      </c>
      <c r="E253" s="28">
        <v>47.3</v>
      </c>
      <c r="F253" s="24">
        <v>402</v>
      </c>
      <c r="G253" s="28">
        <v>1660</v>
      </c>
      <c r="H253" s="24">
        <v>3.6</v>
      </c>
      <c r="I253" s="24">
        <v>35.5</v>
      </c>
      <c r="J253" s="24">
        <v>12.6</v>
      </c>
      <c r="K253" s="28">
        <v>3.6</v>
      </c>
      <c r="L253" s="28">
        <v>1.26</v>
      </c>
      <c r="M253" s="24">
        <v>9</v>
      </c>
      <c r="N253" s="28">
        <v>1.1000000000000001</v>
      </c>
      <c r="O253" s="25">
        <v>7</v>
      </c>
      <c r="P253" s="25">
        <v>1.3</v>
      </c>
      <c r="Q253" s="28">
        <v>18</v>
      </c>
      <c r="R253" s="25">
        <v>80</v>
      </c>
      <c r="S253" s="28">
        <v>0.8</v>
      </c>
      <c r="T253" s="28">
        <v>40</v>
      </c>
      <c r="U253" s="28">
        <v>359</v>
      </c>
      <c r="V253" s="28">
        <v>0.05</v>
      </c>
      <c r="W253" s="28">
        <v>0.02</v>
      </c>
      <c r="X253" s="28">
        <v>0.5</v>
      </c>
      <c r="Y253" s="28">
        <v>26</v>
      </c>
      <c r="Z253" s="28">
        <v>0</v>
      </c>
      <c r="AA253" s="25">
        <v>5</v>
      </c>
      <c r="AB253" s="25">
        <v>0</v>
      </c>
      <c r="AC253" s="25">
        <v>0</v>
      </c>
      <c r="AD253" s="28">
        <v>0</v>
      </c>
      <c r="AE253" s="28">
        <v>0</v>
      </c>
      <c r="AF253" s="28">
        <v>0</v>
      </c>
      <c r="AG253" s="28">
        <v>0</v>
      </c>
      <c r="AH253" s="24">
        <v>0</v>
      </c>
      <c r="AI253" s="28">
        <v>45</v>
      </c>
      <c r="AJ253" s="13" t="str">
        <f xml:space="preserve"> IF(AD253&gt;F253,"Exceso en grasa saturada",IFERROR(IF(F253=0,"No tiene sello",IF((AD253*9)*100/F253&gt;10,"Exceso en grasa saturada","No tiene sello")),"No tiene sello"))</f>
        <v>No tiene sello</v>
      </c>
      <c r="AK253" s="13">
        <f>IF(AJ253="No tiene sello",0,1)</f>
        <v>0</v>
      </c>
      <c r="AL253" s="13" t="str">
        <f>IF(Q253&gt;=300,"Exceso en sodio",IFERROR(IF(AND(F253=0,Q253&gt;0),"No tiene sello",IF(Q253/F253&gt;1,"Exceso en sodio","No tiene sello")),"No tiene sello"))</f>
        <v>No tiene sello</v>
      </c>
      <c r="AM253" s="13" t="str">
        <f>IFERROR(IF(F253=0,"No tiene sello",IF(+(AG253/1000)*9*100/F253&gt;1,"Exceso en grasa trans", "No tiene sello")),"No tiene sello")</f>
        <v>No tiene sello</v>
      </c>
    </row>
    <row r="254" spans="1:39" ht="13.5" customHeight="1" x14ac:dyDescent="0.25">
      <c r="A254" s="20" t="s">
        <v>1158</v>
      </c>
      <c r="B254" s="32" t="s">
        <v>1159</v>
      </c>
      <c r="C254" s="20" t="s">
        <v>143</v>
      </c>
      <c r="D254" s="22">
        <v>100</v>
      </c>
      <c r="E254" s="23">
        <v>3</v>
      </c>
      <c r="F254" s="24">
        <v>593</v>
      </c>
      <c r="G254" s="23">
        <v>2467</v>
      </c>
      <c r="H254" s="24">
        <v>3.8</v>
      </c>
      <c r="I254" s="24">
        <v>35.1</v>
      </c>
      <c r="J254" s="24">
        <v>56.9</v>
      </c>
      <c r="K254" s="23">
        <v>39.9</v>
      </c>
      <c r="L254" s="23">
        <v>5.69</v>
      </c>
      <c r="M254" s="24">
        <v>17</v>
      </c>
      <c r="N254" s="23">
        <v>1.2</v>
      </c>
      <c r="O254" s="25">
        <v>80</v>
      </c>
      <c r="P254" s="25">
        <v>434.4</v>
      </c>
      <c r="Q254" s="23">
        <v>66</v>
      </c>
      <c r="R254" s="25">
        <v>206</v>
      </c>
      <c r="S254" s="23">
        <v>2</v>
      </c>
      <c r="T254" s="23">
        <v>90</v>
      </c>
      <c r="U254" s="23">
        <v>1165</v>
      </c>
      <c r="V254" s="23">
        <v>0.03</v>
      </c>
      <c r="W254" s="23">
        <v>0.02</v>
      </c>
      <c r="X254" s="23">
        <v>0.3</v>
      </c>
      <c r="Y254" s="23">
        <v>9</v>
      </c>
      <c r="Z254" s="23">
        <v>0</v>
      </c>
      <c r="AA254" s="25">
        <v>2</v>
      </c>
      <c r="AB254" s="25">
        <v>0</v>
      </c>
      <c r="AC254" s="25">
        <v>0</v>
      </c>
      <c r="AD254" s="23">
        <v>0</v>
      </c>
      <c r="AE254" s="23">
        <v>0</v>
      </c>
      <c r="AF254" s="23">
        <v>0</v>
      </c>
      <c r="AG254" s="23">
        <v>0</v>
      </c>
      <c r="AH254" s="24">
        <v>0</v>
      </c>
      <c r="AI254" s="23">
        <v>100</v>
      </c>
      <c r="AJ254" s="13" t="str">
        <f xml:space="preserve"> IF(AD254&gt;F254,"Exceso en grasa saturada",IFERROR(IF(F254=0,"No tiene sello",IF((AD254*9)*100/F254&gt;10,"Exceso en grasa saturada","No tiene sello")),"No tiene sello"))</f>
        <v>No tiene sello</v>
      </c>
      <c r="AK254" s="13">
        <f>IF(AJ254="No tiene sello",0,1)</f>
        <v>0</v>
      </c>
      <c r="AL254" s="13" t="str">
        <f>IF(Q254&gt;=300,"Exceso en sodio",IFERROR(IF(AND(F254=0,Q254&gt;0),"No tiene sello",IF(Q254/F254&gt;1,"Exceso en sodio","No tiene sello")),"No tiene sello"))</f>
        <v>No tiene sello</v>
      </c>
      <c r="AM254" s="13" t="str">
        <f>IFERROR(IF(F254=0,"No tiene sello",IF(+(AG254/1000)*9*100/F254&gt;1,"Exceso en grasa trans", "No tiene sello")),"No tiene sello")</f>
        <v>No tiene sello</v>
      </c>
    </row>
    <row r="255" spans="1:39" ht="13.5" customHeight="1" x14ac:dyDescent="0.25">
      <c r="A255" s="26" t="s">
        <v>1156</v>
      </c>
      <c r="B255" s="26" t="s">
        <v>1157</v>
      </c>
      <c r="C255" s="26" t="s">
        <v>1150</v>
      </c>
      <c r="D255" s="16">
        <v>100</v>
      </c>
      <c r="E255" s="28">
        <v>90.1</v>
      </c>
      <c r="F255" s="24">
        <v>38</v>
      </c>
      <c r="G255" s="28">
        <v>160</v>
      </c>
      <c r="H255" s="24">
        <v>0.6</v>
      </c>
      <c r="I255" s="24">
        <v>0.1</v>
      </c>
      <c r="J255" s="24">
        <v>8.5</v>
      </c>
      <c r="K255" s="28">
        <v>8.4</v>
      </c>
      <c r="L255" s="28">
        <v>0.85</v>
      </c>
      <c r="M255" s="24">
        <v>0.1</v>
      </c>
      <c r="N255" s="28">
        <v>0.6</v>
      </c>
      <c r="O255" s="25">
        <v>7</v>
      </c>
      <c r="P255" s="25">
        <v>1</v>
      </c>
      <c r="Q255" s="28">
        <v>85</v>
      </c>
      <c r="R255" s="25">
        <v>24</v>
      </c>
      <c r="S255" s="28">
        <v>0</v>
      </c>
      <c r="T255" s="28">
        <v>8</v>
      </c>
      <c r="U255" s="28">
        <v>187</v>
      </c>
      <c r="V255" s="28">
        <v>0</v>
      </c>
      <c r="W255" s="28">
        <v>0.03</v>
      </c>
      <c r="X255" s="28">
        <v>2.5</v>
      </c>
      <c r="Y255" s="28">
        <v>0</v>
      </c>
      <c r="Z255" s="28">
        <v>0</v>
      </c>
      <c r="AA255" s="25">
        <v>57</v>
      </c>
      <c r="AB255" s="25">
        <v>170</v>
      </c>
      <c r="AC255" s="25">
        <v>0</v>
      </c>
      <c r="AD255" s="28">
        <v>0</v>
      </c>
      <c r="AE255" s="28">
        <v>0</v>
      </c>
      <c r="AF255" s="28">
        <v>0</v>
      </c>
      <c r="AG255" s="28">
        <v>0</v>
      </c>
      <c r="AH255" s="24">
        <v>0</v>
      </c>
      <c r="AI255" s="28">
        <v>50</v>
      </c>
      <c r="AJ255" s="13" t="str">
        <f xml:space="preserve"> IF(AD255&gt;F255,"Exceso en grasa saturada",IFERROR(IF(F255=0,"No tiene sello",IF((AD255*9)*100/F255&gt;10,"Exceso en grasa saturada","No tiene sello")),"No tiene sello"))</f>
        <v>No tiene sello</v>
      </c>
      <c r="AK255" s="13">
        <f>IF(AJ255="No tiene sello",0,1)</f>
        <v>0</v>
      </c>
      <c r="AL255" s="13" t="str">
        <f>IF(Q255&gt;=300,"Exceso en sodio",IFERROR(IF(AND(F255=0,Q255&gt;0),"No tiene sello",IF(Q255/F255&gt;1,"Exceso en sodio","No tiene sello")),"No tiene sello"))</f>
        <v>Exceso en sodio</v>
      </c>
      <c r="AM255" s="13" t="str">
        <f>IFERROR(IF(F255=0,"No tiene sello",IF(+(AG255/1000)*9*100/F255&gt;1,"Exceso en grasa trans", "No tiene sello")),"No tiene sello")</f>
        <v>No tiene sello</v>
      </c>
    </row>
    <row r="256" spans="1:39" ht="13.5" customHeight="1" x14ac:dyDescent="0.25">
      <c r="A256" s="20" t="s">
        <v>1154</v>
      </c>
      <c r="B256" s="20" t="s">
        <v>1155</v>
      </c>
      <c r="C256" s="20" t="s">
        <v>143</v>
      </c>
      <c r="D256" s="22">
        <v>100</v>
      </c>
      <c r="E256" s="23">
        <v>21.3</v>
      </c>
      <c r="F256" s="24">
        <v>325</v>
      </c>
      <c r="G256" s="23">
        <v>1377</v>
      </c>
      <c r="H256" s="24">
        <v>2.4</v>
      </c>
      <c r="I256" s="24">
        <v>0.2</v>
      </c>
      <c r="J256" s="24">
        <v>74.7</v>
      </c>
      <c r="K256" s="23">
        <v>67.3</v>
      </c>
      <c r="L256" s="23">
        <v>7.47</v>
      </c>
      <c r="M256" s="24">
        <v>7.4</v>
      </c>
      <c r="N256" s="23">
        <v>1.4</v>
      </c>
      <c r="O256" s="25">
        <v>57</v>
      </c>
      <c r="P256" s="25">
        <v>0.9</v>
      </c>
      <c r="Q256" s="23">
        <v>2</v>
      </c>
      <c r="R256" s="25">
        <v>45</v>
      </c>
      <c r="S256" s="23">
        <v>0.3</v>
      </c>
      <c r="T256" s="23">
        <v>52</v>
      </c>
      <c r="U256" s="23">
        <v>676</v>
      </c>
      <c r="V256" s="23">
        <v>0.06</v>
      </c>
      <c r="W256" s="23">
        <v>0.34</v>
      </c>
      <c r="X256" s="23">
        <v>0.2</v>
      </c>
      <c r="Y256" s="23">
        <v>22</v>
      </c>
      <c r="Z256" s="23">
        <v>0</v>
      </c>
      <c r="AA256" s="25">
        <v>0</v>
      </c>
      <c r="AB256" s="25">
        <v>2</v>
      </c>
      <c r="AC256" s="25">
        <v>0</v>
      </c>
      <c r="AD256" s="23">
        <v>0</v>
      </c>
      <c r="AE256" s="23">
        <v>0</v>
      </c>
      <c r="AF256" s="23">
        <v>0</v>
      </c>
      <c r="AG256" s="23">
        <v>0</v>
      </c>
      <c r="AH256" s="24">
        <v>0</v>
      </c>
      <c r="AI256" s="23">
        <v>100</v>
      </c>
      <c r="AJ256" s="13" t="str">
        <f xml:space="preserve"> IF(AD256&gt;F256,"Exceso en grasa saturada",IFERROR(IF(F256=0,"No tiene sello",IF((AD256*9)*100/F256&gt;10,"Exceso en grasa saturada","No tiene sello")),"No tiene sello"))</f>
        <v>No tiene sello</v>
      </c>
      <c r="AK256" s="13">
        <f>IF(AJ256="No tiene sello",0,1)</f>
        <v>0</v>
      </c>
      <c r="AL256" s="13" t="str">
        <f>IF(Q256&gt;=300,"Exceso en sodio",IFERROR(IF(AND(F256=0,Q256&gt;0),"No tiene sello",IF(Q256/F256&gt;1,"Exceso en sodio","No tiene sello")),"No tiene sello"))</f>
        <v>No tiene sello</v>
      </c>
      <c r="AM256" s="13" t="str">
        <f>IFERROR(IF(F256=0,"No tiene sello",IF(+(AG256/1000)*9*100/F256&gt;1,"Exceso en grasa trans", "No tiene sello")),"No tiene sello")</f>
        <v>No tiene sello</v>
      </c>
    </row>
    <row r="257" spans="1:39" s="5" customFormat="1" ht="13.5" customHeight="1" x14ac:dyDescent="0.25">
      <c r="A257" s="26" t="s">
        <v>1152</v>
      </c>
      <c r="B257" s="26" t="s">
        <v>1153</v>
      </c>
      <c r="C257" s="26" t="s">
        <v>1150</v>
      </c>
      <c r="D257" s="16">
        <v>100</v>
      </c>
      <c r="E257" s="28">
        <v>85.7</v>
      </c>
      <c r="F257" s="24">
        <v>58</v>
      </c>
      <c r="G257" s="28">
        <v>244</v>
      </c>
      <c r="H257" s="24">
        <v>1</v>
      </c>
      <c r="I257" s="24">
        <v>0.1</v>
      </c>
      <c r="J257" s="24">
        <v>12.5</v>
      </c>
      <c r="K257" s="28">
        <v>11</v>
      </c>
      <c r="L257" s="28">
        <v>1.25</v>
      </c>
      <c r="M257" s="24">
        <v>1.5</v>
      </c>
      <c r="N257" s="28">
        <v>0.8</v>
      </c>
      <c r="O257" s="25">
        <v>9</v>
      </c>
      <c r="P257" s="25">
        <v>0.6</v>
      </c>
      <c r="Q257" s="28">
        <v>1</v>
      </c>
      <c r="R257" s="25">
        <v>32</v>
      </c>
      <c r="S257" s="28">
        <v>0.1</v>
      </c>
      <c r="T257" s="28">
        <v>9</v>
      </c>
      <c r="U257" s="28">
        <v>224</v>
      </c>
      <c r="V257" s="28">
        <v>0.04</v>
      </c>
      <c r="W257" s="28">
        <v>0.02</v>
      </c>
      <c r="X257" s="28">
        <v>0.4</v>
      </c>
      <c r="Y257" s="28">
        <v>4</v>
      </c>
      <c r="Z257" s="28">
        <v>0</v>
      </c>
      <c r="AA257" s="25">
        <v>29</v>
      </c>
      <c r="AB257" s="25">
        <v>46</v>
      </c>
      <c r="AC257" s="25">
        <v>0</v>
      </c>
      <c r="AD257" s="28">
        <v>0</v>
      </c>
      <c r="AE257" s="28">
        <v>0</v>
      </c>
      <c r="AF257" s="28">
        <v>0</v>
      </c>
      <c r="AG257" s="28">
        <v>0</v>
      </c>
      <c r="AH257" s="24">
        <v>0</v>
      </c>
      <c r="AI257" s="28">
        <v>85</v>
      </c>
      <c r="AJ257" s="13" t="str">
        <f xml:space="preserve"> IF(AD257&gt;F257,"Exceso en grasa saturada",IFERROR(IF(F257=0,"No tiene sello",IF((AD257*9)*100/F257&gt;10,"Exceso en grasa saturada","No tiene sello")),"No tiene sello"))</f>
        <v>No tiene sello</v>
      </c>
      <c r="AK257" s="13">
        <f>IF(AJ257="No tiene sello",0,1)</f>
        <v>0</v>
      </c>
      <c r="AL257" s="13" t="str">
        <f>IF(Q257&gt;=300,"Exceso en sodio",IFERROR(IF(AND(F257=0,Q257&gt;0),"No tiene sello",IF(Q257/F257&gt;1,"Exceso en sodio","No tiene sello")),"No tiene sello"))</f>
        <v>No tiene sello</v>
      </c>
      <c r="AM257" s="13" t="str">
        <f>IFERROR(IF(F257=0,"No tiene sello",IF(+(AG257/1000)*9*100/F257&gt;1,"Exceso en grasa trans", "No tiene sello")),"No tiene sello")</f>
        <v>No tiene sello</v>
      </c>
    </row>
    <row r="258" spans="1:39" ht="13.5" customHeight="1" x14ac:dyDescent="0.25">
      <c r="A258" s="29" t="s">
        <v>1149</v>
      </c>
      <c r="B258" s="29" t="s">
        <v>1151</v>
      </c>
      <c r="C258" s="29" t="s">
        <v>1150</v>
      </c>
      <c r="D258" s="22">
        <v>100</v>
      </c>
      <c r="E258" s="31">
        <v>82</v>
      </c>
      <c r="F258" s="24">
        <v>83</v>
      </c>
      <c r="G258" s="31">
        <v>349</v>
      </c>
      <c r="H258" s="24">
        <v>1.7</v>
      </c>
      <c r="I258" s="24">
        <v>0</v>
      </c>
      <c r="J258" s="24">
        <v>15.8</v>
      </c>
      <c r="K258" s="31">
        <v>9.4</v>
      </c>
      <c r="L258" s="31">
        <v>1.58</v>
      </c>
      <c r="M258" s="24">
        <v>6.4</v>
      </c>
      <c r="N258" s="31">
        <v>0.5</v>
      </c>
      <c r="O258" s="31">
        <v>41</v>
      </c>
      <c r="P258" s="31">
        <v>1.9</v>
      </c>
      <c r="Q258" s="31">
        <v>3</v>
      </c>
      <c r="R258" s="31">
        <v>16</v>
      </c>
      <c r="S258" s="31">
        <v>0.6</v>
      </c>
      <c r="T258" s="31">
        <v>23</v>
      </c>
      <c r="U258" s="31">
        <v>159</v>
      </c>
      <c r="V258" s="31">
        <v>0.04</v>
      </c>
      <c r="W258" s="31">
        <v>0.04</v>
      </c>
      <c r="X258" s="31">
        <v>1</v>
      </c>
      <c r="Y258" s="31">
        <v>23</v>
      </c>
      <c r="Z258" s="31">
        <v>0</v>
      </c>
      <c r="AA258" s="31">
        <v>28</v>
      </c>
      <c r="AB258" s="31">
        <v>2</v>
      </c>
      <c r="AC258" s="31">
        <v>0</v>
      </c>
      <c r="AD258" s="31">
        <v>0</v>
      </c>
      <c r="AE258" s="31">
        <v>0</v>
      </c>
      <c r="AF258" s="31">
        <v>0</v>
      </c>
      <c r="AG258" s="31">
        <v>0</v>
      </c>
      <c r="AH258" s="31">
        <v>0</v>
      </c>
      <c r="AI258" s="31">
        <v>83</v>
      </c>
      <c r="AJ258" s="13" t="str">
        <f xml:space="preserve"> IF(AD258&gt;F258,"Exceso en grasa saturada",IFERROR(IF(F258=0,"No tiene sello",IF((AD258*9)*100/F258&gt;10,"Exceso en grasa saturada","No tiene sello")),"No tiene sello"))</f>
        <v>No tiene sello</v>
      </c>
      <c r="AK258" s="13">
        <f>IF(AJ258="No tiene sello",0,1)</f>
        <v>0</v>
      </c>
      <c r="AL258" s="13" t="str">
        <f>IF(Q258&gt;=300,"Exceso en sodio",IFERROR(IF(AND(F258=0,Q258&gt;0),"No tiene sello",IF(Q258/F258&gt;1,"Exceso en sodio","No tiene sello")),"No tiene sello"))</f>
        <v>No tiene sello</v>
      </c>
      <c r="AM258" s="13" t="str">
        <f>IFERROR(IF(F258=0,"No tiene sello",IF(+(AG258/1000)*9*100/F258&gt;1,"Exceso en grasa trans", "No tiene sello")),"No tiene sello")</f>
        <v>No tiene sello</v>
      </c>
    </row>
    <row r="259" spans="1:39" s="5" customFormat="1" ht="13.5" customHeight="1" x14ac:dyDescent="0.25">
      <c r="A259" s="33" t="s">
        <v>1147</v>
      </c>
      <c r="B259" s="33" t="s">
        <v>1148</v>
      </c>
      <c r="C259" s="33" t="s">
        <v>143</v>
      </c>
      <c r="D259" s="16">
        <v>100</v>
      </c>
      <c r="E259" s="35">
        <v>89.9</v>
      </c>
      <c r="F259" s="24">
        <v>45</v>
      </c>
      <c r="G259" s="35">
        <v>189</v>
      </c>
      <c r="H259" s="24">
        <v>0.8</v>
      </c>
      <c r="I259" s="24">
        <v>0.5</v>
      </c>
      <c r="J259" s="24">
        <v>8.3000000000000007</v>
      </c>
      <c r="K259" s="35">
        <v>6.3</v>
      </c>
      <c r="L259" s="35">
        <v>0.83</v>
      </c>
      <c r="M259" s="24">
        <v>2</v>
      </c>
      <c r="N259" s="35">
        <v>0.5</v>
      </c>
      <c r="O259" s="35">
        <v>21</v>
      </c>
      <c r="P259" s="35">
        <v>0.5</v>
      </c>
      <c r="Q259" s="35">
        <v>2</v>
      </c>
      <c r="R259" s="35">
        <v>26</v>
      </c>
      <c r="S259" s="35">
        <v>0.2</v>
      </c>
      <c r="T259" s="35">
        <v>13</v>
      </c>
      <c r="U259" s="35">
        <v>157</v>
      </c>
      <c r="V259" s="35">
        <v>0.03</v>
      </c>
      <c r="W259" s="35">
        <v>0.03</v>
      </c>
      <c r="X259" s="35">
        <v>0.4</v>
      </c>
      <c r="Y259" s="35">
        <v>22</v>
      </c>
      <c r="Z259" s="35">
        <v>0</v>
      </c>
      <c r="AA259" s="35">
        <v>67</v>
      </c>
      <c r="AB259" s="35">
        <v>4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95</v>
      </c>
      <c r="AJ259" s="13" t="str">
        <f xml:space="preserve"> IF(AD259&gt;F259,"Exceso en grasa saturada",IFERROR(IF(F259=0,"No tiene sello",IF((AD259*9)*100/F259&gt;10,"Exceso en grasa saturada","No tiene sello")),"No tiene sello"))</f>
        <v>No tiene sello</v>
      </c>
      <c r="AK259" s="13">
        <f>IF(AJ259="No tiene sello",0,1)</f>
        <v>0</v>
      </c>
      <c r="AL259" s="13" t="str">
        <f>IF(Q259&gt;=300,"Exceso en sodio",IFERROR(IF(AND(F259=0,Q259&gt;0),"No tiene sello",IF(Q259/F259&gt;1,"Exceso en sodio","No tiene sello")),"No tiene sello"))</f>
        <v>No tiene sello</v>
      </c>
      <c r="AM259" s="13" t="str">
        <f>IFERROR(IF(F259=0,"No tiene sello",IF(+(AG259/1000)*9*100/F259&gt;1,"Exceso en grasa trans", "No tiene sello")),"No tiene sello")</f>
        <v>No tiene sello</v>
      </c>
    </row>
    <row r="260" spans="1:39" ht="13.5" customHeight="1" x14ac:dyDescent="0.25">
      <c r="A260" s="20" t="s">
        <v>1145</v>
      </c>
      <c r="B260" s="20" t="s">
        <v>1146</v>
      </c>
      <c r="C260" s="20" t="s">
        <v>143</v>
      </c>
      <c r="D260" s="22">
        <v>100</v>
      </c>
      <c r="E260" s="23">
        <v>91.5</v>
      </c>
      <c r="F260" s="24">
        <v>38</v>
      </c>
      <c r="G260" s="23">
        <v>159</v>
      </c>
      <c r="H260" s="24">
        <v>0.8</v>
      </c>
      <c r="I260" s="24">
        <v>0.3</v>
      </c>
      <c r="J260" s="24">
        <v>7</v>
      </c>
      <c r="K260" s="23">
        <v>5.2</v>
      </c>
      <c r="L260" s="23">
        <v>0.7</v>
      </c>
      <c r="M260" s="24">
        <v>1.9</v>
      </c>
      <c r="N260" s="23">
        <v>0.4</v>
      </c>
      <c r="O260" s="25">
        <v>20</v>
      </c>
      <c r="P260" s="25">
        <v>0.4</v>
      </c>
      <c r="Q260" s="23">
        <v>1</v>
      </c>
      <c r="R260" s="25">
        <v>22</v>
      </c>
      <c r="S260" s="23">
        <v>0.2</v>
      </c>
      <c r="T260" s="23">
        <v>10</v>
      </c>
      <c r="U260" s="23">
        <v>183</v>
      </c>
      <c r="V260" s="23">
        <v>0.03</v>
      </c>
      <c r="W260" s="23">
        <v>7.0000000000000007E-2</v>
      </c>
      <c r="X260" s="23">
        <v>0.4</v>
      </c>
      <c r="Y260" s="23">
        <v>22</v>
      </c>
      <c r="Z260" s="23">
        <v>0</v>
      </c>
      <c r="AA260" s="25">
        <v>64</v>
      </c>
      <c r="AB260" s="25">
        <v>1</v>
      </c>
      <c r="AC260" s="25">
        <v>0</v>
      </c>
      <c r="AD260" s="23">
        <v>0</v>
      </c>
      <c r="AE260" s="23">
        <v>0</v>
      </c>
      <c r="AF260" s="23">
        <v>0</v>
      </c>
      <c r="AG260" s="23">
        <v>0</v>
      </c>
      <c r="AH260" s="24">
        <v>0</v>
      </c>
      <c r="AI260" s="23">
        <v>95</v>
      </c>
      <c r="AJ260" s="13" t="str">
        <f xml:space="preserve"> IF(AD260&gt;F260,"Exceso en grasa saturada",IFERROR(IF(F260=0,"No tiene sello",IF((AD260*9)*100/F260&gt;10,"Exceso en grasa saturada","No tiene sello")),"No tiene sello"))</f>
        <v>No tiene sello</v>
      </c>
      <c r="AK260" s="13">
        <f>IF(AJ260="No tiene sello",0,1)</f>
        <v>0</v>
      </c>
      <c r="AL260" s="13" t="str">
        <f>IF(Q260&gt;=300,"Exceso en sodio",IFERROR(IF(AND(F260=0,Q260&gt;0),"No tiene sello",IF(Q260/F260&gt;1,"Exceso en sodio","No tiene sello")),"No tiene sello"))</f>
        <v>No tiene sello</v>
      </c>
      <c r="AM260" s="13" t="str">
        <f>IFERROR(IF(F260=0,"No tiene sello",IF(+(AG260/1000)*9*100/F260&gt;1,"Exceso en grasa trans", "No tiene sello")),"No tiene sello")</f>
        <v>No tiene sello</v>
      </c>
    </row>
    <row r="261" spans="1:39" ht="13.5" customHeight="1" x14ac:dyDescent="0.25">
      <c r="A261" s="26" t="s">
        <v>1143</v>
      </c>
      <c r="B261" s="26" t="s">
        <v>1144</v>
      </c>
      <c r="C261" s="26" t="s">
        <v>154</v>
      </c>
      <c r="D261" s="16">
        <v>100</v>
      </c>
      <c r="E261" s="28">
        <v>84.4</v>
      </c>
      <c r="F261" s="24">
        <v>70</v>
      </c>
      <c r="G261" s="28">
        <v>295</v>
      </c>
      <c r="H261" s="24">
        <v>1</v>
      </c>
      <c r="I261" s="24">
        <v>1.2</v>
      </c>
      <c r="J261" s="24">
        <v>12.9</v>
      </c>
      <c r="K261" s="28">
        <v>11.1</v>
      </c>
      <c r="L261" s="28">
        <v>1.29</v>
      </c>
      <c r="M261" s="24">
        <v>1.8</v>
      </c>
      <c r="N261" s="28">
        <v>0.5</v>
      </c>
      <c r="O261" s="25">
        <v>13</v>
      </c>
      <c r="P261" s="25">
        <v>0.5</v>
      </c>
      <c r="Q261" s="28">
        <v>2</v>
      </c>
      <c r="R261" s="25">
        <v>26</v>
      </c>
      <c r="S261" s="28">
        <v>0.2</v>
      </c>
      <c r="T261" s="28">
        <v>12</v>
      </c>
      <c r="U261" s="28">
        <v>244</v>
      </c>
      <c r="V261" s="28">
        <v>0</v>
      </c>
      <c r="W261" s="28">
        <v>0.04</v>
      </c>
      <c r="X261" s="28">
        <v>0.2</v>
      </c>
      <c r="Y261" s="28">
        <v>35</v>
      </c>
      <c r="Z261" s="28">
        <v>0</v>
      </c>
      <c r="AA261" s="25">
        <v>5</v>
      </c>
      <c r="AB261" s="25">
        <v>5</v>
      </c>
      <c r="AC261" s="25">
        <v>0</v>
      </c>
      <c r="AD261" s="28">
        <v>0</v>
      </c>
      <c r="AE261" s="28">
        <v>0</v>
      </c>
      <c r="AF261" s="28">
        <v>0</v>
      </c>
      <c r="AG261" s="28">
        <v>0</v>
      </c>
      <c r="AH261" s="24">
        <v>0</v>
      </c>
      <c r="AI261" s="28">
        <v>30</v>
      </c>
      <c r="AJ261" s="13" t="str">
        <f xml:space="preserve"> IF(AD261&gt;F261,"Exceso en grasa saturada",IFERROR(IF(F261=0,"No tiene sello",IF((AD261*9)*100/F261&gt;10,"Exceso en grasa saturada","No tiene sello")),"No tiene sello"))</f>
        <v>No tiene sello</v>
      </c>
      <c r="AK261" s="13">
        <f>IF(AJ261="No tiene sello",0,1)</f>
        <v>0</v>
      </c>
      <c r="AL261" s="13" t="str">
        <f>IF(Q261&gt;=300,"Exceso en sodio",IFERROR(IF(AND(F261=0,Q261&gt;0),"No tiene sello",IF(Q261/F261&gt;1,"Exceso en sodio","No tiene sello")),"No tiene sello"))</f>
        <v>No tiene sello</v>
      </c>
      <c r="AM261" s="13" t="str">
        <f>IFERROR(IF(F261=0,"No tiene sello",IF(+(AG261/1000)*9*100/F261&gt;1,"Exceso en grasa trans", "No tiene sello")),"No tiene sello")</f>
        <v>No tiene sello</v>
      </c>
    </row>
    <row r="262" spans="1:39" ht="13.5" customHeight="1" x14ac:dyDescent="0.25">
      <c r="A262" s="20" t="s">
        <v>1141</v>
      </c>
      <c r="B262" s="20" t="s">
        <v>1142</v>
      </c>
      <c r="C262" s="20" t="s">
        <v>154</v>
      </c>
      <c r="D262" s="22">
        <v>100</v>
      </c>
      <c r="E262" s="23">
        <v>80.2</v>
      </c>
      <c r="F262" s="24">
        <v>95</v>
      </c>
      <c r="G262" s="23">
        <v>398</v>
      </c>
      <c r="H262" s="24">
        <v>2.1</v>
      </c>
      <c r="I262" s="24">
        <v>1.6</v>
      </c>
      <c r="J262" s="24">
        <v>14.9</v>
      </c>
      <c r="K262" s="23">
        <v>9</v>
      </c>
      <c r="L262" s="23">
        <v>1.49</v>
      </c>
      <c r="M262" s="24">
        <v>5.9</v>
      </c>
      <c r="N262" s="23">
        <v>1.1000000000000001</v>
      </c>
      <c r="O262" s="25">
        <v>12</v>
      </c>
      <c r="P262" s="25">
        <v>0.9</v>
      </c>
      <c r="Q262" s="23">
        <v>20</v>
      </c>
      <c r="R262" s="25">
        <v>50</v>
      </c>
      <c r="S262" s="23">
        <v>0.8</v>
      </c>
      <c r="T262" s="23">
        <v>25</v>
      </c>
      <c r="U262" s="23">
        <v>480</v>
      </c>
      <c r="V262" s="23">
        <v>0.02</v>
      </c>
      <c r="W262" s="23">
        <v>0.35</v>
      </c>
      <c r="X262" s="23">
        <v>2.1</v>
      </c>
      <c r="Y262" s="23">
        <v>14</v>
      </c>
      <c r="Z262" s="23">
        <v>0</v>
      </c>
      <c r="AA262" s="25">
        <v>0</v>
      </c>
      <c r="AB262" s="25">
        <v>28</v>
      </c>
      <c r="AC262" s="25">
        <v>0</v>
      </c>
      <c r="AD262" s="23">
        <v>0</v>
      </c>
      <c r="AE262" s="23">
        <v>0</v>
      </c>
      <c r="AF262" s="23">
        <v>0</v>
      </c>
      <c r="AG262" s="23">
        <v>0</v>
      </c>
      <c r="AH262" s="24">
        <v>0</v>
      </c>
      <c r="AI262" s="23">
        <v>30</v>
      </c>
      <c r="AJ262" s="13" t="str">
        <f xml:space="preserve"> IF(AD262&gt;F262,"Exceso en grasa saturada",IFERROR(IF(F262=0,"No tiene sello",IF((AD262*9)*100/F262&gt;10,"Exceso en grasa saturada","No tiene sello")),"No tiene sello"))</f>
        <v>No tiene sello</v>
      </c>
      <c r="AK262" s="13">
        <f>IF(AJ262="No tiene sello",0,1)</f>
        <v>0</v>
      </c>
      <c r="AL262" s="13" t="str">
        <f>IF(Q262&gt;=300,"Exceso en sodio",IFERROR(IF(AND(F262=0,Q262&gt;0),"No tiene sello",IF(Q262/F262&gt;1,"Exceso en sodio","No tiene sello")),"No tiene sello"))</f>
        <v>No tiene sello</v>
      </c>
      <c r="AM262" s="13" t="str">
        <f>IFERROR(IF(F262=0,"No tiene sello",IF(+(AG262/1000)*9*100/F262&gt;1,"Exceso en grasa trans", "No tiene sello")),"No tiene sello")</f>
        <v>No tiene sello</v>
      </c>
    </row>
    <row r="263" spans="1:39" ht="13.5" customHeight="1" x14ac:dyDescent="0.25">
      <c r="A263" s="26" t="s">
        <v>1139</v>
      </c>
      <c r="B263" s="26" t="s">
        <v>1140</v>
      </c>
      <c r="C263" s="26" t="s">
        <v>154</v>
      </c>
      <c r="D263" s="16">
        <v>100</v>
      </c>
      <c r="E263" s="28">
        <v>85.6</v>
      </c>
      <c r="F263" s="24">
        <v>59</v>
      </c>
      <c r="G263" s="28">
        <v>249</v>
      </c>
      <c r="H263" s="24">
        <v>0.9</v>
      </c>
      <c r="I263" s="24">
        <v>0.1</v>
      </c>
      <c r="J263" s="24">
        <v>13.1</v>
      </c>
      <c r="K263" s="28">
        <v>12.2</v>
      </c>
      <c r="L263" s="28">
        <v>1.31</v>
      </c>
      <c r="M263" s="24">
        <v>0.9</v>
      </c>
      <c r="N263" s="28">
        <v>0.3</v>
      </c>
      <c r="O263" s="25">
        <v>38</v>
      </c>
      <c r="P263" s="25">
        <v>0.8</v>
      </c>
      <c r="Q263" s="28">
        <v>0</v>
      </c>
      <c r="R263" s="25">
        <v>13</v>
      </c>
      <c r="S263" s="28">
        <v>0</v>
      </c>
      <c r="T263" s="28">
        <v>0</v>
      </c>
      <c r="U263" s="28">
        <v>0</v>
      </c>
      <c r="V263" s="28">
        <v>0.03</v>
      </c>
      <c r="W263" s="28">
        <v>0.05</v>
      </c>
      <c r="X263" s="28">
        <v>0.3</v>
      </c>
      <c r="Y263" s="28">
        <v>0</v>
      </c>
      <c r="Z263" s="28">
        <v>0</v>
      </c>
      <c r="AA263" s="25">
        <v>4</v>
      </c>
      <c r="AB263" s="25">
        <v>0</v>
      </c>
      <c r="AC263" s="25">
        <v>0</v>
      </c>
      <c r="AD263" s="28">
        <v>0</v>
      </c>
      <c r="AE263" s="28">
        <v>0</v>
      </c>
      <c r="AF263" s="28">
        <v>0</v>
      </c>
      <c r="AG263" s="28">
        <v>0</v>
      </c>
      <c r="AH263" s="24">
        <v>0</v>
      </c>
      <c r="AI263" s="28">
        <v>23</v>
      </c>
      <c r="AJ263" s="13" t="str">
        <f xml:space="preserve"> IF(AD263&gt;F263,"Exceso en grasa saturada",IFERROR(IF(F263=0,"No tiene sello",IF((AD263*9)*100/F263&gt;10,"Exceso en grasa saturada","No tiene sello")),"No tiene sello"))</f>
        <v>No tiene sello</v>
      </c>
      <c r="AK263" s="13">
        <f>IF(AJ263="No tiene sello",0,1)</f>
        <v>0</v>
      </c>
      <c r="AL263" s="13" t="str">
        <f>IF(Q263&gt;=300,"Exceso en sodio",IFERROR(IF(AND(F263=0,Q263&gt;0),"No tiene sello",IF(Q263/F263&gt;1,"Exceso en sodio","No tiene sello")),"No tiene sello"))</f>
        <v>No tiene sello</v>
      </c>
      <c r="AM263" s="13" t="str">
        <f>IFERROR(IF(F263=0,"No tiene sello",IF(+(AG263/1000)*9*100/F263&gt;1,"Exceso en grasa trans", "No tiene sello")),"No tiene sello")</f>
        <v>No tiene sello</v>
      </c>
    </row>
    <row r="264" spans="1:39" ht="13.5" customHeight="1" x14ac:dyDescent="0.25">
      <c r="A264" s="20" t="s">
        <v>1137</v>
      </c>
      <c r="B264" s="20" t="s">
        <v>1138</v>
      </c>
      <c r="C264" s="20" t="s">
        <v>154</v>
      </c>
      <c r="D264" s="22">
        <v>100</v>
      </c>
      <c r="E264" s="23">
        <v>92.1</v>
      </c>
      <c r="F264" s="24">
        <v>33</v>
      </c>
      <c r="G264" s="23">
        <v>139</v>
      </c>
      <c r="H264" s="24">
        <v>0.6</v>
      </c>
      <c r="I264" s="24">
        <v>0.2</v>
      </c>
      <c r="J264" s="24">
        <v>6.8</v>
      </c>
      <c r="K264" s="23">
        <v>6</v>
      </c>
      <c r="L264" s="23">
        <v>0.68</v>
      </c>
      <c r="M264" s="24">
        <v>0.8</v>
      </c>
      <c r="N264" s="23">
        <v>0.3</v>
      </c>
      <c r="O264" s="25">
        <v>11</v>
      </c>
      <c r="P264" s="25">
        <v>0.2</v>
      </c>
      <c r="Q264" s="23">
        <v>9</v>
      </c>
      <c r="R264" s="25">
        <v>12</v>
      </c>
      <c r="S264" s="23">
        <v>15.7</v>
      </c>
      <c r="T264" s="23">
        <v>5</v>
      </c>
      <c r="U264" s="23">
        <v>57</v>
      </c>
      <c r="V264" s="23">
        <v>0.03</v>
      </c>
      <c r="W264" s="23">
        <v>0.06</v>
      </c>
      <c r="X264" s="23">
        <v>1.1000000000000001</v>
      </c>
      <c r="Y264" s="23">
        <v>14</v>
      </c>
      <c r="Z264" s="23">
        <v>0</v>
      </c>
      <c r="AA264" s="25">
        <v>0</v>
      </c>
      <c r="AB264" s="25">
        <v>1</v>
      </c>
      <c r="AC264" s="25">
        <v>0</v>
      </c>
      <c r="AD264" s="23">
        <v>0</v>
      </c>
      <c r="AE264" s="23">
        <v>0</v>
      </c>
      <c r="AF264" s="23">
        <v>0</v>
      </c>
      <c r="AG264" s="23">
        <v>0</v>
      </c>
      <c r="AH264" s="24">
        <v>0</v>
      </c>
      <c r="AI264" s="23">
        <v>70</v>
      </c>
      <c r="AJ264" s="13" t="str">
        <f xml:space="preserve"> IF(AD264&gt;F264,"Exceso en grasa saturada",IFERROR(IF(F264=0,"No tiene sello",IF((AD264*9)*100/F264&gt;10,"Exceso en grasa saturada","No tiene sello")),"No tiene sello"))</f>
        <v>No tiene sello</v>
      </c>
      <c r="AK264" s="13">
        <f>IF(AJ264="No tiene sello",0,1)</f>
        <v>0</v>
      </c>
      <c r="AL264" s="13" t="str">
        <f>IF(Q264&gt;=300,"Exceso en sodio",IFERROR(IF(AND(F264=0,Q264&gt;0),"No tiene sello",IF(Q264/F264&gt;1,"Exceso en sodio","No tiene sello")),"No tiene sello"))</f>
        <v>No tiene sello</v>
      </c>
      <c r="AM264" s="13" t="str">
        <f>IFERROR(IF(F264=0,"No tiene sello",IF(+(AG264/1000)*9*100/F264&gt;1,"Exceso en grasa trans", "No tiene sello")),"No tiene sello")</f>
        <v>No tiene sello</v>
      </c>
    </row>
    <row r="265" spans="1:39" s="5" customFormat="1" ht="13.5" customHeight="1" x14ac:dyDescent="0.25">
      <c r="A265" s="26" t="s">
        <v>1135</v>
      </c>
      <c r="B265" s="38" t="s">
        <v>1136</v>
      </c>
      <c r="C265" s="26" t="s">
        <v>154</v>
      </c>
      <c r="D265" s="16">
        <v>100</v>
      </c>
      <c r="E265" s="28">
        <v>84.6</v>
      </c>
      <c r="F265" s="24">
        <v>71</v>
      </c>
      <c r="G265" s="28">
        <v>298</v>
      </c>
      <c r="H265" s="24">
        <v>0.9</v>
      </c>
      <c r="I265" s="24">
        <v>0.3</v>
      </c>
      <c r="J265" s="24">
        <v>13.4</v>
      </c>
      <c r="K265" s="28">
        <v>8</v>
      </c>
      <c r="L265" s="28">
        <v>9.3800000000000008</v>
      </c>
      <c r="M265" s="24">
        <v>5.4</v>
      </c>
      <c r="N265" s="28">
        <v>0.7</v>
      </c>
      <c r="O265" s="25">
        <v>13</v>
      </c>
      <c r="P265" s="25">
        <v>0.3</v>
      </c>
      <c r="Q265" s="28">
        <v>3</v>
      </c>
      <c r="R265" s="25">
        <v>33</v>
      </c>
      <c r="S265" s="28">
        <v>0.3</v>
      </c>
      <c r="T265" s="28">
        <v>12</v>
      </c>
      <c r="U265" s="28">
        <v>337</v>
      </c>
      <c r="V265" s="28">
        <v>0.04</v>
      </c>
      <c r="W265" s="28">
        <v>0.04</v>
      </c>
      <c r="X265" s="28">
        <v>1.5</v>
      </c>
      <c r="Y265" s="28">
        <v>49</v>
      </c>
      <c r="Z265" s="28">
        <v>0</v>
      </c>
      <c r="AA265" s="25">
        <v>217</v>
      </c>
      <c r="AB265" s="25">
        <v>31</v>
      </c>
      <c r="AC265" s="25">
        <v>0</v>
      </c>
      <c r="AD265" s="28">
        <v>0</v>
      </c>
      <c r="AE265" s="28">
        <v>0</v>
      </c>
      <c r="AF265" s="28">
        <v>0</v>
      </c>
      <c r="AG265" s="28">
        <v>0</v>
      </c>
      <c r="AH265" s="24">
        <v>0</v>
      </c>
      <c r="AI265" s="28">
        <v>75</v>
      </c>
      <c r="AJ265" s="13" t="str">
        <f xml:space="preserve"> IF(AD265&gt;F265,"Exceso en grasa saturada",IFERROR(IF(F265=0,"No tiene sello",IF((AD265*9)*100/F265&gt;10,"Exceso en grasa saturada","No tiene sello")),"No tiene sello"))</f>
        <v>No tiene sello</v>
      </c>
      <c r="AK265" s="13">
        <f>IF(AJ265="No tiene sello",0,1)</f>
        <v>0</v>
      </c>
      <c r="AL265" s="13" t="str">
        <f>IF(Q265&gt;=300,"Exceso en sodio",IFERROR(IF(AND(F265=0,Q265&gt;0),"No tiene sello",IF(Q265/F265&gt;1,"Exceso en sodio","No tiene sello")),"No tiene sello"))</f>
        <v>No tiene sello</v>
      </c>
      <c r="AM265" s="13" t="str">
        <f>IFERROR(IF(F265=0,"No tiene sello",IF(+(AG265/1000)*9*100/F265&gt;1,"Exceso en grasa trans", "No tiene sello")),"No tiene sello")</f>
        <v>No tiene sello</v>
      </c>
    </row>
    <row r="266" spans="1:39" s="4" customFormat="1" ht="13.5" customHeight="1" x14ac:dyDescent="0.25">
      <c r="A266" s="20" t="s">
        <v>1133</v>
      </c>
      <c r="B266" s="20" t="s">
        <v>1134</v>
      </c>
      <c r="C266" s="20" t="s">
        <v>154</v>
      </c>
      <c r="D266" s="22">
        <v>100</v>
      </c>
      <c r="E266" s="23">
        <v>82.8</v>
      </c>
      <c r="F266" s="24">
        <v>78</v>
      </c>
      <c r="G266" s="23">
        <v>330</v>
      </c>
      <c r="H266" s="24">
        <v>0.9</v>
      </c>
      <c r="I266" s="24">
        <v>0.4</v>
      </c>
      <c r="J266" s="24">
        <v>15.1</v>
      </c>
      <c r="K266" s="23">
        <v>9.6999999999999993</v>
      </c>
      <c r="L266" s="23">
        <v>10.57</v>
      </c>
      <c r="M266" s="24">
        <v>5.4</v>
      </c>
      <c r="N266" s="23">
        <v>0.8</v>
      </c>
      <c r="O266" s="25">
        <v>16</v>
      </c>
      <c r="P266" s="25">
        <v>0.3</v>
      </c>
      <c r="Q266" s="23">
        <v>3</v>
      </c>
      <c r="R266" s="25">
        <v>26</v>
      </c>
      <c r="S266" s="23">
        <v>0.2</v>
      </c>
      <c r="T266" s="23">
        <v>14</v>
      </c>
      <c r="U266" s="23">
        <v>353</v>
      </c>
      <c r="V266" s="23">
        <v>0.04</v>
      </c>
      <c r="W266" s="23">
        <v>0.04</v>
      </c>
      <c r="X266" s="23">
        <v>1.1000000000000001</v>
      </c>
      <c r="Y266" s="23">
        <v>49</v>
      </c>
      <c r="Z266" s="23">
        <v>0</v>
      </c>
      <c r="AA266" s="25">
        <v>214</v>
      </c>
      <c r="AB266" s="25">
        <v>31</v>
      </c>
      <c r="AC266" s="25">
        <v>0</v>
      </c>
      <c r="AD266" s="23">
        <v>0</v>
      </c>
      <c r="AE266" s="23">
        <v>0</v>
      </c>
      <c r="AF266" s="23">
        <v>0</v>
      </c>
      <c r="AG266" s="23">
        <v>0</v>
      </c>
      <c r="AH266" s="24">
        <v>0</v>
      </c>
      <c r="AI266" s="23">
        <v>75</v>
      </c>
      <c r="AJ266" s="13" t="str">
        <f xml:space="preserve"> IF(AD266&gt;F266,"Exceso en grasa saturada",IFERROR(IF(F266=0,"No tiene sello",IF((AD266*9)*100/F266&gt;10,"Exceso en grasa saturada","No tiene sello")),"No tiene sello"))</f>
        <v>No tiene sello</v>
      </c>
      <c r="AK266" s="13">
        <f>IF(AJ266="No tiene sello",0,1)</f>
        <v>0</v>
      </c>
      <c r="AL266" s="13" t="str">
        <f>IF(Q266&gt;=300,"Exceso en sodio",IFERROR(IF(AND(F266=0,Q266&gt;0),"No tiene sello",IF(Q266/F266&gt;1,"Exceso en sodio","No tiene sello")),"No tiene sello"))</f>
        <v>No tiene sello</v>
      </c>
      <c r="AM266" s="13" t="str">
        <f>IFERROR(IF(F266=0,"No tiene sello",IF(+(AG266/1000)*9*100/F266&gt;1,"Exceso en grasa trans", "No tiene sello")),"No tiene sello")</f>
        <v>No tiene sello</v>
      </c>
    </row>
    <row r="267" spans="1:39" ht="13.5" customHeight="1" x14ac:dyDescent="0.25">
      <c r="A267" s="26" t="s">
        <v>1131</v>
      </c>
      <c r="B267" s="26" t="s">
        <v>1132</v>
      </c>
      <c r="C267" s="26" t="s">
        <v>154</v>
      </c>
      <c r="D267" s="16">
        <v>100</v>
      </c>
      <c r="E267" s="28">
        <v>81.5</v>
      </c>
      <c r="F267" s="24">
        <v>74</v>
      </c>
      <c r="G267" s="28">
        <v>315</v>
      </c>
      <c r="H267" s="24">
        <v>0.9</v>
      </c>
      <c r="I267" s="24">
        <v>0.1</v>
      </c>
      <c r="J267" s="24">
        <v>17.2</v>
      </c>
      <c r="K267" s="28">
        <v>17</v>
      </c>
      <c r="L267" s="28">
        <v>1.72</v>
      </c>
      <c r="M267" s="24">
        <v>0.2</v>
      </c>
      <c r="N267" s="28">
        <v>0.2</v>
      </c>
      <c r="O267" s="25">
        <v>4</v>
      </c>
      <c r="P267" s="25">
        <v>0.2</v>
      </c>
      <c r="Q267" s="28">
        <v>7</v>
      </c>
      <c r="R267" s="25">
        <v>13</v>
      </c>
      <c r="S267" s="28">
        <v>0.1</v>
      </c>
      <c r="T267" s="28">
        <v>17</v>
      </c>
      <c r="U267" s="28">
        <v>278</v>
      </c>
      <c r="V267" s="28">
        <v>0</v>
      </c>
      <c r="W267" s="28">
        <v>0.13</v>
      </c>
      <c r="X267" s="28">
        <v>1.5</v>
      </c>
      <c r="Y267" s="28">
        <v>7</v>
      </c>
      <c r="Z267" s="28">
        <v>0</v>
      </c>
      <c r="AA267" s="25">
        <v>30</v>
      </c>
      <c r="AB267" s="25">
        <v>36</v>
      </c>
      <c r="AC267" s="25">
        <v>0</v>
      </c>
      <c r="AD267" s="28">
        <v>0</v>
      </c>
      <c r="AE267" s="28">
        <v>0</v>
      </c>
      <c r="AF267" s="28">
        <v>0</v>
      </c>
      <c r="AG267" s="28">
        <v>0</v>
      </c>
      <c r="AH267" s="24">
        <v>0</v>
      </c>
      <c r="AI267" s="28">
        <v>56</v>
      </c>
      <c r="AJ267" s="13" t="str">
        <f xml:space="preserve"> IF(AD267&gt;F267,"Exceso en grasa saturada",IFERROR(IF(F267=0,"No tiene sello",IF((AD267*9)*100/F267&gt;10,"Exceso en grasa saturada","No tiene sello")),"No tiene sello"))</f>
        <v>No tiene sello</v>
      </c>
      <c r="AK267" s="13">
        <f>IF(AJ267="No tiene sello",0,1)</f>
        <v>0</v>
      </c>
      <c r="AL267" s="13" t="str">
        <f>IF(Q267&gt;=300,"Exceso en sodio",IFERROR(IF(AND(F267=0,Q267&gt;0),"No tiene sello",IF(Q267/F267&gt;1,"Exceso en sodio","No tiene sello")),"No tiene sello"))</f>
        <v>No tiene sello</v>
      </c>
      <c r="AM267" s="13" t="str">
        <f>IFERROR(IF(F267=0,"No tiene sello",IF(+(AG267/1000)*9*100/F267&gt;1,"Exceso en grasa trans", "No tiene sello")),"No tiene sello")</f>
        <v>No tiene sello</v>
      </c>
    </row>
    <row r="268" spans="1:39" ht="13.5" customHeight="1" x14ac:dyDescent="0.25">
      <c r="A268" s="20" t="s">
        <v>1129</v>
      </c>
      <c r="B268" s="20" t="s">
        <v>1130</v>
      </c>
      <c r="C268" s="20" t="s">
        <v>154</v>
      </c>
      <c r="D268" s="22">
        <v>100</v>
      </c>
      <c r="E268" s="23">
        <v>83.2</v>
      </c>
      <c r="F268" s="24">
        <v>66</v>
      </c>
      <c r="G268" s="23">
        <v>279</v>
      </c>
      <c r="H268" s="24">
        <v>0.7</v>
      </c>
      <c r="I268" s="24">
        <v>0</v>
      </c>
      <c r="J268" s="24">
        <v>15.6</v>
      </c>
      <c r="K268" s="23">
        <v>15.4</v>
      </c>
      <c r="L268" s="23">
        <v>1.56</v>
      </c>
      <c r="M268" s="24">
        <v>0.2</v>
      </c>
      <c r="N268" s="23">
        <v>0.5</v>
      </c>
      <c r="O268" s="25">
        <v>4</v>
      </c>
      <c r="P268" s="25">
        <v>0.2</v>
      </c>
      <c r="Q268" s="23">
        <v>6</v>
      </c>
      <c r="R268" s="25">
        <v>13</v>
      </c>
      <c r="S268" s="23">
        <v>0</v>
      </c>
      <c r="T268" s="23">
        <v>17</v>
      </c>
      <c r="U268" s="23">
        <v>278</v>
      </c>
      <c r="V268" s="23">
        <v>0</v>
      </c>
      <c r="W268" s="23">
        <v>0.13</v>
      </c>
      <c r="X268" s="23">
        <v>1.5</v>
      </c>
      <c r="Y268" s="23">
        <v>7</v>
      </c>
      <c r="Z268" s="23">
        <v>0</v>
      </c>
      <c r="AA268" s="25">
        <v>30</v>
      </c>
      <c r="AB268" s="25">
        <v>36</v>
      </c>
      <c r="AC268" s="25">
        <v>0</v>
      </c>
      <c r="AD268" s="23">
        <v>0</v>
      </c>
      <c r="AE268" s="23">
        <v>0</v>
      </c>
      <c r="AF268" s="23">
        <v>0</v>
      </c>
      <c r="AG268" s="23">
        <v>0</v>
      </c>
      <c r="AH268" s="24">
        <v>0</v>
      </c>
      <c r="AI268" s="23">
        <v>56</v>
      </c>
      <c r="AJ268" s="13" t="str">
        <f xml:space="preserve"> IF(AD268&gt;F268,"Exceso en grasa saturada",IFERROR(IF(F268=0,"No tiene sello",IF((AD268*9)*100/F268&gt;10,"Exceso en grasa saturada","No tiene sello")),"No tiene sello"))</f>
        <v>No tiene sello</v>
      </c>
      <c r="AK268" s="13">
        <f>IF(AJ268="No tiene sello",0,1)</f>
        <v>0</v>
      </c>
      <c r="AL268" s="13" t="str">
        <f>IF(Q268&gt;=300,"Exceso en sodio",IFERROR(IF(AND(F268=0,Q268&gt;0),"No tiene sello",IF(Q268/F268&gt;1,"Exceso en sodio","No tiene sello")),"No tiene sello"))</f>
        <v>No tiene sello</v>
      </c>
      <c r="AM268" s="13" t="str">
        <f>IFERROR(IF(F268=0,"No tiene sello",IF(+(AG268/1000)*9*100/F268&gt;1,"Exceso en grasa trans", "No tiene sello")),"No tiene sello")</f>
        <v>No tiene sello</v>
      </c>
    </row>
    <row r="269" spans="1:39" ht="13.5" customHeight="1" x14ac:dyDescent="0.25">
      <c r="A269" s="26" t="s">
        <v>1127</v>
      </c>
      <c r="B269" s="26" t="s">
        <v>1128</v>
      </c>
      <c r="C269" s="26" t="s">
        <v>154</v>
      </c>
      <c r="D269" s="16">
        <v>100</v>
      </c>
      <c r="E269" s="28">
        <v>85.3</v>
      </c>
      <c r="F269" s="24">
        <v>57</v>
      </c>
      <c r="G269" s="28">
        <v>241</v>
      </c>
      <c r="H269" s="24">
        <v>0.8</v>
      </c>
      <c r="I269" s="24">
        <v>0</v>
      </c>
      <c r="J269" s="24">
        <v>13.3</v>
      </c>
      <c r="K269" s="28">
        <v>13.1</v>
      </c>
      <c r="L269" s="28">
        <v>1.33</v>
      </c>
      <c r="M269" s="24">
        <v>0.2</v>
      </c>
      <c r="N269" s="28">
        <v>0.6</v>
      </c>
      <c r="O269" s="25">
        <v>4</v>
      </c>
      <c r="P269" s="25">
        <v>0.2</v>
      </c>
      <c r="Q269" s="28">
        <v>6</v>
      </c>
      <c r="R269" s="25">
        <v>13</v>
      </c>
      <c r="S269" s="28">
        <v>0</v>
      </c>
      <c r="T269" s="28">
        <v>17</v>
      </c>
      <c r="U269" s="28">
        <v>278</v>
      </c>
      <c r="V269" s="28">
        <v>0</v>
      </c>
      <c r="W269" s="28">
        <v>0.13</v>
      </c>
      <c r="X269" s="28">
        <v>1.5</v>
      </c>
      <c r="Y269" s="28">
        <v>7</v>
      </c>
      <c r="Z269" s="28">
        <v>0</v>
      </c>
      <c r="AA269" s="25">
        <v>30</v>
      </c>
      <c r="AB269" s="25">
        <v>36</v>
      </c>
      <c r="AC269" s="25">
        <v>0</v>
      </c>
      <c r="AD269" s="28">
        <v>0</v>
      </c>
      <c r="AE269" s="28">
        <v>0</v>
      </c>
      <c r="AF269" s="28">
        <v>0</v>
      </c>
      <c r="AG269" s="28">
        <v>0</v>
      </c>
      <c r="AH269" s="24">
        <v>0</v>
      </c>
      <c r="AI269" s="28">
        <v>56</v>
      </c>
      <c r="AJ269" s="13" t="str">
        <f xml:space="preserve"> IF(AD269&gt;F269,"Exceso en grasa saturada",IFERROR(IF(F269=0,"No tiene sello",IF((AD269*9)*100/F269&gt;10,"Exceso en grasa saturada","No tiene sello")),"No tiene sello"))</f>
        <v>No tiene sello</v>
      </c>
      <c r="AK269" s="13">
        <f>IF(AJ269="No tiene sello",0,1)</f>
        <v>0</v>
      </c>
      <c r="AL269" s="13" t="str">
        <f>IF(Q269&gt;=300,"Exceso en sodio",IFERROR(IF(AND(F269=0,Q269&gt;0),"No tiene sello",IF(Q269/F269&gt;1,"Exceso en sodio","No tiene sello")),"No tiene sello"))</f>
        <v>No tiene sello</v>
      </c>
      <c r="AM269" s="13" t="str">
        <f>IFERROR(IF(F269=0,"No tiene sello",IF(+(AG269/1000)*9*100/F269&gt;1,"Exceso en grasa trans", "No tiene sello")),"No tiene sello")</f>
        <v>No tiene sello</v>
      </c>
    </row>
    <row r="270" spans="1:39" ht="13.5" customHeight="1" x14ac:dyDescent="0.25">
      <c r="A270" s="20" t="s">
        <v>1125</v>
      </c>
      <c r="B270" s="20" t="s">
        <v>1126</v>
      </c>
      <c r="C270" s="21"/>
      <c r="D270" s="22">
        <v>100</v>
      </c>
      <c r="E270" s="23">
        <v>14.1</v>
      </c>
      <c r="F270" s="24">
        <v>340</v>
      </c>
      <c r="G270" s="23">
        <v>1444</v>
      </c>
      <c r="H270" s="24">
        <v>3</v>
      </c>
      <c r="I270" s="24">
        <v>0.4</v>
      </c>
      <c r="J270" s="24">
        <v>80.7</v>
      </c>
      <c r="K270" s="23">
        <v>79.8</v>
      </c>
      <c r="L270" s="23">
        <v>56.49</v>
      </c>
      <c r="M270" s="24">
        <v>0.9</v>
      </c>
      <c r="N270" s="23">
        <v>1.8</v>
      </c>
      <c r="O270" s="25">
        <v>10</v>
      </c>
      <c r="P270" s="25">
        <v>1.5</v>
      </c>
      <c r="Q270" s="23">
        <v>0</v>
      </c>
      <c r="R270" s="25">
        <v>95</v>
      </c>
      <c r="S270" s="23">
        <v>0.6</v>
      </c>
      <c r="T270" s="23">
        <v>0</v>
      </c>
      <c r="U270" s="23">
        <v>0</v>
      </c>
      <c r="V270" s="23">
        <v>0.08</v>
      </c>
      <c r="W270" s="23">
        <v>0.06</v>
      </c>
      <c r="X270" s="23">
        <v>1.1000000000000001</v>
      </c>
      <c r="Y270" s="23">
        <v>0</v>
      </c>
      <c r="Z270" s="23">
        <v>0</v>
      </c>
      <c r="AA270" s="25">
        <v>1</v>
      </c>
      <c r="AB270" s="25">
        <v>28</v>
      </c>
      <c r="AC270" s="25">
        <v>0</v>
      </c>
      <c r="AD270" s="23">
        <v>0</v>
      </c>
      <c r="AE270" s="23">
        <v>0</v>
      </c>
      <c r="AF270" s="23">
        <v>0</v>
      </c>
      <c r="AG270" s="23">
        <v>0</v>
      </c>
      <c r="AH270" s="24">
        <v>0</v>
      </c>
      <c r="AI270" s="23">
        <v>100</v>
      </c>
      <c r="AJ270" s="13" t="str">
        <f xml:space="preserve"> IF(AD270&gt;F270,"Exceso en grasa saturada",IFERROR(IF(F270=0,"No tiene sello",IF((AD270*9)*100/F270&gt;10,"Exceso en grasa saturada","No tiene sello")),"No tiene sello"))</f>
        <v>No tiene sello</v>
      </c>
      <c r="AK270" s="13">
        <f>IF(AJ270="No tiene sello",0,1)</f>
        <v>0</v>
      </c>
      <c r="AL270" s="13" t="str">
        <f>IF(Q270&gt;=300,"Exceso en sodio",IFERROR(IF(AND(F270=0,Q270&gt;0),"No tiene sello",IF(Q270/F270&gt;1,"Exceso en sodio","No tiene sello")),"No tiene sello"))</f>
        <v>No tiene sello</v>
      </c>
      <c r="AM270" s="13" t="str">
        <f>IFERROR(IF(F270=0,"No tiene sello",IF(+(AG270/1000)*9*100/F270&gt;1,"Exceso en grasa trans", "No tiene sello")),"No tiene sello")</f>
        <v>No tiene sello</v>
      </c>
    </row>
    <row r="271" spans="1:39" ht="13.5" customHeight="1" x14ac:dyDescent="0.25">
      <c r="A271" s="26" t="s">
        <v>1123</v>
      </c>
      <c r="B271" s="26" t="s">
        <v>1124</v>
      </c>
      <c r="C271" s="27"/>
      <c r="D271" s="16">
        <v>100</v>
      </c>
      <c r="E271" s="28">
        <v>7.8</v>
      </c>
      <c r="F271" s="24">
        <v>375</v>
      </c>
      <c r="G271" s="28">
        <v>1590</v>
      </c>
      <c r="H271" s="24">
        <v>6.4</v>
      </c>
      <c r="I271" s="24">
        <v>0.6</v>
      </c>
      <c r="J271" s="24">
        <v>83.9</v>
      </c>
      <c r="K271" s="28">
        <v>79.7</v>
      </c>
      <c r="L271" s="28">
        <v>8.39</v>
      </c>
      <c r="M271" s="24">
        <v>4.2</v>
      </c>
      <c r="N271" s="28">
        <v>1.3</v>
      </c>
      <c r="O271" s="25">
        <v>0</v>
      </c>
      <c r="P271" s="25">
        <v>0</v>
      </c>
      <c r="Q271" s="28">
        <v>0</v>
      </c>
      <c r="R271" s="25">
        <v>0</v>
      </c>
      <c r="S271" s="28">
        <v>0</v>
      </c>
      <c r="T271" s="28">
        <v>0</v>
      </c>
      <c r="U271" s="28">
        <v>0</v>
      </c>
      <c r="V271" s="28">
        <v>0</v>
      </c>
      <c r="W271" s="28">
        <v>0</v>
      </c>
      <c r="X271" s="28">
        <v>0</v>
      </c>
      <c r="Y271" s="28">
        <v>0</v>
      </c>
      <c r="Z271" s="28">
        <v>0</v>
      </c>
      <c r="AA271" s="25">
        <v>0</v>
      </c>
      <c r="AB271" s="25">
        <v>0</v>
      </c>
      <c r="AC271" s="25">
        <v>0</v>
      </c>
      <c r="AD271" s="28">
        <v>0</v>
      </c>
      <c r="AE271" s="28">
        <v>0</v>
      </c>
      <c r="AF271" s="28">
        <v>0</v>
      </c>
      <c r="AG271" s="28">
        <v>0</v>
      </c>
      <c r="AH271" s="24">
        <v>0</v>
      </c>
      <c r="AI271" s="28">
        <v>100</v>
      </c>
      <c r="AJ271" s="13" t="str">
        <f xml:space="preserve"> IF(AD271&gt;F271,"Exceso en grasa saturada",IFERROR(IF(F271=0,"No tiene sello",IF((AD271*9)*100/F271&gt;10,"Exceso en grasa saturada","No tiene sello")),"No tiene sello"))</f>
        <v>No tiene sello</v>
      </c>
      <c r="AK271" s="13">
        <f>IF(AJ271="No tiene sello",0,1)</f>
        <v>0</v>
      </c>
      <c r="AL271" s="13" t="str">
        <f>IF(Q271&gt;=300,"Exceso en sodio",IFERROR(IF(AND(F271=0,Q271&gt;0),"No tiene sello",IF(Q271/F271&gt;1,"Exceso en sodio","No tiene sello")),"No tiene sello"))</f>
        <v>No tiene sello</v>
      </c>
      <c r="AM271" s="13" t="str">
        <f>IFERROR(IF(F271=0,"No tiene sello",IF(+(AG271/1000)*9*100/F271&gt;1,"Exceso en grasa trans", "No tiene sello")),"No tiene sello")</f>
        <v>No tiene sello</v>
      </c>
    </row>
    <row r="272" spans="1:39" ht="13.5" customHeight="1" x14ac:dyDescent="0.25">
      <c r="A272" s="20" t="s">
        <v>1121</v>
      </c>
      <c r="B272" s="20" t="s">
        <v>1122</v>
      </c>
      <c r="C272" s="20" t="s">
        <v>154</v>
      </c>
      <c r="D272" s="22">
        <v>100</v>
      </c>
      <c r="E272" s="23">
        <v>89</v>
      </c>
      <c r="F272" s="24">
        <v>48</v>
      </c>
      <c r="G272" s="23">
        <v>203</v>
      </c>
      <c r="H272" s="24">
        <v>0.7</v>
      </c>
      <c r="I272" s="24">
        <v>0.1</v>
      </c>
      <c r="J272" s="24">
        <v>9.6999999999999993</v>
      </c>
      <c r="K272" s="23">
        <v>6.8</v>
      </c>
      <c r="L272" s="23">
        <v>0.97</v>
      </c>
      <c r="M272" s="24">
        <v>2.8</v>
      </c>
      <c r="N272" s="23">
        <v>0.5</v>
      </c>
      <c r="O272" s="25">
        <v>46</v>
      </c>
      <c r="P272" s="25">
        <v>0.5</v>
      </c>
      <c r="Q272" s="23">
        <v>3</v>
      </c>
      <c r="R272" s="25">
        <v>27</v>
      </c>
      <c r="S272" s="23">
        <v>0.1</v>
      </c>
      <c r="T272" s="23">
        <v>57</v>
      </c>
      <c r="U272" s="23">
        <v>240</v>
      </c>
      <c r="V272" s="23">
        <v>0.03</v>
      </c>
      <c r="W272" s="23">
        <v>0.05</v>
      </c>
      <c r="X272" s="23">
        <v>0.5</v>
      </c>
      <c r="Y272" s="23">
        <v>6</v>
      </c>
      <c r="Z272" s="23">
        <v>0</v>
      </c>
      <c r="AA272" s="25">
        <v>15</v>
      </c>
      <c r="AB272" s="25">
        <v>7</v>
      </c>
      <c r="AC272" s="25">
        <v>0</v>
      </c>
      <c r="AD272" s="23">
        <v>0</v>
      </c>
      <c r="AE272" s="23">
        <v>0</v>
      </c>
      <c r="AF272" s="23">
        <v>0</v>
      </c>
      <c r="AG272" s="23">
        <v>0</v>
      </c>
      <c r="AH272" s="24">
        <v>0</v>
      </c>
      <c r="AI272" s="23">
        <v>61</v>
      </c>
      <c r="AJ272" s="13" t="str">
        <f xml:space="preserve"> IF(AD272&gt;F272,"Exceso en grasa saturada",IFERROR(IF(F272=0,"No tiene sello",IF((AD272*9)*100/F272&gt;10,"Exceso en grasa saturada","No tiene sello")),"No tiene sello"))</f>
        <v>No tiene sello</v>
      </c>
      <c r="AK272" s="13">
        <f>IF(AJ272="No tiene sello",0,1)</f>
        <v>0</v>
      </c>
      <c r="AL272" s="13" t="str">
        <f>IF(Q272&gt;=300,"Exceso en sodio",IFERROR(IF(AND(F272=0,Q272&gt;0),"No tiene sello",IF(Q272/F272&gt;1,"Exceso en sodio","No tiene sello")),"No tiene sello"))</f>
        <v>No tiene sello</v>
      </c>
      <c r="AM272" s="13" t="str">
        <f>IFERROR(IF(F272=0,"No tiene sello",IF(+(AG272/1000)*9*100/F272&gt;1,"Exceso en grasa trans", "No tiene sello")),"No tiene sello")</f>
        <v>No tiene sello</v>
      </c>
    </row>
    <row r="273" spans="1:39" s="5" customFormat="1" ht="13.5" customHeight="1" x14ac:dyDescent="0.25">
      <c r="A273" s="26" t="s">
        <v>1119</v>
      </c>
      <c r="B273" s="26" t="s">
        <v>1120</v>
      </c>
      <c r="C273" s="26" t="s">
        <v>154</v>
      </c>
      <c r="D273" s="16">
        <v>100</v>
      </c>
      <c r="E273" s="28">
        <v>83.3</v>
      </c>
      <c r="F273" s="24">
        <v>72</v>
      </c>
      <c r="G273" s="28">
        <v>302</v>
      </c>
      <c r="H273" s="24">
        <v>1.4</v>
      </c>
      <c r="I273" s="24">
        <v>1.1000000000000001</v>
      </c>
      <c r="J273" s="24">
        <v>12.5</v>
      </c>
      <c r="K273" s="28">
        <v>9.6</v>
      </c>
      <c r="L273" s="28">
        <v>1.25</v>
      </c>
      <c r="M273" s="24">
        <v>2.9</v>
      </c>
      <c r="N273" s="28">
        <v>1.7</v>
      </c>
      <c r="O273" s="25">
        <v>48</v>
      </c>
      <c r="P273" s="25">
        <v>0.4</v>
      </c>
      <c r="Q273" s="28">
        <v>4</v>
      </c>
      <c r="R273" s="25">
        <v>27</v>
      </c>
      <c r="S273" s="28">
        <v>0.1</v>
      </c>
      <c r="T273" s="28">
        <v>57</v>
      </c>
      <c r="U273" s="28">
        <v>231</v>
      </c>
      <c r="V273" s="28">
        <v>0.03</v>
      </c>
      <c r="W273" s="28">
        <v>0.05</v>
      </c>
      <c r="X273" s="28">
        <v>0.5</v>
      </c>
      <c r="Y273" s="28">
        <v>6</v>
      </c>
      <c r="Z273" s="28">
        <v>0</v>
      </c>
      <c r="AA273" s="25">
        <v>14</v>
      </c>
      <c r="AB273" s="25">
        <v>7</v>
      </c>
      <c r="AC273" s="25">
        <v>0</v>
      </c>
      <c r="AD273" s="28">
        <v>0</v>
      </c>
      <c r="AE273" s="28">
        <v>0</v>
      </c>
      <c r="AF273" s="28">
        <v>0</v>
      </c>
      <c r="AG273" s="28">
        <v>0</v>
      </c>
      <c r="AH273" s="24">
        <v>0</v>
      </c>
      <c r="AI273" s="28">
        <v>61</v>
      </c>
      <c r="AJ273" s="13" t="str">
        <f xml:space="preserve"> IF(AD273&gt;F273,"Exceso en grasa saturada",IFERROR(IF(F273=0,"No tiene sello",IF((AD273*9)*100/F273&gt;10,"Exceso en grasa saturada","No tiene sello")),"No tiene sello"))</f>
        <v>No tiene sello</v>
      </c>
      <c r="AK273" s="13">
        <f>IF(AJ273="No tiene sello",0,1)</f>
        <v>0</v>
      </c>
      <c r="AL273" s="13" t="str">
        <f>IF(Q273&gt;=300,"Exceso en sodio",IFERROR(IF(AND(F273=0,Q273&gt;0),"No tiene sello",IF(Q273/F273&gt;1,"Exceso en sodio","No tiene sello")),"No tiene sello"))</f>
        <v>No tiene sello</v>
      </c>
      <c r="AM273" s="13" t="str">
        <f>IFERROR(IF(F273=0,"No tiene sello",IF(+(AG273/1000)*9*100/F273&gt;1,"Exceso en grasa trans", "No tiene sello")),"No tiene sello")</f>
        <v>No tiene sello</v>
      </c>
    </row>
    <row r="274" spans="1:39" ht="13.5" customHeight="1" x14ac:dyDescent="0.25">
      <c r="A274" s="20" t="s">
        <v>1117</v>
      </c>
      <c r="B274" s="20" t="s">
        <v>1118</v>
      </c>
      <c r="C274" s="20" t="s">
        <v>154</v>
      </c>
      <c r="D274" s="22">
        <v>100</v>
      </c>
      <c r="E274" s="23">
        <v>85.1</v>
      </c>
      <c r="F274" s="24">
        <v>65</v>
      </c>
      <c r="G274" s="23">
        <v>273</v>
      </c>
      <c r="H274" s="24">
        <v>0.7</v>
      </c>
      <c r="I274" s="24">
        <v>0.5</v>
      </c>
      <c r="J274" s="24">
        <v>12.5</v>
      </c>
      <c r="K274" s="23">
        <v>8.9</v>
      </c>
      <c r="L274" s="23">
        <v>1.25</v>
      </c>
      <c r="M274" s="24">
        <v>3</v>
      </c>
      <c r="N274" s="23">
        <v>1.1000000000000001</v>
      </c>
      <c r="O274" s="25">
        <v>51</v>
      </c>
      <c r="P274" s="25">
        <v>0.5</v>
      </c>
      <c r="Q274" s="23">
        <v>3</v>
      </c>
      <c r="R274" s="25">
        <v>28</v>
      </c>
      <c r="S274" s="23">
        <v>0.1</v>
      </c>
      <c r="T274" s="23">
        <v>52</v>
      </c>
      <c r="U274" s="23">
        <v>235</v>
      </c>
      <c r="V274" s="23">
        <v>0.03</v>
      </c>
      <c r="W274" s="23">
        <v>0.06</v>
      </c>
      <c r="X274" s="23">
        <v>0.4</v>
      </c>
      <c r="Y274" s="23">
        <v>6</v>
      </c>
      <c r="Z274" s="23">
        <v>0</v>
      </c>
      <c r="AA274" s="25">
        <v>14</v>
      </c>
      <c r="AB274" s="25">
        <v>8</v>
      </c>
      <c r="AC274" s="25">
        <v>0</v>
      </c>
      <c r="AD274" s="23">
        <v>0</v>
      </c>
      <c r="AE274" s="23">
        <v>0</v>
      </c>
      <c r="AF274" s="23">
        <v>0</v>
      </c>
      <c r="AG274" s="23">
        <v>0</v>
      </c>
      <c r="AH274" s="24">
        <v>0</v>
      </c>
      <c r="AI274" s="23">
        <v>61</v>
      </c>
      <c r="AJ274" s="13" t="str">
        <f xml:space="preserve"> IF(AD274&gt;F274,"Exceso en grasa saturada",IFERROR(IF(F274=0,"No tiene sello",IF((AD274*9)*100/F274&gt;10,"Exceso en grasa saturada","No tiene sello")),"No tiene sello"))</f>
        <v>No tiene sello</v>
      </c>
      <c r="AK274" s="13">
        <f>IF(AJ274="No tiene sello",0,1)</f>
        <v>0</v>
      </c>
      <c r="AL274" s="13" t="str">
        <f>IF(Q274&gt;=300,"Exceso en sodio",IFERROR(IF(AND(F274=0,Q274&gt;0),"No tiene sello",IF(Q274/F274&gt;1,"Exceso en sodio","No tiene sello")),"No tiene sello"))</f>
        <v>No tiene sello</v>
      </c>
      <c r="AM274" s="13" t="str">
        <f>IFERROR(IF(F274=0,"No tiene sello",IF(+(AG274/1000)*9*100/F274&gt;1,"Exceso en grasa trans", "No tiene sello")),"No tiene sello")</f>
        <v>No tiene sello</v>
      </c>
    </row>
    <row r="275" spans="1:39" ht="13.5" customHeight="1" x14ac:dyDescent="0.25">
      <c r="A275" s="26" t="s">
        <v>1115</v>
      </c>
      <c r="B275" s="26" t="s">
        <v>1116</v>
      </c>
      <c r="C275" s="26" t="s">
        <v>154</v>
      </c>
      <c r="D275" s="16">
        <v>100</v>
      </c>
      <c r="E275" s="28">
        <v>84.4</v>
      </c>
      <c r="F275" s="24">
        <v>57</v>
      </c>
      <c r="G275" s="28">
        <v>243</v>
      </c>
      <c r="H275" s="24">
        <v>0.3</v>
      </c>
      <c r="I275" s="24">
        <v>0.1</v>
      </c>
      <c r="J275" s="24">
        <v>13.8</v>
      </c>
      <c r="K275" s="28">
        <v>0</v>
      </c>
      <c r="L275" s="28">
        <v>1.38</v>
      </c>
      <c r="M275" s="24">
        <v>0</v>
      </c>
      <c r="N275" s="28">
        <v>1</v>
      </c>
      <c r="O275" s="25">
        <v>50</v>
      </c>
      <c r="P275" s="25">
        <v>0.3</v>
      </c>
      <c r="Q275" s="28">
        <v>0</v>
      </c>
      <c r="R275" s="25">
        <v>20</v>
      </c>
      <c r="S275" s="28">
        <v>0</v>
      </c>
      <c r="T275" s="28">
        <v>0</v>
      </c>
      <c r="U275" s="28">
        <v>0</v>
      </c>
      <c r="V275" s="28">
        <v>0.03</v>
      </c>
      <c r="W275" s="28">
        <v>0.02</v>
      </c>
      <c r="X275" s="28">
        <v>0.3</v>
      </c>
      <c r="Y275" s="28">
        <v>0</v>
      </c>
      <c r="Z275" s="28">
        <v>0</v>
      </c>
      <c r="AA275" s="25">
        <v>24</v>
      </c>
      <c r="AB275" s="25">
        <v>0</v>
      </c>
      <c r="AC275" s="25">
        <v>0</v>
      </c>
      <c r="AD275" s="28">
        <v>0</v>
      </c>
      <c r="AE275" s="28">
        <v>0</v>
      </c>
      <c r="AF275" s="28">
        <v>0</v>
      </c>
      <c r="AG275" s="28">
        <v>0</v>
      </c>
      <c r="AH275" s="24">
        <v>0</v>
      </c>
      <c r="AI275" s="28">
        <v>20</v>
      </c>
      <c r="AJ275" s="13" t="str">
        <f xml:space="preserve"> IF(AD275&gt;F275,"Exceso en grasa saturada",IFERROR(IF(F275=0,"No tiene sello",IF((AD275*9)*100/F275&gt;10,"Exceso en grasa saturada","No tiene sello")),"No tiene sello"))</f>
        <v>No tiene sello</v>
      </c>
      <c r="AK275" s="13">
        <f>IF(AJ275="No tiene sello",0,1)</f>
        <v>0</v>
      </c>
      <c r="AL275" s="13" t="str">
        <f>IF(Q275&gt;=300,"Exceso en sodio",IFERROR(IF(AND(F275=0,Q275&gt;0),"No tiene sello",IF(Q275/F275&gt;1,"Exceso en sodio","No tiene sello")),"No tiene sello"))</f>
        <v>No tiene sello</v>
      </c>
      <c r="AM275" s="13" t="str">
        <f>IFERROR(IF(F275=0,"No tiene sello",IF(+(AG275/1000)*9*100/F275&gt;1,"Exceso en grasa trans", "No tiene sello")),"No tiene sello")</f>
        <v>No tiene sello</v>
      </c>
    </row>
    <row r="276" spans="1:39" ht="13.5" customHeight="1" x14ac:dyDescent="0.25">
      <c r="A276" s="20" t="s">
        <v>1113</v>
      </c>
      <c r="B276" s="20" t="s">
        <v>1114</v>
      </c>
      <c r="C276" s="20" t="s">
        <v>154</v>
      </c>
      <c r="D276" s="22">
        <v>100</v>
      </c>
      <c r="E276" s="23">
        <v>83</v>
      </c>
      <c r="F276" s="24">
        <v>73</v>
      </c>
      <c r="G276" s="23">
        <v>310</v>
      </c>
      <c r="H276" s="24">
        <v>1</v>
      </c>
      <c r="I276" s="24">
        <v>0.4</v>
      </c>
      <c r="J276" s="24">
        <v>15</v>
      </c>
      <c r="K276" s="23">
        <v>12.1</v>
      </c>
      <c r="L276" s="23">
        <v>1.5</v>
      </c>
      <c r="M276" s="24">
        <v>2.9</v>
      </c>
      <c r="N276" s="23">
        <v>0.6</v>
      </c>
      <c r="O276" s="25">
        <v>30</v>
      </c>
      <c r="P276" s="25">
        <v>0.4</v>
      </c>
      <c r="Q276" s="23">
        <v>3</v>
      </c>
      <c r="R276" s="25">
        <v>34</v>
      </c>
      <c r="S276" s="23">
        <v>0.1</v>
      </c>
      <c r="T276" s="23">
        <v>16</v>
      </c>
      <c r="U276" s="23">
        <v>299</v>
      </c>
      <c r="V276" s="23">
        <v>0.03</v>
      </c>
      <c r="W276" s="23">
        <v>0.03</v>
      </c>
      <c r="X276" s="23">
        <v>0.4</v>
      </c>
      <c r="Y276" s="23">
        <v>25</v>
      </c>
      <c r="Z276" s="23">
        <v>0</v>
      </c>
      <c r="AA276" s="25">
        <v>80</v>
      </c>
      <c r="AB276" s="25">
        <v>18</v>
      </c>
      <c r="AC276" s="25">
        <v>0</v>
      </c>
      <c r="AD276" s="23">
        <v>0</v>
      </c>
      <c r="AE276" s="23">
        <v>0</v>
      </c>
      <c r="AF276" s="23">
        <v>0</v>
      </c>
      <c r="AG276" s="23">
        <v>0</v>
      </c>
      <c r="AH276" s="24">
        <v>0</v>
      </c>
      <c r="AI276" s="23">
        <v>91</v>
      </c>
      <c r="AJ276" s="13" t="str">
        <f xml:space="preserve"> IF(AD276&gt;F276,"Exceso en grasa saturada",IFERROR(IF(F276=0,"No tiene sello",IF((AD276*9)*100/F276&gt;10,"Exceso en grasa saturada","No tiene sello")),"No tiene sello"))</f>
        <v>No tiene sello</v>
      </c>
      <c r="AK276" s="13">
        <f>IF(AJ276="No tiene sello",0,1)</f>
        <v>0</v>
      </c>
      <c r="AL276" s="13" t="str">
        <f>IF(Q276&gt;=300,"Exceso en sodio",IFERROR(IF(AND(F276=0,Q276&gt;0),"No tiene sello",IF(Q276/F276&gt;1,"Exceso en sodio","No tiene sello")),"No tiene sello"))</f>
        <v>No tiene sello</v>
      </c>
      <c r="AM276" s="13" t="str">
        <f>IFERROR(IF(F276=0,"No tiene sello",IF(+(AG276/1000)*9*100/F276&gt;1,"Exceso en grasa trans", "No tiene sello")),"No tiene sello")</f>
        <v>No tiene sello</v>
      </c>
    </row>
    <row r="277" spans="1:39" ht="13.5" customHeight="1" x14ac:dyDescent="0.25">
      <c r="A277" s="26" t="s">
        <v>1111</v>
      </c>
      <c r="B277" s="26" t="s">
        <v>1112</v>
      </c>
      <c r="C277" s="26" t="s">
        <v>154</v>
      </c>
      <c r="D277" s="16">
        <v>100</v>
      </c>
      <c r="E277" s="28">
        <v>92.4</v>
      </c>
      <c r="F277" s="24">
        <v>35</v>
      </c>
      <c r="G277" s="28">
        <v>147</v>
      </c>
      <c r="H277" s="24">
        <v>0.5</v>
      </c>
      <c r="I277" s="24">
        <v>0.1</v>
      </c>
      <c r="J277" s="24">
        <v>6.6</v>
      </c>
      <c r="K277" s="28">
        <v>3.8</v>
      </c>
      <c r="L277" s="28">
        <v>0.66</v>
      </c>
      <c r="M277" s="24">
        <v>2.8</v>
      </c>
      <c r="N277" s="28">
        <v>0.4</v>
      </c>
      <c r="O277" s="25">
        <v>28</v>
      </c>
      <c r="P277" s="25">
        <v>0.3</v>
      </c>
      <c r="Q277" s="28">
        <v>2</v>
      </c>
      <c r="R277" s="25">
        <v>10</v>
      </c>
      <c r="S277" s="28">
        <v>0.1</v>
      </c>
      <c r="T277" s="28">
        <v>19</v>
      </c>
      <c r="U277" s="28">
        <v>39</v>
      </c>
      <c r="V277" s="28">
        <v>0.04</v>
      </c>
      <c r="W277" s="28">
        <v>0.01</v>
      </c>
      <c r="X277" s="28">
        <v>0.2</v>
      </c>
      <c r="Y277" s="28">
        <v>8</v>
      </c>
      <c r="Z277" s="28">
        <v>0</v>
      </c>
      <c r="AA277" s="25">
        <v>45</v>
      </c>
      <c r="AB277" s="25">
        <v>0</v>
      </c>
      <c r="AC277" s="25">
        <v>0</v>
      </c>
      <c r="AD277" s="28">
        <v>0</v>
      </c>
      <c r="AE277" s="28">
        <v>0</v>
      </c>
      <c r="AF277" s="28">
        <v>0</v>
      </c>
      <c r="AG277" s="28">
        <v>0</v>
      </c>
      <c r="AH277" s="24">
        <v>0</v>
      </c>
      <c r="AI277" s="28">
        <v>40</v>
      </c>
      <c r="AJ277" s="13" t="str">
        <f xml:space="preserve"> IF(AD277&gt;F277,"Exceso en grasa saturada",IFERROR(IF(F277=0,"No tiene sello",IF((AD277*9)*100/F277&gt;10,"Exceso en grasa saturada","No tiene sello")),"No tiene sello"))</f>
        <v>No tiene sello</v>
      </c>
      <c r="AK277" s="13">
        <f>IF(AJ277="No tiene sello",0,1)</f>
        <v>0</v>
      </c>
      <c r="AL277" s="13" t="str">
        <f>IF(Q277&gt;=300,"Exceso en sodio",IFERROR(IF(AND(F277=0,Q277&gt;0),"No tiene sello",IF(Q277/F277&gt;1,"Exceso en sodio","No tiene sello")),"No tiene sello"))</f>
        <v>No tiene sello</v>
      </c>
      <c r="AM277" s="13" t="str">
        <f>IFERROR(IF(F277=0,"No tiene sello",IF(+(AG277/1000)*9*100/F277&gt;1,"Exceso en grasa trans", "No tiene sello")),"No tiene sello")</f>
        <v>No tiene sello</v>
      </c>
    </row>
    <row r="278" spans="1:39" s="4" customFormat="1" ht="13.5" customHeight="1" x14ac:dyDescent="0.25">
      <c r="A278" s="29" t="s">
        <v>1109</v>
      </c>
      <c r="B278" s="29" t="s">
        <v>1110</v>
      </c>
      <c r="C278" s="29" t="s">
        <v>154</v>
      </c>
      <c r="D278" s="22">
        <v>100</v>
      </c>
      <c r="E278" s="31">
        <v>89.7</v>
      </c>
      <c r="F278" s="24">
        <v>44</v>
      </c>
      <c r="G278" s="31">
        <v>186</v>
      </c>
      <c r="H278" s="24">
        <v>0.3</v>
      </c>
      <c r="I278" s="24">
        <v>0.3</v>
      </c>
      <c r="J278" s="24">
        <v>9.3000000000000007</v>
      </c>
      <c r="K278" s="31">
        <v>7.8</v>
      </c>
      <c r="L278" s="31">
        <v>0.93</v>
      </c>
      <c r="M278" s="24">
        <v>1.5</v>
      </c>
      <c r="N278" s="31">
        <v>0.4</v>
      </c>
      <c r="O278" s="31">
        <v>19</v>
      </c>
      <c r="P278" s="31">
        <v>0.5</v>
      </c>
      <c r="Q278" s="31">
        <v>4</v>
      </c>
      <c r="R278" s="31">
        <v>15</v>
      </c>
      <c r="S278" s="31">
        <v>0.1</v>
      </c>
      <c r="T278" s="31">
        <v>8</v>
      </c>
      <c r="U278" s="31">
        <v>143</v>
      </c>
      <c r="V278" s="31">
        <v>0.05</v>
      </c>
      <c r="W278" s="31">
        <v>0.01</v>
      </c>
      <c r="X278" s="31">
        <v>0.1</v>
      </c>
      <c r="Y278" s="31">
        <v>11</v>
      </c>
      <c r="Z278" s="31">
        <v>0</v>
      </c>
      <c r="AA278" s="31">
        <v>42</v>
      </c>
      <c r="AB278" s="31">
        <v>1</v>
      </c>
      <c r="AC278" s="31">
        <v>0</v>
      </c>
      <c r="AD278" s="31">
        <v>0</v>
      </c>
      <c r="AE278" s="31">
        <v>0</v>
      </c>
      <c r="AF278" s="31">
        <v>0</v>
      </c>
      <c r="AG278" s="31">
        <v>0</v>
      </c>
      <c r="AH278" s="31">
        <v>0</v>
      </c>
      <c r="AI278" s="31">
        <v>50</v>
      </c>
      <c r="AJ278" s="13" t="str">
        <f xml:space="preserve"> IF(AD278&gt;F278,"Exceso en grasa saturada",IFERROR(IF(F278=0,"No tiene sello",IF((AD278*9)*100/F278&gt;10,"Exceso en grasa saturada","No tiene sello")),"No tiene sello"))</f>
        <v>No tiene sello</v>
      </c>
      <c r="AK278" s="13">
        <f>IF(AJ278="No tiene sello",0,1)</f>
        <v>0</v>
      </c>
      <c r="AL278" s="13" t="str">
        <f>IF(Q278&gt;=300,"Exceso en sodio",IFERROR(IF(AND(F278=0,Q278&gt;0),"No tiene sello",IF(Q278/F278&gt;1,"Exceso en sodio","No tiene sello")),"No tiene sello"))</f>
        <v>No tiene sello</v>
      </c>
      <c r="AM278" s="13" t="str">
        <f>IFERROR(IF(F278=0,"No tiene sello",IF(+(AG278/1000)*9*100/F278&gt;1,"Exceso en grasa trans", "No tiene sello")),"No tiene sello")</f>
        <v>No tiene sello</v>
      </c>
    </row>
    <row r="279" spans="1:39" s="5" customFormat="1" ht="13.5" customHeight="1" x14ac:dyDescent="0.25">
      <c r="A279" s="26" t="s">
        <v>1107</v>
      </c>
      <c r="B279" s="26" t="s">
        <v>1108</v>
      </c>
      <c r="C279" s="26" t="s">
        <v>154</v>
      </c>
      <c r="D279" s="16">
        <v>100</v>
      </c>
      <c r="E279" s="28">
        <v>89.2</v>
      </c>
      <c r="F279" s="24">
        <v>48</v>
      </c>
      <c r="G279" s="28">
        <v>200</v>
      </c>
      <c r="H279" s="24">
        <v>0.9</v>
      </c>
      <c r="I279" s="24">
        <v>0.1</v>
      </c>
      <c r="J279" s="24">
        <v>8.9</v>
      </c>
      <c r="K279" s="28">
        <v>5.3</v>
      </c>
      <c r="L279" s="28">
        <v>0.89</v>
      </c>
      <c r="M279" s="24">
        <v>3.6</v>
      </c>
      <c r="N279" s="28">
        <v>0.8</v>
      </c>
      <c r="O279" s="25">
        <v>10</v>
      </c>
      <c r="P279" s="25">
        <v>0.6</v>
      </c>
      <c r="Q279" s="28">
        <v>0</v>
      </c>
      <c r="R279" s="25">
        <v>15</v>
      </c>
      <c r="S279" s="28">
        <v>0.1</v>
      </c>
      <c r="T279" s="28">
        <v>19</v>
      </c>
      <c r="U279" s="28">
        <v>248</v>
      </c>
      <c r="V279" s="28">
        <v>0.04</v>
      </c>
      <c r="W279" s="28">
        <v>0.04</v>
      </c>
      <c r="X279" s="28">
        <v>0.1</v>
      </c>
      <c r="Y279" s="28">
        <v>7</v>
      </c>
      <c r="Z279" s="28">
        <v>0</v>
      </c>
      <c r="AA279" s="25">
        <v>20</v>
      </c>
      <c r="AB279" s="25">
        <v>37</v>
      </c>
      <c r="AC279" s="25">
        <v>0</v>
      </c>
      <c r="AD279" s="28">
        <v>0</v>
      </c>
      <c r="AE279" s="28">
        <v>0</v>
      </c>
      <c r="AF279" s="28">
        <v>0</v>
      </c>
      <c r="AG279" s="28">
        <v>0</v>
      </c>
      <c r="AH279" s="24">
        <v>0</v>
      </c>
      <c r="AI279" s="28">
        <v>60</v>
      </c>
      <c r="AJ279" s="13" t="str">
        <f xml:space="preserve"> IF(AD279&gt;F279,"Exceso en grasa saturada",IFERROR(IF(F279=0,"No tiene sello",IF((AD279*9)*100/F279&gt;10,"Exceso en grasa saturada","No tiene sello")),"No tiene sello"))</f>
        <v>No tiene sello</v>
      </c>
      <c r="AK279" s="13">
        <f>IF(AJ279="No tiene sello",0,1)</f>
        <v>0</v>
      </c>
      <c r="AL279" s="13" t="str">
        <f>IF(Q279&gt;=300,"Exceso en sodio",IFERROR(IF(AND(F279=0,Q279&gt;0),"No tiene sello",IF(Q279/F279&gt;1,"Exceso en sodio","No tiene sello")),"No tiene sello"))</f>
        <v>No tiene sello</v>
      </c>
      <c r="AM279" s="13" t="str">
        <f>IFERROR(IF(F279=0,"No tiene sello",IF(+(AG279/1000)*9*100/F279&gt;1,"Exceso en grasa trans", "No tiene sello")),"No tiene sello")</f>
        <v>No tiene sello</v>
      </c>
    </row>
    <row r="280" spans="1:39" ht="13.5" customHeight="1" x14ac:dyDescent="0.25">
      <c r="A280" s="29" t="s">
        <v>1105</v>
      </c>
      <c r="B280" s="29" t="s">
        <v>1106</v>
      </c>
      <c r="C280" s="29" t="s">
        <v>165</v>
      </c>
      <c r="D280" s="22">
        <v>100</v>
      </c>
      <c r="E280" s="31">
        <v>3</v>
      </c>
      <c r="F280" s="24">
        <v>579</v>
      </c>
      <c r="G280" s="31">
        <v>2411</v>
      </c>
      <c r="H280" s="24">
        <v>5.9</v>
      </c>
      <c r="I280" s="24">
        <v>36.4</v>
      </c>
      <c r="J280" s="24">
        <v>52.6</v>
      </c>
      <c r="K280" s="31">
        <v>44</v>
      </c>
      <c r="L280" s="31">
        <v>5.26</v>
      </c>
      <c r="M280" s="24">
        <v>8.6</v>
      </c>
      <c r="N280" s="31">
        <v>2</v>
      </c>
      <c r="O280" s="31">
        <v>85</v>
      </c>
      <c r="P280" s="31">
        <v>3.7</v>
      </c>
      <c r="Q280" s="31">
        <v>5</v>
      </c>
      <c r="R280" s="31">
        <v>188</v>
      </c>
      <c r="S280" s="31">
        <v>1.2</v>
      </c>
      <c r="T280" s="31">
        <v>130</v>
      </c>
      <c r="U280" s="31">
        <v>368</v>
      </c>
      <c r="V280" s="31">
        <v>1.2</v>
      </c>
      <c r="W280" s="31">
        <v>0.16</v>
      </c>
      <c r="X280" s="31">
        <v>2.5</v>
      </c>
      <c r="Y280" s="31">
        <v>11</v>
      </c>
      <c r="Z280" s="31">
        <v>0</v>
      </c>
      <c r="AA280" s="31">
        <v>1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0</v>
      </c>
      <c r="AI280" s="31">
        <v>100</v>
      </c>
      <c r="AJ280" s="13" t="str">
        <f xml:space="preserve"> IF(AD280&gt;F280,"Exceso en grasa saturada",IFERROR(IF(F280=0,"No tiene sello",IF((AD280*9)*100/F280&gt;10,"Exceso en grasa saturada","No tiene sello")),"No tiene sello"))</f>
        <v>No tiene sello</v>
      </c>
      <c r="AK280" s="13">
        <f>IF(AJ280="No tiene sello",0,1)</f>
        <v>0</v>
      </c>
      <c r="AL280" s="13" t="str">
        <f>IF(Q280&gt;=300,"Exceso en sodio",IFERROR(IF(AND(F280=0,Q280&gt;0),"No tiene sello",IF(Q280/F280&gt;1,"Exceso en sodio","No tiene sello")),"No tiene sello"))</f>
        <v>No tiene sello</v>
      </c>
      <c r="AM280" s="13" t="str">
        <f>IFERROR(IF(F280=0,"No tiene sello",IF(+(AG280/1000)*9*100/F280&gt;1,"Exceso en grasa trans", "No tiene sello")),"No tiene sello")</f>
        <v>No tiene sello</v>
      </c>
    </row>
    <row r="281" spans="1:39" s="5" customFormat="1" ht="13.5" customHeight="1" x14ac:dyDescent="0.25">
      <c r="A281" s="26" t="s">
        <v>1103</v>
      </c>
      <c r="B281" s="26" t="s">
        <v>1104</v>
      </c>
      <c r="C281" s="26" t="s">
        <v>154</v>
      </c>
      <c r="D281" s="16">
        <v>100</v>
      </c>
      <c r="E281" s="28">
        <v>88.3</v>
      </c>
      <c r="F281" s="24">
        <v>47</v>
      </c>
      <c r="G281" s="28">
        <v>198</v>
      </c>
      <c r="H281" s="24">
        <v>0.5</v>
      </c>
      <c r="I281" s="24">
        <v>0.1</v>
      </c>
      <c r="J281" s="24">
        <v>10.9</v>
      </c>
      <c r="K281" s="28">
        <v>0</v>
      </c>
      <c r="L281" s="28">
        <v>1.0900000000000001</v>
      </c>
      <c r="M281" s="24">
        <v>0</v>
      </c>
      <c r="N281" s="28">
        <v>0.2</v>
      </c>
      <c r="O281" s="25">
        <v>10</v>
      </c>
      <c r="P281" s="25">
        <v>0.3</v>
      </c>
      <c r="Q281" s="28">
        <v>0</v>
      </c>
      <c r="R281" s="25">
        <v>21</v>
      </c>
      <c r="S281" s="28">
        <v>0</v>
      </c>
      <c r="T281" s="28">
        <v>0</v>
      </c>
      <c r="U281" s="28">
        <v>0</v>
      </c>
      <c r="V281" s="28">
        <v>0.05</v>
      </c>
      <c r="W281" s="28">
        <v>0.05</v>
      </c>
      <c r="X281" s="28">
        <v>0.3</v>
      </c>
      <c r="Y281" s="28">
        <v>0</v>
      </c>
      <c r="Z281" s="28">
        <v>0</v>
      </c>
      <c r="AA281" s="25">
        <v>10</v>
      </c>
      <c r="AB281" s="25">
        <v>0</v>
      </c>
      <c r="AC281" s="25">
        <v>0</v>
      </c>
      <c r="AD281" s="28">
        <v>0</v>
      </c>
      <c r="AE281" s="28">
        <v>0</v>
      </c>
      <c r="AF281" s="28">
        <v>0</v>
      </c>
      <c r="AG281" s="28">
        <v>0</v>
      </c>
      <c r="AH281" s="24">
        <v>0</v>
      </c>
      <c r="AI281" s="28">
        <v>15</v>
      </c>
      <c r="AJ281" s="13" t="str">
        <f xml:space="preserve"> IF(AD281&gt;F281,"Exceso en grasa saturada",IFERROR(IF(F281=0,"No tiene sello",IF((AD281*9)*100/F281&gt;10,"Exceso en grasa saturada","No tiene sello")),"No tiene sello"))</f>
        <v>No tiene sello</v>
      </c>
      <c r="AK281" s="13">
        <f>IF(AJ281="No tiene sello",0,1)</f>
        <v>0</v>
      </c>
      <c r="AL281" s="13" t="str">
        <f>IF(Q281&gt;=300,"Exceso en sodio",IFERROR(IF(AND(F281=0,Q281&gt;0),"No tiene sello",IF(Q281/F281&gt;1,"Exceso en sodio","No tiene sello")),"No tiene sello"))</f>
        <v>No tiene sello</v>
      </c>
      <c r="AM281" s="13" t="str">
        <f>IFERROR(IF(F281=0,"No tiene sello",IF(+(AG281/1000)*9*100/F281&gt;1,"Exceso en grasa trans", "No tiene sello")),"No tiene sello")</f>
        <v>No tiene sello</v>
      </c>
    </row>
    <row r="282" spans="1:39" ht="13.5" customHeight="1" x14ac:dyDescent="0.25">
      <c r="A282" s="20" t="s">
        <v>1101</v>
      </c>
      <c r="B282" s="20" t="s">
        <v>1102</v>
      </c>
      <c r="C282" s="20" t="s">
        <v>154</v>
      </c>
      <c r="D282" s="46">
        <v>100</v>
      </c>
      <c r="E282" s="23">
        <v>85.8</v>
      </c>
      <c r="F282" s="24">
        <v>62</v>
      </c>
      <c r="G282" s="23">
        <v>262</v>
      </c>
      <c r="H282" s="24">
        <v>0.4</v>
      </c>
      <c r="I282" s="24">
        <v>0.1</v>
      </c>
      <c r="J282" s="24">
        <v>13.4</v>
      </c>
      <c r="K282" s="23">
        <v>10.4</v>
      </c>
      <c r="L282" s="23">
        <v>1.34</v>
      </c>
      <c r="M282" s="24">
        <v>3</v>
      </c>
      <c r="N282" s="23">
        <v>0.3</v>
      </c>
      <c r="O282" s="25">
        <v>20</v>
      </c>
      <c r="P282" s="25">
        <v>0.4</v>
      </c>
      <c r="Q282" s="23">
        <v>15</v>
      </c>
      <c r="R282" s="25">
        <v>15</v>
      </c>
      <c r="S282" s="23">
        <v>0.1</v>
      </c>
      <c r="T282" s="23">
        <v>16</v>
      </c>
      <c r="U282" s="23">
        <v>47</v>
      </c>
      <c r="V282" s="23">
        <v>0.04</v>
      </c>
      <c r="W282" s="23">
        <v>0.04</v>
      </c>
      <c r="X282" s="23">
        <v>0.4</v>
      </c>
      <c r="Y282" s="23">
        <v>14</v>
      </c>
      <c r="Z282" s="23">
        <v>0</v>
      </c>
      <c r="AA282" s="25">
        <v>8</v>
      </c>
      <c r="AB282" s="25">
        <v>120</v>
      </c>
      <c r="AC282" s="25">
        <v>0</v>
      </c>
      <c r="AD282" s="23">
        <v>0</v>
      </c>
      <c r="AE282" s="23">
        <v>0</v>
      </c>
      <c r="AF282" s="23">
        <v>0</v>
      </c>
      <c r="AG282" s="23">
        <v>0</v>
      </c>
      <c r="AH282" s="24">
        <v>0</v>
      </c>
      <c r="AI282" s="23">
        <v>65</v>
      </c>
      <c r="AJ282" s="13" t="str">
        <f xml:space="preserve"> IF(AD282&gt;F282,"Exceso en grasa saturada",IFERROR(IF(F282=0,"No tiene sello",IF((AD282*9)*100/F282&gt;10,"Exceso en grasa saturada","No tiene sello")),"No tiene sello"))</f>
        <v>No tiene sello</v>
      </c>
      <c r="AK282" s="13">
        <f>IF(AJ282="No tiene sello",0,1)</f>
        <v>0</v>
      </c>
      <c r="AL282" s="13" t="str">
        <f>IF(Q282&gt;=300,"Exceso en sodio",IFERROR(IF(AND(F282=0,Q282&gt;0),"No tiene sello",IF(Q282/F282&gt;1,"Exceso en sodio","No tiene sello")),"No tiene sello"))</f>
        <v>No tiene sello</v>
      </c>
      <c r="AM282" s="13" t="str">
        <f>IFERROR(IF(F282=0,"No tiene sello",IF(+(AG282/1000)*9*100/F282&gt;1,"Exceso en grasa trans", "No tiene sello")),"No tiene sello")</f>
        <v>No tiene sello</v>
      </c>
    </row>
    <row r="283" spans="1:39" ht="13.5" customHeight="1" x14ac:dyDescent="0.25">
      <c r="A283" s="26" t="s">
        <v>1099</v>
      </c>
      <c r="B283" s="26" t="s">
        <v>1100</v>
      </c>
      <c r="C283" s="26" t="s">
        <v>154</v>
      </c>
      <c r="D283" s="47">
        <v>100</v>
      </c>
      <c r="E283" s="28">
        <v>77.400000000000006</v>
      </c>
      <c r="F283" s="24">
        <v>90</v>
      </c>
      <c r="G283" s="28">
        <v>381</v>
      </c>
      <c r="H283" s="24">
        <v>1</v>
      </c>
      <c r="I283" s="24">
        <v>0.2</v>
      </c>
      <c r="J283" s="24">
        <v>21</v>
      </c>
      <c r="K283" s="28">
        <v>0</v>
      </c>
      <c r="L283" s="28">
        <v>2.1</v>
      </c>
      <c r="M283" s="24">
        <v>0</v>
      </c>
      <c r="N283" s="28">
        <v>0.4</v>
      </c>
      <c r="O283" s="25">
        <v>15</v>
      </c>
      <c r="P283" s="25">
        <v>0.6</v>
      </c>
      <c r="Q283" s="28">
        <v>0</v>
      </c>
      <c r="R283" s="25">
        <v>20</v>
      </c>
      <c r="S283" s="28">
        <v>0</v>
      </c>
      <c r="T283" s="28">
        <v>0</v>
      </c>
      <c r="U283" s="28">
        <v>0</v>
      </c>
      <c r="V283" s="28">
        <v>0.03</v>
      </c>
      <c r="W283" s="28">
        <v>0.02</v>
      </c>
      <c r="X283" s="28">
        <v>0.9</v>
      </c>
      <c r="Y283" s="28">
        <v>0</v>
      </c>
      <c r="Z283" s="28">
        <v>0</v>
      </c>
      <c r="AA283" s="25">
        <v>3</v>
      </c>
      <c r="AB283" s="25">
        <v>7</v>
      </c>
      <c r="AC283" s="25">
        <v>0</v>
      </c>
      <c r="AD283" s="28">
        <v>0</v>
      </c>
      <c r="AE283" s="28">
        <v>0</v>
      </c>
      <c r="AF283" s="28">
        <v>0</v>
      </c>
      <c r="AG283" s="28">
        <v>0</v>
      </c>
      <c r="AH283" s="24">
        <v>0</v>
      </c>
      <c r="AI283" s="28">
        <v>35</v>
      </c>
      <c r="AJ283" s="13" t="str">
        <f xml:space="preserve"> IF(AD283&gt;F283,"Exceso en grasa saturada",IFERROR(IF(F283=0,"No tiene sello",IF((AD283*9)*100/F283&gt;10,"Exceso en grasa saturada","No tiene sello")),"No tiene sello"))</f>
        <v>No tiene sello</v>
      </c>
      <c r="AK283" s="13">
        <f>IF(AJ283="No tiene sello",0,1)</f>
        <v>0</v>
      </c>
      <c r="AL283" s="13" t="str">
        <f>IF(Q283&gt;=300,"Exceso en sodio",IFERROR(IF(AND(F283=0,Q283&gt;0),"No tiene sello",IF(Q283/F283&gt;1,"Exceso en sodio","No tiene sello")),"No tiene sello"))</f>
        <v>No tiene sello</v>
      </c>
      <c r="AM283" s="13" t="str">
        <f>IFERROR(IF(F283=0,"No tiene sello",IF(+(AG283/1000)*9*100/F283&gt;1,"Exceso en grasa trans", "No tiene sello")),"No tiene sello")</f>
        <v>No tiene sello</v>
      </c>
    </row>
    <row r="284" spans="1:39" ht="13.5" customHeight="1" x14ac:dyDescent="0.25">
      <c r="A284" s="29" t="s">
        <v>1097</v>
      </c>
      <c r="B284" s="29" t="s">
        <v>1098</v>
      </c>
      <c r="C284" s="29" t="s">
        <v>154</v>
      </c>
      <c r="D284" s="46">
        <v>100</v>
      </c>
      <c r="E284" s="31">
        <v>87.2</v>
      </c>
      <c r="F284" s="24">
        <v>54</v>
      </c>
      <c r="G284" s="31">
        <v>228</v>
      </c>
      <c r="H284" s="24">
        <v>0.9</v>
      </c>
      <c r="I284" s="24">
        <v>0.1</v>
      </c>
      <c r="J284" s="24">
        <v>11.4</v>
      </c>
      <c r="K284" s="31">
        <v>9.6</v>
      </c>
      <c r="L284" s="31">
        <v>1.1399999999999999</v>
      </c>
      <c r="M284" s="24">
        <v>1.8</v>
      </c>
      <c r="N284" s="31">
        <v>0.4</v>
      </c>
      <c r="O284" s="31">
        <v>35</v>
      </c>
      <c r="P284" s="31">
        <v>0.3</v>
      </c>
      <c r="Q284" s="31">
        <v>2</v>
      </c>
      <c r="R284" s="31">
        <v>21</v>
      </c>
      <c r="S284" s="31">
        <v>0.2</v>
      </c>
      <c r="T284" s="31">
        <v>12</v>
      </c>
      <c r="U284" s="31">
        <v>151</v>
      </c>
      <c r="V284" s="31">
        <v>0.06</v>
      </c>
      <c r="W284" s="31">
        <v>0.03</v>
      </c>
      <c r="X284" s="31">
        <v>0.2</v>
      </c>
      <c r="Y284" s="31">
        <v>18</v>
      </c>
      <c r="Z284" s="31">
        <v>0</v>
      </c>
      <c r="AA284" s="31">
        <v>24</v>
      </c>
      <c r="AB284" s="31">
        <v>35</v>
      </c>
      <c r="AC284" s="31">
        <v>0</v>
      </c>
      <c r="AD284" s="31">
        <v>0</v>
      </c>
      <c r="AE284" s="31">
        <v>0</v>
      </c>
      <c r="AF284" s="31">
        <v>0</v>
      </c>
      <c r="AG284" s="31">
        <v>0</v>
      </c>
      <c r="AH284" s="31">
        <v>0</v>
      </c>
      <c r="AI284" s="31">
        <v>70</v>
      </c>
      <c r="AJ284" s="13" t="str">
        <f xml:space="preserve"> IF(AD284&gt;F284,"Exceso en grasa saturada",IFERROR(IF(F284=0,"No tiene sello",IF((AD284*9)*100/F284&gt;10,"Exceso en grasa saturada","No tiene sello")),"No tiene sello"))</f>
        <v>No tiene sello</v>
      </c>
      <c r="AK284" s="13">
        <f>IF(AJ284="No tiene sello",0,1)</f>
        <v>0</v>
      </c>
      <c r="AL284" s="13" t="str">
        <f>IF(Q284&gt;=300,"Exceso en sodio",IFERROR(IF(AND(F284=0,Q284&gt;0),"No tiene sello",IF(Q284/F284&gt;1,"Exceso en sodio","No tiene sello")),"No tiene sello"))</f>
        <v>No tiene sello</v>
      </c>
      <c r="AM284" s="13" t="str">
        <f>IFERROR(IF(F284=0,"No tiene sello",IF(+(AG284/1000)*9*100/F284&gt;1,"Exceso en grasa trans", "No tiene sello")),"No tiene sello")</f>
        <v>No tiene sello</v>
      </c>
    </row>
    <row r="285" spans="1:39" ht="13.5" customHeight="1" x14ac:dyDescent="0.25">
      <c r="A285" s="26" t="s">
        <v>1095</v>
      </c>
      <c r="B285" s="26" t="s">
        <v>1096</v>
      </c>
      <c r="C285" s="26" t="s">
        <v>154</v>
      </c>
      <c r="D285" s="47">
        <v>100</v>
      </c>
      <c r="E285" s="28">
        <v>81.8</v>
      </c>
      <c r="F285" s="24">
        <v>79</v>
      </c>
      <c r="G285" s="28">
        <v>334</v>
      </c>
      <c r="H285" s="24">
        <v>0.6</v>
      </c>
      <c r="I285" s="24">
        <v>0</v>
      </c>
      <c r="J285" s="24">
        <v>17.100000000000001</v>
      </c>
      <c r="K285" s="28">
        <v>13.2</v>
      </c>
      <c r="L285" s="28">
        <v>11.97</v>
      </c>
      <c r="M285" s="24">
        <v>3.9</v>
      </c>
      <c r="N285" s="28">
        <v>0.5</v>
      </c>
      <c r="O285" s="25">
        <v>15</v>
      </c>
      <c r="P285" s="25">
        <v>0.5</v>
      </c>
      <c r="Q285" s="28">
        <v>4</v>
      </c>
      <c r="R285" s="25">
        <v>21</v>
      </c>
      <c r="S285" s="28">
        <v>0.1</v>
      </c>
      <c r="T285" s="28">
        <v>24</v>
      </c>
      <c r="U285" s="28">
        <v>382</v>
      </c>
      <c r="V285" s="28">
        <v>0.12</v>
      </c>
      <c r="W285" s="28">
        <v>0.12</v>
      </c>
      <c r="X285" s="28">
        <v>0.5</v>
      </c>
      <c r="Y285" s="28">
        <v>39</v>
      </c>
      <c r="Z285" s="28">
        <v>0</v>
      </c>
      <c r="AA285" s="25">
        <v>48</v>
      </c>
      <c r="AB285" s="25">
        <v>140</v>
      </c>
      <c r="AC285" s="25">
        <v>0</v>
      </c>
      <c r="AD285" s="28">
        <v>0</v>
      </c>
      <c r="AE285" s="28">
        <v>0</v>
      </c>
      <c r="AF285" s="28">
        <v>0</v>
      </c>
      <c r="AG285" s="28">
        <v>0</v>
      </c>
      <c r="AH285" s="24">
        <v>0</v>
      </c>
      <c r="AI285" s="28">
        <v>50</v>
      </c>
      <c r="AJ285" s="13" t="str">
        <f xml:space="preserve"> IF(AD285&gt;F285,"Exceso en grasa saturada",IFERROR(IF(F285=0,"No tiene sello",IF((AD285*9)*100/F285&gt;10,"Exceso en grasa saturada","No tiene sello")),"No tiene sello"))</f>
        <v>No tiene sello</v>
      </c>
      <c r="AK285" s="13">
        <f>IF(AJ285="No tiene sello",0,1)</f>
        <v>0</v>
      </c>
      <c r="AL285" s="13" t="str">
        <f>IF(Q285&gt;=300,"Exceso en sodio",IFERROR(IF(AND(F285=0,Q285&gt;0),"No tiene sello",IF(Q285/F285&gt;1,"Exceso en sodio","No tiene sello")),"No tiene sello"))</f>
        <v>No tiene sello</v>
      </c>
      <c r="AM285" s="13" t="str">
        <f>IFERROR(IF(F285=0,"No tiene sello",IF(+(AG285/1000)*9*100/F285&gt;1,"Exceso en grasa trans", "No tiene sello")),"No tiene sello")</f>
        <v>No tiene sello</v>
      </c>
    </row>
    <row r="286" spans="1:39" s="5" customFormat="1" ht="13.5" customHeight="1" x14ac:dyDescent="0.25">
      <c r="A286" s="20" t="s">
        <v>1093</v>
      </c>
      <c r="B286" s="20" t="s">
        <v>1094</v>
      </c>
      <c r="C286" s="20" t="s">
        <v>154</v>
      </c>
      <c r="D286" s="46">
        <v>100</v>
      </c>
      <c r="E286" s="23">
        <v>52.5</v>
      </c>
      <c r="F286" s="24">
        <v>194</v>
      </c>
      <c r="G286" s="23">
        <v>824</v>
      </c>
      <c r="H286" s="24">
        <v>0.4</v>
      </c>
      <c r="I286" s="24">
        <v>0.1</v>
      </c>
      <c r="J286" s="24">
        <v>46.9</v>
      </c>
      <c r="K286" s="23">
        <v>44.8</v>
      </c>
      <c r="L286" s="23">
        <v>32.83</v>
      </c>
      <c r="M286" s="24">
        <v>2.1</v>
      </c>
      <c r="N286" s="23">
        <v>0</v>
      </c>
      <c r="O286" s="25">
        <v>8</v>
      </c>
      <c r="P286" s="25">
        <v>0.1</v>
      </c>
      <c r="Q286" s="23">
        <v>0</v>
      </c>
      <c r="R286" s="25">
        <v>14</v>
      </c>
      <c r="S286" s="23">
        <v>0.1</v>
      </c>
      <c r="T286" s="23">
        <v>7</v>
      </c>
      <c r="U286" s="23">
        <v>138</v>
      </c>
      <c r="V286" s="23">
        <v>0</v>
      </c>
      <c r="W286" s="23">
        <v>0.04</v>
      </c>
      <c r="X286" s="23">
        <v>0</v>
      </c>
      <c r="Y286" s="23">
        <v>0</v>
      </c>
      <c r="Z286" s="23">
        <v>0</v>
      </c>
      <c r="AA286" s="25">
        <v>70</v>
      </c>
      <c r="AB286" s="25">
        <v>0</v>
      </c>
      <c r="AC286" s="25">
        <v>0</v>
      </c>
      <c r="AD286" s="23">
        <v>0</v>
      </c>
      <c r="AE286" s="23">
        <v>0</v>
      </c>
      <c r="AF286" s="23">
        <v>0</v>
      </c>
      <c r="AG286" s="23">
        <v>0</v>
      </c>
      <c r="AH286" s="24">
        <v>0</v>
      </c>
      <c r="AI286" s="23">
        <v>76</v>
      </c>
      <c r="AJ286" s="13" t="str">
        <f xml:space="preserve"> IF(AD286&gt;F286,"Exceso en grasa saturada",IFERROR(IF(F286=0,"No tiene sello",IF((AD286*9)*100/F286&gt;10,"Exceso en grasa saturada","No tiene sello")),"No tiene sello"))</f>
        <v>No tiene sello</v>
      </c>
      <c r="AK286" s="13">
        <f>IF(AJ286="No tiene sello",0,1)</f>
        <v>0</v>
      </c>
      <c r="AL286" s="13" t="str">
        <f>IF(Q286&gt;=300,"Exceso en sodio",IFERROR(IF(AND(F286=0,Q286&gt;0),"No tiene sello",IF(Q286/F286&gt;1,"Exceso en sodio","No tiene sello")),"No tiene sello"))</f>
        <v>No tiene sello</v>
      </c>
      <c r="AM286" s="13" t="str">
        <f>IFERROR(IF(F286=0,"No tiene sello",IF(+(AG286/1000)*9*100/F286&gt;1,"Exceso en grasa trans", "No tiene sello")),"No tiene sello")</f>
        <v>No tiene sello</v>
      </c>
    </row>
    <row r="287" spans="1:39" ht="13.5" customHeight="1" x14ac:dyDescent="0.25">
      <c r="A287" s="26" t="s">
        <v>1091</v>
      </c>
      <c r="B287" s="26" t="s">
        <v>1092</v>
      </c>
      <c r="C287" s="26" t="s">
        <v>154</v>
      </c>
      <c r="D287" s="47">
        <v>100</v>
      </c>
      <c r="E287" s="28">
        <v>82</v>
      </c>
      <c r="F287" s="24">
        <v>75</v>
      </c>
      <c r="G287" s="28">
        <v>319</v>
      </c>
      <c r="H287" s="24">
        <v>0.8</v>
      </c>
      <c r="I287" s="24">
        <v>0.1</v>
      </c>
      <c r="J287" s="24">
        <v>16.8</v>
      </c>
      <c r="K287" s="28">
        <v>15</v>
      </c>
      <c r="L287" s="28">
        <v>11.76</v>
      </c>
      <c r="M287" s="24">
        <v>1.8</v>
      </c>
      <c r="N287" s="28">
        <v>0.2</v>
      </c>
      <c r="O287" s="25">
        <v>7</v>
      </c>
      <c r="P287" s="25">
        <v>1.6</v>
      </c>
      <c r="Q287" s="28">
        <v>2</v>
      </c>
      <c r="R287" s="25">
        <v>12</v>
      </c>
      <c r="S287" s="28">
        <v>0.2</v>
      </c>
      <c r="T287" s="28">
        <v>13</v>
      </c>
      <c r="U287" s="28">
        <v>130</v>
      </c>
      <c r="V287" s="28">
        <v>0.05</v>
      </c>
      <c r="W287" s="28">
        <v>0.01</v>
      </c>
      <c r="X287" s="28">
        <v>0.3</v>
      </c>
      <c r="Y287" s="28">
        <v>3.1</v>
      </c>
      <c r="Z287" s="28">
        <v>0</v>
      </c>
      <c r="AA287" s="25">
        <v>13</v>
      </c>
      <c r="AB287" s="25">
        <v>0</v>
      </c>
      <c r="AC287" s="25">
        <v>0</v>
      </c>
      <c r="AD287" s="28">
        <v>0</v>
      </c>
      <c r="AE287" s="28">
        <v>0</v>
      </c>
      <c r="AF287" s="28">
        <v>0</v>
      </c>
      <c r="AG287" s="28">
        <v>0</v>
      </c>
      <c r="AH287" s="24">
        <v>0</v>
      </c>
      <c r="AI287" s="28">
        <v>32</v>
      </c>
      <c r="AJ287" s="13" t="str">
        <f xml:space="preserve"> IF(AD287&gt;F287,"Exceso en grasa saturada",IFERROR(IF(F287=0,"No tiene sello",IF((AD287*9)*100/F287&gt;10,"Exceso en grasa saturada","No tiene sello")),"No tiene sello"))</f>
        <v>No tiene sello</v>
      </c>
      <c r="AK287" s="13">
        <f>IF(AJ287="No tiene sello",0,1)</f>
        <v>0</v>
      </c>
      <c r="AL287" s="13" t="str">
        <f>IF(Q287&gt;=300,"Exceso en sodio",IFERROR(IF(AND(F287=0,Q287&gt;0),"No tiene sello",IF(Q287/F287&gt;1,"Exceso en sodio","No tiene sello")),"No tiene sello"))</f>
        <v>No tiene sello</v>
      </c>
      <c r="AM287" s="13" t="str">
        <f>IFERROR(IF(F287=0,"No tiene sello",IF(+(AG287/1000)*9*100/F287&gt;1,"Exceso en grasa trans", "No tiene sello")),"No tiene sello")</f>
        <v>No tiene sello</v>
      </c>
    </row>
    <row r="288" spans="1:39" ht="13.5" customHeight="1" x14ac:dyDescent="0.25">
      <c r="A288" s="29" t="s">
        <v>1089</v>
      </c>
      <c r="B288" s="29" t="s">
        <v>1090</v>
      </c>
      <c r="C288" s="29" t="s">
        <v>154</v>
      </c>
      <c r="D288" s="46">
        <v>100</v>
      </c>
      <c r="E288" s="31">
        <v>82.7</v>
      </c>
      <c r="F288" s="24">
        <v>72</v>
      </c>
      <c r="G288" s="31">
        <v>305</v>
      </c>
      <c r="H288" s="24">
        <v>0.3</v>
      </c>
      <c r="I288" s="24">
        <v>0.2</v>
      </c>
      <c r="J288" s="24">
        <v>16.5</v>
      </c>
      <c r="K288" s="31">
        <v>15</v>
      </c>
      <c r="L288" s="31">
        <v>11.55</v>
      </c>
      <c r="M288" s="24">
        <v>1.5</v>
      </c>
      <c r="N288" s="31">
        <v>0.3</v>
      </c>
      <c r="O288" s="31">
        <v>16</v>
      </c>
      <c r="P288" s="25">
        <v>0.3</v>
      </c>
      <c r="Q288" s="31">
        <v>2</v>
      </c>
      <c r="R288" s="31">
        <v>10</v>
      </c>
      <c r="S288" s="31">
        <v>0</v>
      </c>
      <c r="T288" s="31">
        <v>5</v>
      </c>
      <c r="U288" s="31">
        <v>107</v>
      </c>
      <c r="V288" s="31">
        <v>0.05</v>
      </c>
      <c r="W288" s="31">
        <v>0.02</v>
      </c>
      <c r="X288" s="31">
        <v>0.2</v>
      </c>
      <c r="Y288" s="31">
        <v>1</v>
      </c>
      <c r="Z288" s="31">
        <v>0</v>
      </c>
      <c r="AA288" s="25">
        <v>10</v>
      </c>
      <c r="AB288" s="25">
        <v>3</v>
      </c>
      <c r="AC288" s="25">
        <v>0</v>
      </c>
      <c r="AD288" s="31">
        <v>0</v>
      </c>
      <c r="AE288" s="31">
        <v>0</v>
      </c>
      <c r="AF288" s="31">
        <v>0</v>
      </c>
      <c r="AG288" s="31">
        <v>0</v>
      </c>
      <c r="AH288" s="24">
        <v>0</v>
      </c>
      <c r="AI288" s="31">
        <v>85</v>
      </c>
      <c r="AJ288" s="13" t="str">
        <f xml:space="preserve"> IF(AD288&gt;F288,"Exceso en grasa saturada",IFERROR(IF(F288=0,"No tiene sello",IF((AD288*9)*100/F288&gt;10,"Exceso en grasa saturada","No tiene sello")),"No tiene sello"))</f>
        <v>No tiene sello</v>
      </c>
      <c r="AK288" s="13">
        <f>IF(AJ288="No tiene sello",0,1)</f>
        <v>0</v>
      </c>
      <c r="AL288" s="13" t="str">
        <f>IF(Q288&gt;=300,"Exceso en sodio",IFERROR(IF(AND(F288=0,Q288&gt;0),"No tiene sello",IF(Q288/F288&gt;1,"Exceso en sodio","No tiene sello")),"No tiene sello"))</f>
        <v>No tiene sello</v>
      </c>
      <c r="AM288" s="13" t="str">
        <f>IFERROR(IF(F288=0,"No tiene sello",IF(+(AG288/1000)*9*100/F288&gt;1,"Exceso en grasa trans", "No tiene sello")),"No tiene sello")</f>
        <v>No tiene sello</v>
      </c>
    </row>
    <row r="289" spans="1:39" ht="13.5" customHeight="1" x14ac:dyDescent="0.25">
      <c r="A289" s="26" t="s">
        <v>1087</v>
      </c>
      <c r="B289" s="26" t="s">
        <v>1088</v>
      </c>
      <c r="C289" s="26" t="s">
        <v>154</v>
      </c>
      <c r="D289" s="47">
        <v>100</v>
      </c>
      <c r="E289" s="28">
        <v>87.8</v>
      </c>
      <c r="F289" s="24">
        <v>53</v>
      </c>
      <c r="G289" s="28">
        <v>222</v>
      </c>
      <c r="H289" s="24">
        <v>1.7</v>
      </c>
      <c r="I289" s="24">
        <v>1</v>
      </c>
      <c r="J289" s="24">
        <v>9.1999999999999993</v>
      </c>
      <c r="K289" s="28">
        <v>0</v>
      </c>
      <c r="L289" s="28">
        <v>6.44</v>
      </c>
      <c r="M289" s="24">
        <v>0</v>
      </c>
      <c r="N289" s="28">
        <v>0.3</v>
      </c>
      <c r="O289" s="25">
        <v>12</v>
      </c>
      <c r="P289" s="25">
        <v>0.4</v>
      </c>
      <c r="Q289" s="28">
        <v>8</v>
      </c>
      <c r="R289" s="25">
        <v>10</v>
      </c>
      <c r="S289" s="28">
        <v>0</v>
      </c>
      <c r="T289" s="28">
        <v>0</v>
      </c>
      <c r="U289" s="28">
        <v>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5">
        <v>4</v>
      </c>
      <c r="AB289" s="25">
        <v>0</v>
      </c>
      <c r="AC289" s="25">
        <v>0</v>
      </c>
      <c r="AD289" s="28">
        <v>0</v>
      </c>
      <c r="AE289" s="28">
        <v>0</v>
      </c>
      <c r="AF289" s="28">
        <v>0</v>
      </c>
      <c r="AG289" s="28">
        <v>0</v>
      </c>
      <c r="AH289" s="24">
        <v>0</v>
      </c>
      <c r="AI289" s="28">
        <v>65</v>
      </c>
      <c r="AJ289" s="13" t="str">
        <f xml:space="preserve"> IF(AD289&gt;F289,"Exceso en grasa saturada",IFERROR(IF(F289=0,"No tiene sello",IF((AD289*9)*100/F289&gt;10,"Exceso en grasa saturada","No tiene sello")),"No tiene sello"))</f>
        <v>No tiene sello</v>
      </c>
      <c r="AK289" s="13">
        <f>IF(AJ289="No tiene sello",0,1)</f>
        <v>0</v>
      </c>
      <c r="AL289" s="13" t="str">
        <f>IF(Q289&gt;=300,"Exceso en sodio",IFERROR(IF(AND(F289=0,Q289&gt;0),"No tiene sello",IF(Q289/F289&gt;1,"Exceso en sodio","No tiene sello")),"No tiene sello"))</f>
        <v>No tiene sello</v>
      </c>
      <c r="AM289" s="13" t="str">
        <f>IFERROR(IF(F289=0,"No tiene sello",IF(+(AG289/1000)*9*100/F289&gt;1,"Exceso en grasa trans", "No tiene sello")),"No tiene sello")</f>
        <v>No tiene sello</v>
      </c>
    </row>
    <row r="290" spans="1:39" s="5" customFormat="1" ht="13.5" customHeight="1" x14ac:dyDescent="0.25">
      <c r="A290" s="20" t="s">
        <v>1085</v>
      </c>
      <c r="B290" s="20" t="s">
        <v>1086</v>
      </c>
      <c r="C290" s="20" t="s">
        <v>154</v>
      </c>
      <c r="D290" s="46">
        <v>100</v>
      </c>
      <c r="E290" s="23">
        <v>84.9</v>
      </c>
      <c r="F290" s="24">
        <v>60</v>
      </c>
      <c r="G290" s="23">
        <v>256</v>
      </c>
      <c r="H290" s="24">
        <v>1.5</v>
      </c>
      <c r="I290" s="24">
        <v>0.5</v>
      </c>
      <c r="J290" s="24">
        <v>12.4</v>
      </c>
      <c r="K290" s="23">
        <v>12.2</v>
      </c>
      <c r="L290" s="23">
        <v>1.24</v>
      </c>
      <c r="M290" s="24">
        <v>0.2</v>
      </c>
      <c r="N290" s="23">
        <v>0.7</v>
      </c>
      <c r="O290" s="25">
        <v>9</v>
      </c>
      <c r="P290" s="25">
        <v>1.7</v>
      </c>
      <c r="Q290" s="23">
        <v>6</v>
      </c>
      <c r="R290" s="25">
        <v>21</v>
      </c>
      <c r="S290" s="23">
        <v>0.1</v>
      </c>
      <c r="T290" s="23">
        <v>25</v>
      </c>
      <c r="U290" s="23">
        <v>271</v>
      </c>
      <c r="V290" s="23">
        <v>0.01</v>
      </c>
      <c r="W290" s="23">
        <v>0.17</v>
      </c>
      <c r="X290" s="23">
        <v>0.8</v>
      </c>
      <c r="Y290" s="23">
        <v>8</v>
      </c>
      <c r="Z290" s="23">
        <v>0</v>
      </c>
      <c r="AA290" s="25">
        <v>20</v>
      </c>
      <c r="AB290" s="25">
        <v>173</v>
      </c>
      <c r="AC290" s="25">
        <v>0</v>
      </c>
      <c r="AD290" s="23">
        <v>0</v>
      </c>
      <c r="AE290" s="23">
        <v>0</v>
      </c>
      <c r="AF290" s="23">
        <v>0</v>
      </c>
      <c r="AG290" s="23">
        <v>0</v>
      </c>
      <c r="AH290" s="24">
        <v>0</v>
      </c>
      <c r="AI290" s="23">
        <v>32</v>
      </c>
      <c r="AJ290" s="13" t="str">
        <f xml:space="preserve"> IF(AD290&gt;F290,"Exceso en grasa saturada",IFERROR(IF(F290=0,"No tiene sello",IF((AD290*9)*100/F290&gt;10,"Exceso en grasa saturada","No tiene sello")),"No tiene sello"))</f>
        <v>No tiene sello</v>
      </c>
      <c r="AK290" s="13">
        <f>IF(AJ290="No tiene sello",0,1)</f>
        <v>0</v>
      </c>
      <c r="AL290" s="13" t="str">
        <f>IF(Q290&gt;=300,"Exceso en sodio",IFERROR(IF(AND(F290=0,Q290&gt;0),"No tiene sello",IF(Q290/F290&gt;1,"Exceso en sodio","No tiene sello")),"No tiene sello"))</f>
        <v>No tiene sello</v>
      </c>
      <c r="AM290" s="13" t="str">
        <f>IFERROR(IF(F290=0,"No tiene sello",IF(+(AG290/1000)*9*100/F290&gt;1,"Exceso en grasa trans", "No tiene sello")),"No tiene sello")</f>
        <v>No tiene sello</v>
      </c>
    </row>
    <row r="291" spans="1:39" ht="13.5" customHeight="1" x14ac:dyDescent="0.25">
      <c r="A291" s="26" t="s">
        <v>1083</v>
      </c>
      <c r="B291" s="26" t="s">
        <v>1084</v>
      </c>
      <c r="C291" s="26" t="s">
        <v>165</v>
      </c>
      <c r="D291" s="47">
        <v>100</v>
      </c>
      <c r="E291" s="28">
        <v>4.0999999999999996</v>
      </c>
      <c r="F291" s="24">
        <v>623</v>
      </c>
      <c r="G291" s="28">
        <v>2587</v>
      </c>
      <c r="H291" s="24">
        <v>16.100000000000001</v>
      </c>
      <c r="I291" s="24">
        <v>48.2</v>
      </c>
      <c r="J291" s="24">
        <v>29.6</v>
      </c>
      <c r="K291" s="28">
        <v>26.3</v>
      </c>
      <c r="L291" s="28">
        <v>2.96</v>
      </c>
      <c r="M291" s="24">
        <v>3.3</v>
      </c>
      <c r="N291" s="28">
        <v>2</v>
      </c>
      <c r="O291" s="25">
        <v>43</v>
      </c>
      <c r="P291" s="25">
        <v>6</v>
      </c>
      <c r="Q291" s="28">
        <v>13</v>
      </c>
      <c r="R291" s="25">
        <v>531</v>
      </c>
      <c r="S291" s="28">
        <v>5.3</v>
      </c>
      <c r="T291" s="28">
        <v>273</v>
      </c>
      <c r="U291" s="28">
        <v>632</v>
      </c>
      <c r="V291" s="28">
        <v>0.36</v>
      </c>
      <c r="W291" s="28">
        <v>0.22</v>
      </c>
      <c r="X291" s="28">
        <v>1.7</v>
      </c>
      <c r="Y291" s="28">
        <v>25</v>
      </c>
      <c r="Z291" s="28">
        <v>0</v>
      </c>
      <c r="AA291" s="25">
        <v>0</v>
      </c>
      <c r="AB291" s="25">
        <v>0</v>
      </c>
      <c r="AC291" s="25">
        <v>0</v>
      </c>
      <c r="AD291" s="28">
        <v>0</v>
      </c>
      <c r="AE291" s="28">
        <v>0</v>
      </c>
      <c r="AF291" s="28">
        <v>0</v>
      </c>
      <c r="AG291" s="28">
        <v>50</v>
      </c>
      <c r="AH291" s="24">
        <v>0</v>
      </c>
      <c r="AI291" s="28">
        <v>100</v>
      </c>
      <c r="AJ291" s="13" t="str">
        <f xml:space="preserve"> IF(AD291&gt;F291,"Exceso en grasa saturada",IFERROR(IF(F291=0,"No tiene sello",IF((AD291*9)*100/F291&gt;10,"Exceso en grasa saturada","No tiene sello")),"No tiene sello"))</f>
        <v>No tiene sello</v>
      </c>
      <c r="AK291" s="13">
        <f>IF(AJ291="No tiene sello",0,1)</f>
        <v>0</v>
      </c>
      <c r="AL291" s="13" t="str">
        <f>IF(Q291&gt;=300,"Exceso en sodio",IFERROR(IF(AND(F291=0,Q291&gt;0),"No tiene sello",IF(Q291/F291&gt;1,"Exceso en sodio","No tiene sello")),"No tiene sello"))</f>
        <v>No tiene sello</v>
      </c>
      <c r="AM291" s="13" t="str">
        <f>IFERROR(IF(F291=0,"No tiene sello",IF(+(AG291/1000)*9*100/F291&gt;1,"Exceso en grasa trans", "No tiene sello")),"No tiene sello")</f>
        <v>No tiene sello</v>
      </c>
    </row>
    <row r="292" spans="1:39" ht="13.5" customHeight="1" x14ac:dyDescent="0.25">
      <c r="A292" s="20" t="s">
        <v>1081</v>
      </c>
      <c r="B292" s="20" t="s">
        <v>1082</v>
      </c>
      <c r="C292" s="20" t="s">
        <v>165</v>
      </c>
      <c r="D292" s="46">
        <v>100</v>
      </c>
      <c r="E292" s="23">
        <v>87</v>
      </c>
      <c r="F292" s="24">
        <v>56</v>
      </c>
      <c r="G292" s="23">
        <v>237</v>
      </c>
      <c r="H292" s="24">
        <v>0.7</v>
      </c>
      <c r="I292" s="24">
        <v>0.4</v>
      </c>
      <c r="J292" s="24">
        <v>11.5</v>
      </c>
      <c r="K292" s="23">
        <v>9.8000000000000007</v>
      </c>
      <c r="L292" s="23">
        <v>1.1499999999999999</v>
      </c>
      <c r="M292" s="24">
        <v>1.7</v>
      </c>
      <c r="N292" s="23">
        <v>0.4</v>
      </c>
      <c r="O292" s="25">
        <v>5</v>
      </c>
      <c r="P292" s="25">
        <v>0.4</v>
      </c>
      <c r="Q292" s="23">
        <v>7</v>
      </c>
      <c r="R292" s="25">
        <v>24</v>
      </c>
      <c r="S292" s="23">
        <v>0.1</v>
      </c>
      <c r="T292" s="23">
        <v>10</v>
      </c>
      <c r="U292" s="23">
        <v>122</v>
      </c>
      <c r="V292" s="23">
        <v>0.03</v>
      </c>
      <c r="W292" s="23">
        <v>0.05</v>
      </c>
      <c r="X292" s="23">
        <v>0.4</v>
      </c>
      <c r="Y292" s="23">
        <v>0</v>
      </c>
      <c r="Z292" s="23">
        <v>0</v>
      </c>
      <c r="AA292" s="25">
        <v>200</v>
      </c>
      <c r="AB292" s="25">
        <v>5</v>
      </c>
      <c r="AC292" s="25">
        <v>0</v>
      </c>
      <c r="AD292" s="23">
        <v>0</v>
      </c>
      <c r="AE292" s="23">
        <v>0</v>
      </c>
      <c r="AF292" s="23">
        <v>0</v>
      </c>
      <c r="AG292" s="23">
        <v>0</v>
      </c>
      <c r="AH292" s="24">
        <v>0</v>
      </c>
      <c r="AI292" s="23">
        <v>70</v>
      </c>
      <c r="AJ292" s="13" t="str">
        <f xml:space="preserve"> IF(AD292&gt;F292,"Exceso en grasa saturada",IFERROR(IF(F292=0,"No tiene sello",IF((AD292*9)*100/F292&gt;10,"Exceso en grasa saturada","No tiene sello")),"No tiene sello"))</f>
        <v>No tiene sello</v>
      </c>
      <c r="AK292" s="13">
        <f>IF(AJ292="No tiene sello",0,1)</f>
        <v>0</v>
      </c>
      <c r="AL292" s="13" t="str">
        <f>IF(Q292&gt;=300,"Exceso en sodio",IFERROR(IF(AND(F292=0,Q292&gt;0),"No tiene sello",IF(Q292/F292&gt;1,"Exceso en sodio","No tiene sello")),"No tiene sello"))</f>
        <v>No tiene sello</v>
      </c>
      <c r="AM292" s="13" t="str">
        <f>IFERROR(IF(F292=0,"No tiene sello",IF(+(AG292/1000)*9*100/F292&gt;1,"Exceso en grasa trans", "No tiene sello")),"No tiene sello")</f>
        <v>No tiene sello</v>
      </c>
    </row>
    <row r="293" spans="1:39" ht="13.5" customHeight="1" x14ac:dyDescent="0.25">
      <c r="A293" s="26" t="s">
        <v>1079</v>
      </c>
      <c r="B293" s="26" t="s">
        <v>1080</v>
      </c>
      <c r="C293" s="26" t="s">
        <v>165</v>
      </c>
      <c r="D293" s="47">
        <v>100</v>
      </c>
      <c r="E293" s="28">
        <v>2</v>
      </c>
      <c r="F293" s="24">
        <v>620</v>
      </c>
      <c r="G293" s="28">
        <v>2576</v>
      </c>
      <c r="H293" s="24">
        <v>15.3</v>
      </c>
      <c r="I293" s="24">
        <v>46.4</v>
      </c>
      <c r="J293" s="24">
        <v>33.9</v>
      </c>
      <c r="K293" s="28">
        <v>30.9</v>
      </c>
      <c r="L293" s="28">
        <v>3.39</v>
      </c>
      <c r="M293" s="24">
        <v>3</v>
      </c>
      <c r="N293" s="28">
        <v>2.5</v>
      </c>
      <c r="O293" s="25">
        <v>45</v>
      </c>
      <c r="P293" s="25">
        <v>6</v>
      </c>
      <c r="Q293" s="28">
        <v>16</v>
      </c>
      <c r="R293" s="25">
        <v>495</v>
      </c>
      <c r="S293" s="28">
        <v>5.6</v>
      </c>
      <c r="T293" s="28">
        <v>258</v>
      </c>
      <c r="U293" s="28">
        <v>565</v>
      </c>
      <c r="V293" s="28">
        <v>0.2</v>
      </c>
      <c r="W293" s="28">
        <v>0.2</v>
      </c>
      <c r="X293" s="28">
        <v>1.4</v>
      </c>
      <c r="Y293" s="28">
        <v>69</v>
      </c>
      <c r="Z293" s="28">
        <v>0</v>
      </c>
      <c r="AA293" s="25">
        <v>0</v>
      </c>
      <c r="AB293" s="25">
        <v>0</v>
      </c>
      <c r="AC293" s="25">
        <v>0</v>
      </c>
      <c r="AD293" s="28">
        <v>0</v>
      </c>
      <c r="AE293" s="28">
        <v>0</v>
      </c>
      <c r="AF293" s="28">
        <v>0</v>
      </c>
      <c r="AG293" s="28">
        <v>50</v>
      </c>
      <c r="AH293" s="24">
        <v>0</v>
      </c>
      <c r="AI293" s="28">
        <v>100</v>
      </c>
      <c r="AJ293" s="13" t="str">
        <f xml:space="preserve"> IF(AD293&gt;F293,"Exceso en grasa saturada",IFERROR(IF(F293=0,"No tiene sello",IF((AD293*9)*100/F293&gt;10,"Exceso en grasa saturada","No tiene sello")),"No tiene sello"))</f>
        <v>No tiene sello</v>
      </c>
      <c r="AK293" s="13">
        <f>IF(AJ293="No tiene sello",0,1)</f>
        <v>0</v>
      </c>
      <c r="AL293" s="13" t="str">
        <f>IF(Q293&gt;=300,"Exceso en sodio",IFERROR(IF(AND(F293=0,Q293&gt;0),"No tiene sello",IF(Q293/F293&gt;1,"Exceso en sodio","No tiene sello")),"No tiene sello"))</f>
        <v>No tiene sello</v>
      </c>
      <c r="AM293" s="13" t="str">
        <f>IFERROR(IF(F293=0,"No tiene sello",IF(+(AG293/1000)*9*100/F293&gt;1,"Exceso en grasa trans", "No tiene sello")),"No tiene sello")</f>
        <v>No tiene sello</v>
      </c>
    </row>
    <row r="294" spans="1:39" ht="13.5" customHeight="1" x14ac:dyDescent="0.25">
      <c r="A294" s="20" t="s">
        <v>1077</v>
      </c>
      <c r="B294" s="20" t="s">
        <v>1078</v>
      </c>
      <c r="C294" s="20" t="s">
        <v>154</v>
      </c>
      <c r="D294" s="46">
        <v>100</v>
      </c>
      <c r="E294" s="23">
        <v>93.6</v>
      </c>
      <c r="F294" s="24">
        <v>25</v>
      </c>
      <c r="G294" s="23">
        <v>106</v>
      </c>
      <c r="H294" s="24">
        <v>0.7</v>
      </c>
      <c r="I294" s="24">
        <v>0</v>
      </c>
      <c r="J294" s="24">
        <v>5</v>
      </c>
      <c r="K294" s="23">
        <v>4</v>
      </c>
      <c r="L294" s="23">
        <v>0.5</v>
      </c>
      <c r="M294" s="24">
        <v>1</v>
      </c>
      <c r="N294" s="23">
        <v>0.6</v>
      </c>
      <c r="O294" s="25">
        <v>11</v>
      </c>
      <c r="P294" s="25">
        <v>0.4</v>
      </c>
      <c r="Q294" s="23">
        <v>7</v>
      </c>
      <c r="R294" s="25">
        <v>17</v>
      </c>
      <c r="S294" s="23">
        <v>0.1</v>
      </c>
      <c r="T294" s="23">
        <v>7</v>
      </c>
      <c r="U294" s="23">
        <v>224</v>
      </c>
      <c r="V294" s="23">
        <v>0.04</v>
      </c>
      <c r="W294" s="23">
        <v>0.02</v>
      </c>
      <c r="X294" s="23">
        <v>0.6</v>
      </c>
      <c r="Y294" s="23">
        <v>21</v>
      </c>
      <c r="Z294" s="23">
        <v>0</v>
      </c>
      <c r="AA294" s="25">
        <v>0</v>
      </c>
      <c r="AB294" s="25">
        <v>68</v>
      </c>
      <c r="AC294" s="25">
        <v>0</v>
      </c>
      <c r="AD294" s="23">
        <v>0</v>
      </c>
      <c r="AE294" s="23">
        <v>0</v>
      </c>
      <c r="AF294" s="23">
        <v>0</v>
      </c>
      <c r="AG294" s="23">
        <v>0</v>
      </c>
      <c r="AH294" s="24">
        <v>0</v>
      </c>
      <c r="AI294" s="23">
        <v>50</v>
      </c>
      <c r="AJ294" s="13" t="str">
        <f xml:space="preserve"> IF(AD294&gt;F294,"Exceso en grasa saturada",IFERROR(IF(F294=0,"No tiene sello",IF((AD294*9)*100/F294&gt;10,"Exceso en grasa saturada","No tiene sello")),"No tiene sello"))</f>
        <v>No tiene sello</v>
      </c>
      <c r="AK294" s="13">
        <f>IF(AJ294="No tiene sello",0,1)</f>
        <v>0</v>
      </c>
      <c r="AL294" s="13" t="str">
        <f>IF(Q294&gt;=300,"Exceso en sodio",IFERROR(IF(AND(F294=0,Q294&gt;0),"No tiene sello",IF(Q294/F294&gt;1,"Exceso en sodio","No tiene sello")),"No tiene sello"))</f>
        <v>No tiene sello</v>
      </c>
      <c r="AM294" s="13" t="str">
        <f>IFERROR(IF(F294=0,"No tiene sello",IF(+(AG294/1000)*9*100/F294&gt;1,"Exceso en grasa trans", "No tiene sello")),"No tiene sello")</f>
        <v>No tiene sello</v>
      </c>
    </row>
    <row r="295" spans="1:39" ht="13.5" customHeight="1" x14ac:dyDescent="0.25">
      <c r="A295" s="26" t="s">
        <v>1075</v>
      </c>
      <c r="B295" s="26" t="s">
        <v>1076</v>
      </c>
      <c r="C295" s="26" t="s">
        <v>154</v>
      </c>
      <c r="D295" s="47">
        <v>100</v>
      </c>
      <c r="E295" s="28">
        <v>83.7</v>
      </c>
      <c r="F295" s="24">
        <v>74</v>
      </c>
      <c r="G295" s="28">
        <v>311</v>
      </c>
      <c r="H295" s="24">
        <v>1</v>
      </c>
      <c r="I295" s="24">
        <v>0.1</v>
      </c>
      <c r="J295" s="24">
        <v>14.6</v>
      </c>
      <c r="K295" s="28">
        <v>9.3000000000000007</v>
      </c>
      <c r="L295" s="28">
        <v>1.46</v>
      </c>
      <c r="M295" s="24">
        <v>5.3</v>
      </c>
      <c r="N295" s="28">
        <v>0.6</v>
      </c>
      <c r="O295" s="25">
        <v>42</v>
      </c>
      <c r="P295" s="25">
        <v>1.7</v>
      </c>
      <c r="Q295" s="28">
        <v>1</v>
      </c>
      <c r="R295" s="25">
        <v>10</v>
      </c>
      <c r="S295" s="28">
        <v>0.5</v>
      </c>
      <c r="T295" s="28">
        <v>20</v>
      </c>
      <c r="U295" s="28">
        <v>161</v>
      </c>
      <c r="V295" s="28">
        <v>0.22</v>
      </c>
      <c r="W295" s="28">
        <v>0.05</v>
      </c>
      <c r="X295" s="28">
        <v>0.9</v>
      </c>
      <c r="Y295" s="28">
        <v>25</v>
      </c>
      <c r="Z295" s="28">
        <v>0</v>
      </c>
      <c r="AA295" s="25">
        <v>18</v>
      </c>
      <c r="AB295" s="25">
        <v>0</v>
      </c>
      <c r="AC295" s="25">
        <v>0</v>
      </c>
      <c r="AD295" s="28">
        <v>0</v>
      </c>
      <c r="AE295" s="28">
        <v>0</v>
      </c>
      <c r="AF295" s="28">
        <v>0</v>
      </c>
      <c r="AG295" s="28">
        <v>0</v>
      </c>
      <c r="AH295" s="24">
        <v>0</v>
      </c>
      <c r="AI295" s="28">
        <v>90</v>
      </c>
      <c r="AJ295" s="13" t="str">
        <f xml:space="preserve"> IF(AD295&gt;F295,"Exceso en grasa saturada",IFERROR(IF(F295=0,"No tiene sello",IF((AD295*9)*100/F295&gt;10,"Exceso en grasa saturada","No tiene sello")),"No tiene sello"))</f>
        <v>No tiene sello</v>
      </c>
      <c r="AK295" s="13">
        <f>IF(AJ295="No tiene sello",0,1)</f>
        <v>0</v>
      </c>
      <c r="AL295" s="13" t="str">
        <f>IF(Q295&gt;=300,"Exceso en sodio",IFERROR(IF(AND(F295=0,Q295&gt;0),"No tiene sello",IF(Q295/F295&gt;1,"Exceso en sodio","No tiene sello")),"No tiene sello"))</f>
        <v>No tiene sello</v>
      </c>
      <c r="AM295" s="13" t="str">
        <f>IFERROR(IF(F295=0,"No tiene sello",IF(+(AG295/1000)*9*100/F295&gt;1,"Exceso en grasa trans", "No tiene sello")),"No tiene sello")</f>
        <v>No tiene sello</v>
      </c>
    </row>
    <row r="296" spans="1:39" ht="13.5" customHeight="1" x14ac:dyDescent="0.25">
      <c r="A296" s="20" t="s">
        <v>1073</v>
      </c>
      <c r="B296" s="20" t="s">
        <v>1074</v>
      </c>
      <c r="C296" s="20" t="s">
        <v>154</v>
      </c>
      <c r="D296" s="46">
        <v>100</v>
      </c>
      <c r="E296" s="23">
        <v>88.5</v>
      </c>
      <c r="F296" s="24">
        <v>41</v>
      </c>
      <c r="G296" s="23">
        <v>174</v>
      </c>
      <c r="H296" s="24">
        <v>0.7</v>
      </c>
      <c r="I296" s="24">
        <v>0.3</v>
      </c>
      <c r="J296" s="24">
        <v>8.8000000000000007</v>
      </c>
      <c r="K296" s="23">
        <v>8.6</v>
      </c>
      <c r="L296" s="23">
        <v>0.88</v>
      </c>
      <c r="M296" s="24">
        <v>0.2</v>
      </c>
      <c r="N296" s="23">
        <v>1.7</v>
      </c>
      <c r="O296" s="25">
        <v>33</v>
      </c>
      <c r="P296" s="25">
        <v>1.3</v>
      </c>
      <c r="Q296" s="23">
        <v>2</v>
      </c>
      <c r="R296" s="25">
        <v>20</v>
      </c>
      <c r="S296" s="23">
        <v>0.5</v>
      </c>
      <c r="T296" s="23">
        <v>213</v>
      </c>
      <c r="U296" s="23">
        <v>134</v>
      </c>
      <c r="V296" s="23">
        <v>0.35</v>
      </c>
      <c r="W296" s="23">
        <v>0.16</v>
      </c>
      <c r="X296" s="23">
        <v>0.2</v>
      </c>
      <c r="Y296" s="23">
        <v>30</v>
      </c>
      <c r="Z296" s="23">
        <v>0</v>
      </c>
      <c r="AA296" s="25">
        <v>27</v>
      </c>
      <c r="AB296" s="25">
        <v>2</v>
      </c>
      <c r="AC296" s="25">
        <v>0</v>
      </c>
      <c r="AD296" s="23">
        <v>0</v>
      </c>
      <c r="AE296" s="23">
        <v>0</v>
      </c>
      <c r="AF296" s="23">
        <v>0</v>
      </c>
      <c r="AG296" s="23">
        <v>0</v>
      </c>
      <c r="AH296" s="24">
        <v>0</v>
      </c>
      <c r="AI296" s="23">
        <v>60</v>
      </c>
      <c r="AJ296" s="13" t="str">
        <f xml:space="preserve"> IF(AD296&gt;F296,"Exceso en grasa saturada",IFERROR(IF(F296=0,"No tiene sello",IF((AD296*9)*100/F296&gt;10,"Exceso en grasa saturada","No tiene sello")),"No tiene sello"))</f>
        <v>No tiene sello</v>
      </c>
      <c r="AK296" s="13">
        <f>IF(AJ296="No tiene sello",0,1)</f>
        <v>0</v>
      </c>
      <c r="AL296" s="13" t="str">
        <f>IF(Q296&gt;=300,"Exceso en sodio",IFERROR(IF(AND(F296=0,Q296&gt;0),"No tiene sello",IF(Q296/F296&gt;1,"Exceso en sodio","No tiene sello")),"No tiene sello"))</f>
        <v>No tiene sello</v>
      </c>
      <c r="AM296" s="13" t="str">
        <f>IFERROR(IF(F296=0,"No tiene sello",IF(+(AG296/1000)*9*100/F296&gt;1,"Exceso en grasa trans", "No tiene sello")),"No tiene sello")</f>
        <v>No tiene sello</v>
      </c>
    </row>
    <row r="297" spans="1:39" ht="13.5" customHeight="1" x14ac:dyDescent="0.25">
      <c r="A297" s="33" t="s">
        <v>1071</v>
      </c>
      <c r="B297" s="33" t="s">
        <v>1072</v>
      </c>
      <c r="C297" s="33" t="s">
        <v>154</v>
      </c>
      <c r="D297" s="47">
        <v>100</v>
      </c>
      <c r="E297" s="35">
        <v>90.8</v>
      </c>
      <c r="F297" s="24">
        <v>36</v>
      </c>
      <c r="G297" s="35">
        <v>153</v>
      </c>
      <c r="H297" s="24">
        <v>0.6</v>
      </c>
      <c r="I297" s="24">
        <v>0.2</v>
      </c>
      <c r="J297" s="24">
        <v>8</v>
      </c>
      <c r="K297" s="35">
        <v>0</v>
      </c>
      <c r="L297" s="35">
        <v>0.8</v>
      </c>
      <c r="M297" s="24">
        <v>0</v>
      </c>
      <c r="N297" s="35">
        <v>0.4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0</v>
      </c>
      <c r="AA297" s="35">
        <v>0</v>
      </c>
      <c r="AB297" s="35">
        <v>0</v>
      </c>
      <c r="AC297" s="35">
        <v>0</v>
      </c>
      <c r="AD297" s="35">
        <v>0</v>
      </c>
      <c r="AE297" s="35">
        <v>0</v>
      </c>
      <c r="AF297" s="35">
        <v>0</v>
      </c>
      <c r="AG297" s="35">
        <v>0</v>
      </c>
      <c r="AH297" s="35">
        <v>0</v>
      </c>
      <c r="AI297" s="35">
        <v>65</v>
      </c>
      <c r="AJ297" s="13" t="str">
        <f xml:space="preserve"> IF(AD297&gt;F297,"Exceso en grasa saturada",IFERROR(IF(F297=0,"No tiene sello",IF((AD297*9)*100/F297&gt;10,"Exceso en grasa saturada","No tiene sello")),"No tiene sello"))</f>
        <v>No tiene sello</v>
      </c>
      <c r="AK297" s="13">
        <f>IF(AJ297="No tiene sello",0,1)</f>
        <v>0</v>
      </c>
      <c r="AL297" s="13" t="str">
        <f>IF(Q297&gt;=300,"Exceso en sodio",IFERROR(IF(AND(F297=0,Q297&gt;0),"No tiene sello",IF(Q297/F297&gt;1,"Exceso en sodio","No tiene sello")),"No tiene sello"))</f>
        <v>No tiene sello</v>
      </c>
      <c r="AM297" s="13" t="str">
        <f>IFERROR(IF(F297=0,"No tiene sello",IF(+(AG297/1000)*9*100/F297&gt;1,"Exceso en grasa trans", "No tiene sello")),"No tiene sello")</f>
        <v>No tiene sello</v>
      </c>
    </row>
    <row r="298" spans="1:39" ht="13.5" customHeight="1" x14ac:dyDescent="0.25">
      <c r="A298" s="20" t="s">
        <v>1069</v>
      </c>
      <c r="B298" s="20" t="s">
        <v>1070</v>
      </c>
      <c r="C298" s="20" t="s">
        <v>165</v>
      </c>
      <c r="D298" s="46">
        <v>100</v>
      </c>
      <c r="E298" s="23">
        <v>3.6</v>
      </c>
      <c r="F298" s="24">
        <v>721</v>
      </c>
      <c r="G298" s="23">
        <v>2976</v>
      </c>
      <c r="H298" s="24">
        <v>14.3</v>
      </c>
      <c r="I298" s="24">
        <v>66.8</v>
      </c>
      <c r="J298" s="24">
        <v>11.8</v>
      </c>
      <c r="K298" s="23">
        <v>4.2</v>
      </c>
      <c r="L298" s="23">
        <v>1.18</v>
      </c>
      <c r="M298" s="24">
        <v>7.5</v>
      </c>
      <c r="N298" s="23">
        <v>3.5</v>
      </c>
      <c r="O298" s="25">
        <v>166</v>
      </c>
      <c r="P298" s="25">
        <v>2.4</v>
      </c>
      <c r="Q298" s="23">
        <v>3</v>
      </c>
      <c r="R298" s="25">
        <v>746</v>
      </c>
      <c r="S298" s="23">
        <v>4.0999999999999996</v>
      </c>
      <c r="T298" s="23">
        <v>378</v>
      </c>
      <c r="U298" s="23">
        <v>662</v>
      </c>
      <c r="V298" s="23">
        <v>0.64</v>
      </c>
      <c r="W298" s="23">
        <v>0.04</v>
      </c>
      <c r="X298" s="23">
        <v>0.3</v>
      </c>
      <c r="Y298" s="23">
        <v>22</v>
      </c>
      <c r="Z298" s="23">
        <v>0</v>
      </c>
      <c r="AA298" s="25">
        <v>1</v>
      </c>
      <c r="AB298" s="25">
        <v>0</v>
      </c>
      <c r="AC298" s="25">
        <v>0</v>
      </c>
      <c r="AD298" s="23">
        <v>0</v>
      </c>
      <c r="AE298" s="23">
        <v>0</v>
      </c>
      <c r="AF298" s="23">
        <v>0</v>
      </c>
      <c r="AG298" s="23">
        <v>0</v>
      </c>
      <c r="AH298" s="24">
        <v>0</v>
      </c>
      <c r="AI298" s="23">
        <v>100</v>
      </c>
      <c r="AJ298" s="13" t="str">
        <f xml:space="preserve"> IF(AD298&gt;F298,"Exceso en grasa saturada",IFERROR(IF(F298=0,"No tiene sello",IF((AD298*9)*100/F298&gt;10,"Exceso en grasa saturada","No tiene sello")),"No tiene sello"))</f>
        <v>No tiene sello</v>
      </c>
      <c r="AK298" s="13">
        <f>IF(AJ298="No tiene sello",0,1)</f>
        <v>0</v>
      </c>
      <c r="AL298" s="13" t="str">
        <f>IF(Q298&gt;=300,"Exceso en sodio",IFERROR(IF(AND(F298=0,Q298&gt;0),"No tiene sello",IF(Q298/F298&gt;1,"Exceso en sodio","No tiene sello")),"No tiene sello"))</f>
        <v>No tiene sello</v>
      </c>
      <c r="AM298" s="13" t="str">
        <f>IFERROR(IF(F298=0,"No tiene sello",IF(+(AG298/1000)*9*100/F298&gt;1,"Exceso en grasa trans", "No tiene sello")),"No tiene sello")</f>
        <v>No tiene sello</v>
      </c>
    </row>
    <row r="299" spans="1:39" ht="13.5" customHeight="1" x14ac:dyDescent="0.25">
      <c r="A299" s="33" t="s">
        <v>1067</v>
      </c>
      <c r="B299" s="33" t="s">
        <v>1068</v>
      </c>
      <c r="C299" s="33" t="s">
        <v>154</v>
      </c>
      <c r="D299" s="47">
        <v>100</v>
      </c>
      <c r="E299" s="35">
        <v>90.7</v>
      </c>
      <c r="F299" s="24">
        <v>40</v>
      </c>
      <c r="G299" s="35">
        <v>169</v>
      </c>
      <c r="H299" s="24">
        <v>0.5</v>
      </c>
      <c r="I299" s="24">
        <v>0.1</v>
      </c>
      <c r="J299" s="24">
        <v>8.1999999999999993</v>
      </c>
      <c r="K299" s="35">
        <v>6.2</v>
      </c>
      <c r="L299" s="35">
        <v>5.74</v>
      </c>
      <c r="M299" s="24">
        <v>2</v>
      </c>
      <c r="N299" s="35">
        <v>0.5</v>
      </c>
      <c r="O299" s="35">
        <v>24</v>
      </c>
      <c r="P299" s="35">
        <v>0.3</v>
      </c>
      <c r="Q299" s="35">
        <v>5</v>
      </c>
      <c r="R299" s="35">
        <v>9</v>
      </c>
      <c r="S299" s="35">
        <v>0.1</v>
      </c>
      <c r="T299" s="35">
        <v>23</v>
      </c>
      <c r="U299" s="35">
        <v>216</v>
      </c>
      <c r="V299" s="35">
        <v>0.03</v>
      </c>
      <c r="W299" s="35">
        <v>0.03</v>
      </c>
      <c r="X299" s="35">
        <v>0.3</v>
      </c>
      <c r="Y299" s="35">
        <v>37</v>
      </c>
      <c r="Z299" s="35">
        <v>0</v>
      </c>
      <c r="AA299" s="35">
        <v>62</v>
      </c>
      <c r="AB299" s="35">
        <v>235</v>
      </c>
      <c r="AC299" s="35">
        <v>0</v>
      </c>
      <c r="AD299" s="35">
        <v>0</v>
      </c>
      <c r="AE299" s="35">
        <v>0</v>
      </c>
      <c r="AF299" s="35">
        <v>0</v>
      </c>
      <c r="AG299" s="35">
        <v>0</v>
      </c>
      <c r="AH299" s="35">
        <v>0</v>
      </c>
      <c r="AI299" s="35">
        <v>70</v>
      </c>
      <c r="AJ299" s="13" t="str">
        <f xml:space="preserve"> IF(AD299&gt;F299,"Exceso en grasa saturada",IFERROR(IF(F299=0,"No tiene sello",IF((AD299*9)*100/F299&gt;10,"Exceso en grasa saturada","No tiene sello")),"No tiene sello"))</f>
        <v>No tiene sello</v>
      </c>
      <c r="AK299" s="13">
        <f>IF(AJ299="No tiene sello",0,1)</f>
        <v>0</v>
      </c>
      <c r="AL299" s="13" t="str">
        <f>IF(Q299&gt;=300,"Exceso en sodio",IFERROR(IF(AND(F299=0,Q299&gt;0),"No tiene sello",IF(Q299/F299&gt;1,"Exceso en sodio","No tiene sello")),"No tiene sello"))</f>
        <v>No tiene sello</v>
      </c>
      <c r="AM299" s="13" t="str">
        <f>IFERROR(IF(F299=0,"No tiene sello",IF(+(AG299/1000)*9*100/F299&gt;1,"Exceso en grasa trans", "No tiene sello")),"No tiene sello")</f>
        <v>No tiene sello</v>
      </c>
    </row>
    <row r="300" spans="1:39" ht="13.5" customHeight="1" x14ac:dyDescent="0.25">
      <c r="A300" s="20" t="s">
        <v>1065</v>
      </c>
      <c r="B300" s="20" t="s">
        <v>1066</v>
      </c>
      <c r="C300" s="20" t="s">
        <v>154</v>
      </c>
      <c r="D300" s="46">
        <v>100</v>
      </c>
      <c r="E300" s="23">
        <v>89</v>
      </c>
      <c r="F300" s="24">
        <v>47</v>
      </c>
      <c r="G300" s="23">
        <v>197</v>
      </c>
      <c r="H300" s="24">
        <v>0.5</v>
      </c>
      <c r="I300" s="24">
        <v>0.1</v>
      </c>
      <c r="J300" s="24">
        <v>9.9</v>
      </c>
      <c r="K300" s="23">
        <v>8</v>
      </c>
      <c r="L300" s="23">
        <v>6.93</v>
      </c>
      <c r="M300" s="24">
        <v>1.9</v>
      </c>
      <c r="N300" s="23">
        <v>0.5</v>
      </c>
      <c r="O300" s="25">
        <v>22</v>
      </c>
      <c r="P300" s="25">
        <v>0.3</v>
      </c>
      <c r="Q300" s="23">
        <v>3</v>
      </c>
      <c r="R300" s="25">
        <v>11</v>
      </c>
      <c r="S300" s="23">
        <v>0.1</v>
      </c>
      <c r="T300" s="23">
        <v>21</v>
      </c>
      <c r="U300" s="23">
        <v>203</v>
      </c>
      <c r="V300" s="23">
        <v>0.03</v>
      </c>
      <c r="W300" s="23">
        <v>0.03</v>
      </c>
      <c r="X300" s="23">
        <v>0.3</v>
      </c>
      <c r="Y300" s="23">
        <v>37</v>
      </c>
      <c r="Z300" s="23">
        <v>0</v>
      </c>
      <c r="AA300" s="25">
        <v>62</v>
      </c>
      <c r="AB300" s="25">
        <v>179</v>
      </c>
      <c r="AC300" s="25">
        <v>0</v>
      </c>
      <c r="AD300" s="23">
        <v>0</v>
      </c>
      <c r="AE300" s="23">
        <v>0</v>
      </c>
      <c r="AF300" s="23">
        <v>0</v>
      </c>
      <c r="AG300" s="23">
        <v>0</v>
      </c>
      <c r="AH300" s="24">
        <v>0</v>
      </c>
      <c r="AI300" s="23">
        <v>79</v>
      </c>
      <c r="AJ300" s="13" t="str">
        <f xml:space="preserve"> IF(AD300&gt;F300,"Exceso en grasa saturada",IFERROR(IF(F300=0,"No tiene sello",IF((AD300*9)*100/F300&gt;10,"Exceso en grasa saturada","No tiene sello")),"No tiene sello"))</f>
        <v>No tiene sello</v>
      </c>
      <c r="AK300" s="13">
        <f>IF(AJ300="No tiene sello",0,1)</f>
        <v>0</v>
      </c>
      <c r="AL300" s="13" t="str">
        <f>IF(Q300&gt;=300,"Exceso en sodio",IFERROR(IF(AND(F300=0,Q300&gt;0),"No tiene sello",IF(Q300/F300&gt;1,"Exceso en sodio","No tiene sello")),"No tiene sello"))</f>
        <v>No tiene sello</v>
      </c>
      <c r="AM300" s="13" t="str">
        <f>IFERROR(IF(F300=0,"No tiene sello",IF(+(AG300/1000)*9*100/F300&gt;1,"Exceso en grasa trans", "No tiene sello")),"No tiene sello")</f>
        <v>No tiene sello</v>
      </c>
    </row>
    <row r="301" spans="1:39" ht="13.5" customHeight="1" x14ac:dyDescent="0.25">
      <c r="A301" s="26" t="s">
        <v>1063</v>
      </c>
      <c r="B301" s="26" t="s">
        <v>1064</v>
      </c>
      <c r="C301" s="26" t="s">
        <v>154</v>
      </c>
      <c r="D301" s="47">
        <v>100</v>
      </c>
      <c r="E301" s="28">
        <v>93.5</v>
      </c>
      <c r="F301" s="24">
        <v>27</v>
      </c>
      <c r="G301" s="28">
        <v>113</v>
      </c>
      <c r="H301" s="24">
        <v>0.7</v>
      </c>
      <c r="I301" s="24">
        <v>0.1</v>
      </c>
      <c r="J301" s="24">
        <v>5.0999999999999996</v>
      </c>
      <c r="K301" s="28">
        <v>3.8</v>
      </c>
      <c r="L301" s="28">
        <v>0.26</v>
      </c>
      <c r="M301" s="24">
        <v>1.3</v>
      </c>
      <c r="N301" s="28">
        <v>0.6</v>
      </c>
      <c r="O301" s="25">
        <v>10</v>
      </c>
      <c r="P301" s="25">
        <v>0.3</v>
      </c>
      <c r="Q301" s="28">
        <v>0</v>
      </c>
      <c r="R301" s="25">
        <v>11</v>
      </c>
      <c r="S301" s="28">
        <v>0</v>
      </c>
      <c r="T301" s="28">
        <v>0</v>
      </c>
      <c r="U301" s="28">
        <v>0</v>
      </c>
      <c r="V301" s="28">
        <v>0.02</v>
      </c>
      <c r="W301" s="28">
        <v>0.03</v>
      </c>
      <c r="X301" s="28">
        <v>0.6</v>
      </c>
      <c r="Y301" s="28">
        <v>0</v>
      </c>
      <c r="Z301" s="28">
        <v>0</v>
      </c>
      <c r="AA301" s="25">
        <v>70</v>
      </c>
      <c r="AB301" s="25">
        <v>24</v>
      </c>
      <c r="AC301" s="25">
        <v>0</v>
      </c>
      <c r="AD301" s="28">
        <v>0</v>
      </c>
      <c r="AE301" s="28">
        <v>0</v>
      </c>
      <c r="AF301" s="28">
        <v>0</v>
      </c>
      <c r="AG301" s="28">
        <v>0</v>
      </c>
      <c r="AH301" s="24">
        <v>0</v>
      </c>
      <c r="AI301" s="28">
        <v>45</v>
      </c>
      <c r="AJ301" s="13" t="str">
        <f xml:space="preserve"> IF(AD301&gt;F301,"Exceso en grasa saturada",IFERROR(IF(F301=0,"No tiene sello",IF((AD301*9)*100/F301&gt;10,"Exceso en grasa saturada","No tiene sello")),"No tiene sello"))</f>
        <v>No tiene sello</v>
      </c>
      <c r="AK301" s="13">
        <f>IF(AJ301="No tiene sello",0,1)</f>
        <v>0</v>
      </c>
      <c r="AL301" s="13" t="str">
        <f>IF(Q301&gt;=300,"Exceso en sodio",IFERROR(IF(AND(F301=0,Q301&gt;0),"No tiene sello",IF(Q301/F301&gt;1,"Exceso en sodio","No tiene sello")),"No tiene sello"))</f>
        <v>No tiene sello</v>
      </c>
      <c r="AM301" s="13" t="str">
        <f>IFERROR(IF(F301=0,"No tiene sello",IF(+(AG301/1000)*9*100/F301&gt;1,"Exceso en grasa trans", "No tiene sello")),"No tiene sello")</f>
        <v>No tiene sello</v>
      </c>
    </row>
    <row r="302" spans="1:39" s="5" customFormat="1" ht="13.5" customHeight="1" x14ac:dyDescent="0.25">
      <c r="A302" s="20" t="s">
        <v>1061</v>
      </c>
      <c r="B302" s="20" t="s">
        <v>1062</v>
      </c>
      <c r="C302" s="20" t="s">
        <v>154</v>
      </c>
      <c r="D302" s="46">
        <v>100</v>
      </c>
      <c r="E302" s="23">
        <v>92</v>
      </c>
      <c r="F302" s="24">
        <v>33</v>
      </c>
      <c r="G302" s="23">
        <v>138</v>
      </c>
      <c r="H302" s="24">
        <v>0.3</v>
      </c>
      <c r="I302" s="24">
        <v>0</v>
      </c>
      <c r="J302" s="24">
        <v>7.4</v>
      </c>
      <c r="K302" s="23">
        <v>6.6</v>
      </c>
      <c r="L302" s="23">
        <v>5.92</v>
      </c>
      <c r="M302" s="24">
        <v>0.8</v>
      </c>
      <c r="N302" s="23">
        <v>0.3</v>
      </c>
      <c r="O302" s="25">
        <v>7</v>
      </c>
      <c r="P302" s="25">
        <v>0.9</v>
      </c>
      <c r="Q302" s="23">
        <v>0</v>
      </c>
      <c r="R302" s="25">
        <v>9</v>
      </c>
      <c r="S302" s="23">
        <v>0</v>
      </c>
      <c r="T302" s="23">
        <v>0</v>
      </c>
      <c r="U302" s="23">
        <v>0</v>
      </c>
      <c r="V302" s="23">
        <v>0.06</v>
      </c>
      <c r="W302" s="23">
        <v>0.04</v>
      </c>
      <c r="X302" s="23">
        <v>0.3</v>
      </c>
      <c r="Y302" s="23">
        <v>0</v>
      </c>
      <c r="Z302" s="23">
        <v>0</v>
      </c>
      <c r="AA302" s="25">
        <v>82</v>
      </c>
      <c r="AB302" s="25">
        <v>32</v>
      </c>
      <c r="AC302" s="25">
        <v>0</v>
      </c>
      <c r="AD302" s="23">
        <v>0</v>
      </c>
      <c r="AE302" s="23">
        <v>0</v>
      </c>
      <c r="AF302" s="23">
        <v>0</v>
      </c>
      <c r="AG302" s="23">
        <v>0</v>
      </c>
      <c r="AH302" s="24">
        <v>0</v>
      </c>
      <c r="AI302" s="23">
        <v>89</v>
      </c>
      <c r="AJ302" s="13" t="str">
        <f xml:space="preserve"> IF(AD302&gt;F302,"Exceso en grasa saturada",IFERROR(IF(F302=0,"No tiene sello",IF((AD302*9)*100/F302&gt;10,"Exceso en grasa saturada","No tiene sello")),"No tiene sello"))</f>
        <v>No tiene sello</v>
      </c>
      <c r="AK302" s="13">
        <f>IF(AJ302="No tiene sello",0,1)</f>
        <v>0</v>
      </c>
      <c r="AL302" s="13" t="str">
        <f>IF(Q302&gt;=300,"Exceso en sodio",IFERROR(IF(AND(F302=0,Q302&gt;0),"No tiene sello",IF(Q302/F302&gt;1,"Exceso en sodio","No tiene sello")),"No tiene sello"))</f>
        <v>No tiene sello</v>
      </c>
      <c r="AM302" s="13" t="str">
        <f>IFERROR(IF(F302=0,"No tiene sello",IF(+(AG302/1000)*9*100/F302&gt;1,"Exceso en grasa trans", "No tiene sello")),"No tiene sello")</f>
        <v>No tiene sello</v>
      </c>
    </row>
    <row r="303" spans="1:39" ht="13.5" customHeight="1" x14ac:dyDescent="0.25">
      <c r="A303" s="26" t="s">
        <v>1059</v>
      </c>
      <c r="B303" s="26" t="s">
        <v>1060</v>
      </c>
      <c r="C303" s="26" t="s">
        <v>154</v>
      </c>
      <c r="D303" s="47">
        <v>100</v>
      </c>
      <c r="E303" s="28">
        <v>91.7</v>
      </c>
      <c r="F303" s="24">
        <v>34</v>
      </c>
      <c r="G303" s="28">
        <v>146</v>
      </c>
      <c r="H303" s="24">
        <v>0.3</v>
      </c>
      <c r="I303" s="24">
        <v>0.2</v>
      </c>
      <c r="J303" s="24">
        <v>7.4</v>
      </c>
      <c r="K303" s="28">
        <v>6.6</v>
      </c>
      <c r="L303" s="28">
        <v>5.92</v>
      </c>
      <c r="M303" s="24">
        <v>0.8</v>
      </c>
      <c r="N303" s="28">
        <v>0.4</v>
      </c>
      <c r="O303" s="25">
        <v>7</v>
      </c>
      <c r="P303" s="25">
        <v>0.9</v>
      </c>
      <c r="Q303" s="28">
        <v>0</v>
      </c>
      <c r="R303" s="25">
        <v>9</v>
      </c>
      <c r="S303" s="28">
        <v>0</v>
      </c>
      <c r="T303" s="28">
        <v>0</v>
      </c>
      <c r="U303" s="28">
        <v>0</v>
      </c>
      <c r="V303" s="28">
        <v>0.06</v>
      </c>
      <c r="W303" s="28">
        <v>0.04</v>
      </c>
      <c r="X303" s="28">
        <v>0.3</v>
      </c>
      <c r="Y303" s="28">
        <v>0</v>
      </c>
      <c r="Z303" s="28">
        <v>0</v>
      </c>
      <c r="AA303" s="25">
        <v>82</v>
      </c>
      <c r="AB303" s="25">
        <v>32</v>
      </c>
      <c r="AC303" s="25">
        <v>0</v>
      </c>
      <c r="AD303" s="28">
        <v>0</v>
      </c>
      <c r="AE303" s="28">
        <v>0</v>
      </c>
      <c r="AF303" s="28">
        <v>0</v>
      </c>
      <c r="AG303" s="28">
        <v>0</v>
      </c>
      <c r="AH303" s="24">
        <v>0</v>
      </c>
      <c r="AI303" s="28">
        <v>88</v>
      </c>
      <c r="AJ303" s="13" t="str">
        <f xml:space="preserve"> IF(AD303&gt;F303,"Exceso en grasa saturada",IFERROR(IF(F303=0,"No tiene sello",IF((AD303*9)*100/F303&gt;10,"Exceso en grasa saturada","No tiene sello")),"No tiene sello"))</f>
        <v>No tiene sello</v>
      </c>
      <c r="AK303" s="13">
        <f>IF(AJ303="No tiene sello",0,1)</f>
        <v>0</v>
      </c>
      <c r="AL303" s="13" t="str">
        <f>IF(Q303&gt;=300,"Exceso en sodio",IFERROR(IF(AND(F303=0,Q303&gt;0),"No tiene sello",IF(Q303/F303&gt;1,"Exceso en sodio","No tiene sello")),"No tiene sello"))</f>
        <v>No tiene sello</v>
      </c>
      <c r="AM303" s="13" t="str">
        <f>IFERROR(IF(F303=0,"No tiene sello",IF(+(AG303/1000)*9*100/F303&gt;1,"Exceso en grasa trans", "No tiene sello")),"No tiene sello")</f>
        <v>No tiene sello</v>
      </c>
    </row>
    <row r="304" spans="1:39" ht="13.5" customHeight="1" x14ac:dyDescent="0.25">
      <c r="A304" s="20" t="s">
        <v>1057</v>
      </c>
      <c r="B304" s="20" t="s">
        <v>1058</v>
      </c>
      <c r="C304" s="20" t="s">
        <v>154</v>
      </c>
      <c r="D304" s="46">
        <v>100</v>
      </c>
      <c r="E304" s="23">
        <v>91.5</v>
      </c>
      <c r="F304" s="24">
        <v>36</v>
      </c>
      <c r="G304" s="23">
        <v>152</v>
      </c>
      <c r="H304" s="24">
        <v>0.2</v>
      </c>
      <c r="I304" s="24">
        <v>0.4</v>
      </c>
      <c r="J304" s="24">
        <v>7.5</v>
      </c>
      <c r="K304" s="23">
        <v>6.7</v>
      </c>
      <c r="L304" s="23">
        <v>6</v>
      </c>
      <c r="M304" s="24">
        <v>0.8</v>
      </c>
      <c r="N304" s="23">
        <v>0.4</v>
      </c>
      <c r="O304" s="25">
        <v>7</v>
      </c>
      <c r="P304" s="25">
        <v>0.9</v>
      </c>
      <c r="Q304" s="23">
        <v>0</v>
      </c>
      <c r="R304" s="25">
        <v>9</v>
      </c>
      <c r="S304" s="23">
        <v>0</v>
      </c>
      <c r="T304" s="23">
        <v>0</v>
      </c>
      <c r="U304" s="23">
        <v>0</v>
      </c>
      <c r="V304" s="23">
        <v>0.06</v>
      </c>
      <c r="W304" s="23">
        <v>0.04</v>
      </c>
      <c r="X304" s="23">
        <v>0.3</v>
      </c>
      <c r="Y304" s="23">
        <v>0</v>
      </c>
      <c r="Z304" s="23">
        <v>0</v>
      </c>
      <c r="AA304" s="25">
        <v>82</v>
      </c>
      <c r="AB304" s="25">
        <v>32</v>
      </c>
      <c r="AC304" s="25">
        <v>0</v>
      </c>
      <c r="AD304" s="23">
        <v>0</v>
      </c>
      <c r="AE304" s="23">
        <v>0</v>
      </c>
      <c r="AF304" s="23">
        <v>0</v>
      </c>
      <c r="AG304" s="23">
        <v>0</v>
      </c>
      <c r="AH304" s="24">
        <v>0</v>
      </c>
      <c r="AI304" s="23">
        <v>87</v>
      </c>
      <c r="AJ304" s="13" t="str">
        <f xml:space="preserve"> IF(AD304&gt;F304,"Exceso en grasa saturada",IFERROR(IF(F304=0,"No tiene sello",IF((AD304*9)*100/F304&gt;10,"Exceso en grasa saturada","No tiene sello")),"No tiene sello"))</f>
        <v>No tiene sello</v>
      </c>
      <c r="AK304" s="13">
        <f>IF(AJ304="No tiene sello",0,1)</f>
        <v>0</v>
      </c>
      <c r="AL304" s="13" t="str">
        <f>IF(Q304&gt;=300,"Exceso en sodio",IFERROR(IF(AND(F304=0,Q304&gt;0),"No tiene sello",IF(Q304/F304&gt;1,"Exceso en sodio","No tiene sello")),"No tiene sello"))</f>
        <v>No tiene sello</v>
      </c>
      <c r="AM304" s="13" t="str">
        <f>IFERROR(IF(F304=0,"No tiene sello",IF(+(AG304/1000)*9*100/F304&gt;1,"Exceso en grasa trans", "No tiene sello")),"No tiene sello")</f>
        <v>No tiene sello</v>
      </c>
    </row>
    <row r="305" spans="1:39" s="4" customFormat="1" ht="13.5" customHeight="1" x14ac:dyDescent="0.25">
      <c r="A305" s="33" t="s">
        <v>1055</v>
      </c>
      <c r="B305" s="33" t="s">
        <v>1056</v>
      </c>
      <c r="C305" s="33" t="s">
        <v>154</v>
      </c>
      <c r="D305" s="47">
        <v>100</v>
      </c>
      <c r="E305" s="35">
        <v>86.3</v>
      </c>
      <c r="F305" s="24">
        <v>63</v>
      </c>
      <c r="G305" s="35">
        <v>265</v>
      </c>
      <c r="H305" s="24">
        <v>0.3</v>
      </c>
      <c r="I305" s="24">
        <v>0.2</v>
      </c>
      <c r="J305" s="24">
        <v>12.9</v>
      </c>
      <c r="K305" s="35">
        <v>8.5</v>
      </c>
      <c r="L305" s="35">
        <v>9.0299999999999994</v>
      </c>
      <c r="M305" s="24">
        <v>4.4000000000000004</v>
      </c>
      <c r="N305" s="35">
        <v>0.3</v>
      </c>
      <c r="O305" s="35">
        <v>8</v>
      </c>
      <c r="P305" s="35">
        <v>0.4</v>
      </c>
      <c r="Q305" s="35">
        <v>1</v>
      </c>
      <c r="R305" s="35">
        <v>9</v>
      </c>
      <c r="S305" s="35">
        <v>0.1</v>
      </c>
      <c r="T305" s="35">
        <v>5</v>
      </c>
      <c r="U305" s="35">
        <v>106</v>
      </c>
      <c r="V305" s="35">
        <v>7.0000000000000007E-2</v>
      </c>
      <c r="W305" s="35">
        <v>0.04</v>
      </c>
      <c r="X305" s="35">
        <v>0.2</v>
      </c>
      <c r="Y305" s="35">
        <v>7</v>
      </c>
      <c r="Z305" s="35">
        <v>0</v>
      </c>
      <c r="AA305" s="35">
        <v>2</v>
      </c>
      <c r="AB305" s="35">
        <v>0</v>
      </c>
      <c r="AC305" s="35">
        <v>0</v>
      </c>
      <c r="AD305" s="35">
        <v>0</v>
      </c>
      <c r="AE305" s="35">
        <v>0</v>
      </c>
      <c r="AF305" s="35">
        <v>0</v>
      </c>
      <c r="AG305" s="35">
        <v>0</v>
      </c>
      <c r="AH305" s="35">
        <v>0</v>
      </c>
      <c r="AI305" s="35">
        <v>85</v>
      </c>
      <c r="AJ305" s="13" t="str">
        <f xml:space="preserve"> IF(AD305&gt;F305,"Exceso en grasa saturada",IFERROR(IF(F305=0,"No tiene sello",IF((AD305*9)*100/F305&gt;10,"Exceso en grasa saturada","No tiene sello")),"No tiene sello"))</f>
        <v>No tiene sello</v>
      </c>
      <c r="AK305" s="13">
        <f>IF(AJ305="No tiene sello",0,1)</f>
        <v>0</v>
      </c>
      <c r="AL305" s="13" t="str">
        <f>IF(Q305&gt;=300,"Exceso en sodio",IFERROR(IF(AND(F305=0,Q305&gt;0),"No tiene sello",IF(Q305/F305&gt;1,"Exceso en sodio","No tiene sello")),"No tiene sello"))</f>
        <v>No tiene sello</v>
      </c>
      <c r="AM305" s="13" t="str">
        <f>IFERROR(IF(F305=0,"No tiene sello",IF(+(AG305/1000)*9*100/F305&gt;1,"Exceso en grasa trans", "No tiene sello")),"No tiene sello")</f>
        <v>No tiene sello</v>
      </c>
    </row>
    <row r="306" spans="1:39" s="5" customFormat="1" ht="13.5" customHeight="1" x14ac:dyDescent="0.25">
      <c r="A306" s="29" t="s">
        <v>1053</v>
      </c>
      <c r="B306" s="29" t="s">
        <v>1054</v>
      </c>
      <c r="C306" s="29" t="s">
        <v>154</v>
      </c>
      <c r="D306" s="46">
        <v>100</v>
      </c>
      <c r="E306" s="31">
        <v>86.5</v>
      </c>
      <c r="F306" s="24">
        <v>56</v>
      </c>
      <c r="G306" s="31">
        <v>239</v>
      </c>
      <c r="H306" s="24">
        <v>0.6</v>
      </c>
      <c r="I306" s="24">
        <v>0.1</v>
      </c>
      <c r="J306" s="24">
        <v>12.4</v>
      </c>
      <c r="K306" s="31">
        <v>10.7</v>
      </c>
      <c r="L306" s="31">
        <v>8.68</v>
      </c>
      <c r="M306" s="24">
        <v>1.7</v>
      </c>
      <c r="N306" s="31">
        <v>0.4</v>
      </c>
      <c r="O306" s="31">
        <v>16</v>
      </c>
      <c r="P306" s="31">
        <v>0.5</v>
      </c>
      <c r="Q306" s="31">
        <v>3</v>
      </c>
      <c r="R306" s="31">
        <v>9</v>
      </c>
      <c r="S306" s="31">
        <v>0.2</v>
      </c>
      <c r="T306" s="31">
        <v>12</v>
      </c>
      <c r="U306" s="31">
        <v>159</v>
      </c>
      <c r="V306" s="31">
        <v>0.06</v>
      </c>
      <c r="W306" s="31">
        <v>0.05</v>
      </c>
      <c r="X306" s="31">
        <v>0.3</v>
      </c>
      <c r="Y306" s="31">
        <v>16</v>
      </c>
      <c r="Z306" s="31">
        <v>0</v>
      </c>
      <c r="AA306" s="31">
        <v>23</v>
      </c>
      <c r="AB306" s="31">
        <v>8</v>
      </c>
      <c r="AC306" s="31">
        <v>0</v>
      </c>
      <c r="AD306" s="31">
        <v>0</v>
      </c>
      <c r="AE306" s="31">
        <v>0</v>
      </c>
      <c r="AF306" s="31">
        <v>0</v>
      </c>
      <c r="AG306" s="31">
        <v>0</v>
      </c>
      <c r="AH306" s="31">
        <v>0</v>
      </c>
      <c r="AI306" s="31">
        <v>55</v>
      </c>
      <c r="AJ306" s="13" t="str">
        <f xml:space="preserve"> IF(AD306&gt;F306,"Exceso en grasa saturada",IFERROR(IF(F306=0,"No tiene sello",IF((AD306*9)*100/F306&gt;10,"Exceso en grasa saturada","No tiene sello")),"No tiene sello"))</f>
        <v>No tiene sello</v>
      </c>
      <c r="AK306" s="13">
        <f>IF(AJ306="No tiene sello",0,1)</f>
        <v>0</v>
      </c>
      <c r="AL306" s="13" t="str">
        <f>IF(Q306&gt;=300,"Exceso en sodio",IFERROR(IF(AND(F306=0,Q306&gt;0),"No tiene sello",IF(Q306/F306&gt;1,"Exceso en sodio","No tiene sello")),"No tiene sello"))</f>
        <v>No tiene sello</v>
      </c>
      <c r="AM306" s="13" t="str">
        <f>IFERROR(IF(F306=0,"No tiene sello",IF(+(AG306/1000)*9*100/F306&gt;1,"Exceso en grasa trans", "No tiene sello")),"No tiene sello")</f>
        <v>No tiene sello</v>
      </c>
    </row>
    <row r="307" spans="1:39" ht="13.5" customHeight="1" x14ac:dyDescent="0.25">
      <c r="A307" s="26" t="s">
        <v>1051</v>
      </c>
      <c r="B307" s="26" t="s">
        <v>1052</v>
      </c>
      <c r="C307" s="26" t="s">
        <v>154</v>
      </c>
      <c r="D307" s="47">
        <v>100</v>
      </c>
      <c r="E307" s="28">
        <v>85.9</v>
      </c>
      <c r="F307" s="24">
        <v>54</v>
      </c>
      <c r="G307" s="28">
        <v>228</v>
      </c>
      <c r="H307" s="24">
        <v>0.2</v>
      </c>
      <c r="I307" s="24">
        <v>1.1000000000000001</v>
      </c>
      <c r="J307" s="24">
        <v>10.8</v>
      </c>
      <c r="K307" s="28">
        <v>0</v>
      </c>
      <c r="L307" s="28">
        <v>1.08</v>
      </c>
      <c r="M307" s="24">
        <v>0</v>
      </c>
      <c r="N307" s="28">
        <v>2</v>
      </c>
      <c r="O307" s="25">
        <v>31</v>
      </c>
      <c r="P307" s="25">
        <v>0.2</v>
      </c>
      <c r="Q307" s="28">
        <v>2</v>
      </c>
      <c r="R307" s="25">
        <v>30</v>
      </c>
      <c r="S307" s="28">
        <v>0</v>
      </c>
      <c r="T307" s="28">
        <v>11</v>
      </c>
      <c r="U307" s="28">
        <v>75</v>
      </c>
      <c r="V307" s="28">
        <v>0.06</v>
      </c>
      <c r="W307" s="28">
        <v>0.02</v>
      </c>
      <c r="X307" s="28">
        <v>0.3</v>
      </c>
      <c r="Y307" s="28">
        <v>0</v>
      </c>
      <c r="Z307" s="28">
        <v>0</v>
      </c>
      <c r="AA307" s="25">
        <v>57</v>
      </c>
      <c r="AB307" s="25">
        <v>0</v>
      </c>
      <c r="AC307" s="25">
        <v>0</v>
      </c>
      <c r="AD307" s="28">
        <v>0</v>
      </c>
      <c r="AE307" s="28">
        <v>0</v>
      </c>
      <c r="AF307" s="28">
        <v>0</v>
      </c>
      <c r="AG307" s="28">
        <v>0</v>
      </c>
      <c r="AH307" s="24">
        <v>0</v>
      </c>
      <c r="AI307" s="28">
        <v>23</v>
      </c>
      <c r="AJ307" s="13" t="str">
        <f xml:space="preserve"> IF(AD307&gt;F307,"Exceso en grasa saturada",IFERROR(IF(F307=0,"No tiene sello",IF((AD307*9)*100/F307&gt;10,"Exceso en grasa saturada","No tiene sello")),"No tiene sello"))</f>
        <v>No tiene sello</v>
      </c>
      <c r="AK307" s="13">
        <f>IF(AJ307="No tiene sello",0,1)</f>
        <v>0</v>
      </c>
      <c r="AL307" s="13" t="str">
        <f>IF(Q307&gt;=300,"Exceso en sodio",IFERROR(IF(AND(F307=0,Q307&gt;0),"No tiene sello",IF(Q307/F307&gt;1,"Exceso en sodio","No tiene sello")),"No tiene sello"))</f>
        <v>No tiene sello</v>
      </c>
      <c r="AM307" s="13" t="str">
        <f>IFERROR(IF(F307=0,"No tiene sello",IF(+(AG307/1000)*9*100/F307&gt;1,"Exceso en grasa trans", "No tiene sello")),"No tiene sello")</f>
        <v>No tiene sello</v>
      </c>
    </row>
    <row r="308" spans="1:39" ht="13.5" customHeight="1" x14ac:dyDescent="0.25">
      <c r="A308" s="20" t="s">
        <v>1049</v>
      </c>
      <c r="B308" s="20" t="s">
        <v>1050</v>
      </c>
      <c r="C308" s="20" t="s">
        <v>165</v>
      </c>
      <c r="D308" s="46">
        <v>100</v>
      </c>
      <c r="E308" s="23">
        <v>2.1</v>
      </c>
      <c r="F308" s="24">
        <v>666</v>
      </c>
      <c r="G308" s="23">
        <v>2759</v>
      </c>
      <c r="H308" s="24">
        <v>14.9</v>
      </c>
      <c r="I308" s="24">
        <v>52.8</v>
      </c>
      <c r="J308" s="24">
        <v>27.6</v>
      </c>
      <c r="K308" s="23">
        <v>17.3</v>
      </c>
      <c r="L308" s="23">
        <v>2.76</v>
      </c>
      <c r="M308" s="24">
        <v>10.3</v>
      </c>
      <c r="N308" s="23">
        <v>2.6</v>
      </c>
      <c r="O308" s="25">
        <v>109</v>
      </c>
      <c r="P308" s="25">
        <v>4.2</v>
      </c>
      <c r="Q308" s="23">
        <v>1</v>
      </c>
      <c r="R308" s="25">
        <v>486</v>
      </c>
      <c r="S308" s="23">
        <v>2.2999999999999998</v>
      </c>
      <c r="T308" s="23">
        <v>120</v>
      </c>
      <c r="U308" s="23">
        <v>1040</v>
      </c>
      <c r="V308" s="23">
        <v>0.85</v>
      </c>
      <c r="W308" s="23">
        <v>0.16</v>
      </c>
      <c r="X308" s="23">
        <v>1.3</v>
      </c>
      <c r="Y308" s="23">
        <v>50</v>
      </c>
      <c r="Z308" s="23">
        <v>0</v>
      </c>
      <c r="AA308" s="25">
        <v>6</v>
      </c>
      <c r="AB308" s="25">
        <v>24</v>
      </c>
      <c r="AC308" s="25">
        <v>0</v>
      </c>
      <c r="AD308" s="23">
        <v>0</v>
      </c>
      <c r="AE308" s="23">
        <v>0</v>
      </c>
      <c r="AF308" s="23">
        <v>0</v>
      </c>
      <c r="AG308" s="23">
        <v>50</v>
      </c>
      <c r="AH308" s="24">
        <v>0</v>
      </c>
      <c r="AI308" s="23">
        <v>100</v>
      </c>
      <c r="AJ308" s="13" t="str">
        <f xml:space="preserve"> IF(AD308&gt;F308,"Exceso en grasa saturada",IFERROR(IF(F308=0,"No tiene sello",IF((AD308*9)*100/F308&gt;10,"Exceso en grasa saturada","No tiene sello")),"No tiene sello"))</f>
        <v>No tiene sello</v>
      </c>
      <c r="AK308" s="13">
        <f>IF(AJ308="No tiene sello",0,1)</f>
        <v>0</v>
      </c>
      <c r="AL308" s="13" t="str">
        <f>IF(Q308&gt;=300,"Exceso en sodio",IFERROR(IF(AND(F308=0,Q308&gt;0),"No tiene sello",IF(Q308/F308&gt;1,"Exceso en sodio","No tiene sello")),"No tiene sello"))</f>
        <v>No tiene sello</v>
      </c>
      <c r="AM308" s="13" t="str">
        <f>IFERROR(IF(F308=0,"No tiene sello",IF(+(AG308/1000)*9*100/F308&gt;1,"Exceso en grasa trans", "No tiene sello")),"No tiene sello")</f>
        <v>No tiene sello</v>
      </c>
    </row>
    <row r="309" spans="1:39" ht="13.5" customHeight="1" x14ac:dyDescent="0.25">
      <c r="A309" s="26" t="s">
        <v>1047</v>
      </c>
      <c r="B309" s="26" t="s">
        <v>1048</v>
      </c>
      <c r="C309" s="26" t="s">
        <v>154</v>
      </c>
      <c r="D309" s="47">
        <v>100</v>
      </c>
      <c r="E309" s="28">
        <v>85.5</v>
      </c>
      <c r="F309" s="24">
        <v>63</v>
      </c>
      <c r="G309" s="28">
        <v>268</v>
      </c>
      <c r="H309" s="24">
        <v>0.4</v>
      </c>
      <c r="I309" s="24">
        <v>0.1</v>
      </c>
      <c r="J309" s="24">
        <v>13.6</v>
      </c>
      <c r="K309" s="28">
        <v>10.3</v>
      </c>
      <c r="L309" s="28">
        <v>1.36</v>
      </c>
      <c r="M309" s="24">
        <v>3.3</v>
      </c>
      <c r="N309" s="28">
        <v>0.4</v>
      </c>
      <c r="O309" s="25">
        <v>26</v>
      </c>
      <c r="P309" s="25">
        <v>0.3</v>
      </c>
      <c r="Q309" s="28">
        <v>4</v>
      </c>
      <c r="R309" s="25">
        <v>26</v>
      </c>
      <c r="S309" s="28">
        <v>0.1</v>
      </c>
      <c r="T309" s="28">
        <v>19</v>
      </c>
      <c r="U309" s="28">
        <v>155</v>
      </c>
      <c r="V309" s="28">
        <v>0.03</v>
      </c>
      <c r="W309" s="28">
        <v>0.04</v>
      </c>
      <c r="X309" s="28">
        <v>0.2</v>
      </c>
      <c r="Y309" s="28">
        <v>6</v>
      </c>
      <c r="Z309" s="28">
        <v>0</v>
      </c>
      <c r="AA309" s="25">
        <v>20</v>
      </c>
      <c r="AB309" s="25">
        <v>2</v>
      </c>
      <c r="AC309" s="25">
        <v>0</v>
      </c>
      <c r="AD309" s="28">
        <v>0</v>
      </c>
      <c r="AE309" s="28">
        <v>0</v>
      </c>
      <c r="AF309" s="28">
        <v>0</v>
      </c>
      <c r="AG309" s="28">
        <v>0</v>
      </c>
      <c r="AH309" s="24">
        <v>0</v>
      </c>
      <c r="AI309" s="28">
        <v>55</v>
      </c>
      <c r="AJ309" s="13" t="str">
        <f xml:space="preserve"> IF(AD309&gt;F309,"Exceso en grasa saturada",IFERROR(IF(F309=0,"No tiene sello",IF((AD309*9)*100/F309&gt;10,"Exceso en grasa saturada","No tiene sello")),"No tiene sello"))</f>
        <v>No tiene sello</v>
      </c>
      <c r="AK309" s="13">
        <f>IF(AJ309="No tiene sello",0,1)</f>
        <v>0</v>
      </c>
      <c r="AL309" s="13" t="str">
        <f>IF(Q309&gt;=300,"Exceso en sodio",IFERROR(IF(AND(F309=0,Q309&gt;0),"No tiene sello",IF(Q309/F309&gt;1,"Exceso en sodio","No tiene sello")),"No tiene sello"))</f>
        <v>No tiene sello</v>
      </c>
      <c r="AM309" s="13" t="str">
        <f>IFERROR(IF(F309=0,"No tiene sello",IF(+(AG309/1000)*9*100/F309&gt;1,"Exceso en grasa trans", "No tiene sello")),"No tiene sello")</f>
        <v>No tiene sello</v>
      </c>
    </row>
    <row r="310" spans="1:39" ht="13.5" customHeight="1" x14ac:dyDescent="0.25">
      <c r="A310" s="20" t="s">
        <v>1045</v>
      </c>
      <c r="B310" s="20" t="s">
        <v>1046</v>
      </c>
      <c r="C310" s="20" t="s">
        <v>154</v>
      </c>
      <c r="D310" s="46">
        <v>100</v>
      </c>
      <c r="E310" s="23">
        <v>87.3</v>
      </c>
      <c r="F310" s="24">
        <v>56</v>
      </c>
      <c r="G310" s="23">
        <v>236</v>
      </c>
      <c r="H310" s="24">
        <v>0.5</v>
      </c>
      <c r="I310" s="24">
        <v>0.1</v>
      </c>
      <c r="J310" s="24">
        <v>11.6</v>
      </c>
      <c r="K310" s="23">
        <v>8.3000000000000007</v>
      </c>
      <c r="L310" s="23">
        <v>1.1599999999999999</v>
      </c>
      <c r="M310" s="24">
        <v>3.3</v>
      </c>
      <c r="N310" s="23">
        <v>0.5</v>
      </c>
      <c r="O310" s="25">
        <v>26</v>
      </c>
      <c r="P310" s="25">
        <v>0.2</v>
      </c>
      <c r="Q310" s="23">
        <v>0</v>
      </c>
      <c r="R310" s="25">
        <v>26</v>
      </c>
      <c r="S310" s="23">
        <v>0.1</v>
      </c>
      <c r="T310" s="23">
        <v>0</v>
      </c>
      <c r="U310" s="23">
        <v>0</v>
      </c>
      <c r="V310" s="23">
        <v>0.01</v>
      </c>
      <c r="W310" s="23">
        <v>0.03</v>
      </c>
      <c r="X310" s="23">
        <v>0.2</v>
      </c>
      <c r="Y310" s="23">
        <v>0</v>
      </c>
      <c r="Z310" s="23">
        <v>0</v>
      </c>
      <c r="AA310" s="25">
        <v>25</v>
      </c>
      <c r="AB310" s="25">
        <v>3</v>
      </c>
      <c r="AC310" s="25">
        <v>0</v>
      </c>
      <c r="AD310" s="23">
        <v>0</v>
      </c>
      <c r="AE310" s="23">
        <v>0</v>
      </c>
      <c r="AF310" s="23">
        <v>0</v>
      </c>
      <c r="AG310" s="23">
        <v>0</v>
      </c>
      <c r="AH310" s="24">
        <v>0</v>
      </c>
      <c r="AI310" s="23">
        <v>55</v>
      </c>
      <c r="AJ310" s="13" t="str">
        <f xml:space="preserve"> IF(AD310&gt;F310,"Exceso en grasa saturada",IFERROR(IF(F310=0,"No tiene sello",IF((AD310*9)*100/F310&gt;10,"Exceso en grasa saturada","No tiene sello")),"No tiene sello"))</f>
        <v>No tiene sello</v>
      </c>
      <c r="AK310" s="13">
        <f>IF(AJ310="No tiene sello",0,1)</f>
        <v>0</v>
      </c>
      <c r="AL310" s="13" t="str">
        <f>IF(Q310&gt;=300,"Exceso en sodio",IFERROR(IF(AND(F310=0,Q310&gt;0),"No tiene sello",IF(Q310/F310&gt;1,"Exceso en sodio","No tiene sello")),"No tiene sello"))</f>
        <v>No tiene sello</v>
      </c>
      <c r="AM310" s="13" t="str">
        <f>IFERROR(IF(F310=0,"No tiene sello",IF(+(AG310/1000)*9*100/F310&gt;1,"Exceso en grasa trans", "No tiene sello")),"No tiene sello")</f>
        <v>No tiene sello</v>
      </c>
    </row>
    <row r="311" spans="1:39" ht="13.5" customHeight="1" x14ac:dyDescent="0.25">
      <c r="A311" s="26" t="s">
        <v>1043</v>
      </c>
      <c r="B311" s="26" t="s">
        <v>1044</v>
      </c>
      <c r="C311" s="26" t="s">
        <v>154</v>
      </c>
      <c r="D311" s="47">
        <v>100</v>
      </c>
      <c r="E311" s="28">
        <v>81.099999999999994</v>
      </c>
      <c r="F311" s="24">
        <v>85</v>
      </c>
      <c r="G311" s="28">
        <v>358</v>
      </c>
      <c r="H311" s="24">
        <v>0.6</v>
      </c>
      <c r="I311" s="24">
        <v>0.2</v>
      </c>
      <c r="J311" s="24">
        <v>17.7</v>
      </c>
      <c r="K311" s="28">
        <v>12.6</v>
      </c>
      <c r="L311" s="28">
        <v>1.77</v>
      </c>
      <c r="M311" s="24">
        <v>5.0999999999999996</v>
      </c>
      <c r="N311" s="28">
        <v>0.4</v>
      </c>
      <c r="O311" s="25">
        <v>49</v>
      </c>
      <c r="P311" s="25">
        <v>0.9</v>
      </c>
      <c r="Q311" s="28">
        <v>2</v>
      </c>
      <c r="R311" s="25">
        <v>31</v>
      </c>
      <c r="S311" s="28">
        <v>0.2</v>
      </c>
      <c r="T311" s="28">
        <v>14</v>
      </c>
      <c r="U311" s="28">
        <v>78</v>
      </c>
      <c r="V311" s="28">
        <v>0.02</v>
      </c>
      <c r="W311" s="28">
        <v>0.03</v>
      </c>
      <c r="X311" s="28">
        <v>0.7</v>
      </c>
      <c r="Y311" s="28">
        <v>0</v>
      </c>
      <c r="Z311" s="28">
        <v>0</v>
      </c>
      <c r="AA311" s="25">
        <v>25</v>
      </c>
      <c r="AB311" s="25">
        <v>40</v>
      </c>
      <c r="AC311" s="25">
        <v>0</v>
      </c>
      <c r="AD311" s="28">
        <v>0</v>
      </c>
      <c r="AE311" s="28">
        <v>0</v>
      </c>
      <c r="AF311" s="28">
        <v>0</v>
      </c>
      <c r="AG311" s="28">
        <v>0</v>
      </c>
      <c r="AH311" s="24">
        <v>0</v>
      </c>
      <c r="AI311" s="28">
        <v>65</v>
      </c>
      <c r="AJ311" s="13" t="str">
        <f xml:space="preserve"> IF(AD311&gt;F311,"Exceso en grasa saturada",IFERROR(IF(F311=0,"No tiene sello",IF((AD311*9)*100/F311&gt;10,"Exceso en grasa saturada","No tiene sello")),"No tiene sello"))</f>
        <v>No tiene sello</v>
      </c>
      <c r="AK311" s="13">
        <f>IF(AJ311="No tiene sello",0,1)</f>
        <v>0</v>
      </c>
      <c r="AL311" s="13" t="str">
        <f>IF(Q311&gt;=300,"Exceso en sodio",IFERROR(IF(AND(F311=0,Q311&gt;0),"No tiene sello",IF(Q311/F311&gt;1,"Exceso en sodio","No tiene sello")),"No tiene sello"))</f>
        <v>No tiene sello</v>
      </c>
      <c r="AM311" s="13" t="str">
        <f>IFERROR(IF(F311=0,"No tiene sello",IF(+(AG311/1000)*9*100/F311&gt;1,"Exceso en grasa trans", "No tiene sello")),"No tiene sello")</f>
        <v>No tiene sello</v>
      </c>
    </row>
    <row r="312" spans="1:39" ht="13.5" customHeight="1" x14ac:dyDescent="0.25">
      <c r="A312" s="20" t="s">
        <v>1040</v>
      </c>
      <c r="B312" s="20" t="s">
        <v>1042</v>
      </c>
      <c r="C312" s="20" t="s">
        <v>1041</v>
      </c>
      <c r="D312" s="46">
        <v>100</v>
      </c>
      <c r="E312" s="23">
        <v>94.9</v>
      </c>
      <c r="F312" s="24">
        <v>22</v>
      </c>
      <c r="G312" s="23">
        <v>91</v>
      </c>
      <c r="H312" s="24">
        <v>0.9</v>
      </c>
      <c r="I312" s="24">
        <v>0.1</v>
      </c>
      <c r="J312" s="24">
        <v>3.4</v>
      </c>
      <c r="K312" s="23">
        <v>1.6</v>
      </c>
      <c r="L312" s="23">
        <v>0.34</v>
      </c>
      <c r="M312" s="24">
        <v>1.8</v>
      </c>
      <c r="N312" s="23">
        <v>0.7</v>
      </c>
      <c r="O312" s="25">
        <v>88</v>
      </c>
      <c r="P312" s="25">
        <v>0.3</v>
      </c>
      <c r="Q312" s="23">
        <v>4</v>
      </c>
      <c r="R312" s="25">
        <v>15</v>
      </c>
      <c r="S312" s="23">
        <v>0.1</v>
      </c>
      <c r="T312" s="23">
        <v>12</v>
      </c>
      <c r="U312" s="23">
        <v>289</v>
      </c>
      <c r="V312" s="23">
        <v>0.02</v>
      </c>
      <c r="W312" s="23">
        <v>0.02</v>
      </c>
      <c r="X312" s="23">
        <v>0.3</v>
      </c>
      <c r="Y312" s="23">
        <v>7</v>
      </c>
      <c r="Z312" s="23">
        <v>0</v>
      </c>
      <c r="AA312" s="25">
        <v>10</v>
      </c>
      <c r="AB312" s="25">
        <v>3</v>
      </c>
      <c r="AC312" s="25">
        <v>0</v>
      </c>
      <c r="AD312" s="23">
        <v>0</v>
      </c>
      <c r="AE312" s="23">
        <v>0</v>
      </c>
      <c r="AF312" s="23">
        <v>0</v>
      </c>
      <c r="AG312" s="23">
        <v>0</v>
      </c>
      <c r="AH312" s="24">
        <v>0</v>
      </c>
      <c r="AI312" s="23">
        <v>65</v>
      </c>
      <c r="AJ312" s="13" t="str">
        <f xml:space="preserve"> IF(AD312&gt;F312,"Exceso en grasa saturada",IFERROR(IF(F312=0,"No tiene sello",IF((AD312*9)*100/F312&gt;10,"Exceso en grasa saturada","No tiene sello")),"No tiene sello"))</f>
        <v>No tiene sello</v>
      </c>
      <c r="AK312" s="13">
        <f>IF(AJ312="No tiene sello",0,1)</f>
        <v>0</v>
      </c>
      <c r="AL312" s="13" t="str">
        <f>IF(Q312&gt;=300,"Exceso en sodio",IFERROR(IF(AND(F312=0,Q312&gt;0),"No tiene sello",IF(Q312/F312&gt;1,"Exceso en sodio","No tiene sello")),"No tiene sello"))</f>
        <v>No tiene sello</v>
      </c>
      <c r="AM312" s="13" t="str">
        <f>IFERROR(IF(F312=0,"No tiene sello",IF(+(AG312/1000)*9*100/F312&gt;1,"Exceso en grasa trans", "No tiene sello")),"No tiene sello")</f>
        <v>No tiene sello</v>
      </c>
    </row>
    <row r="313" spans="1:39" ht="13.5" customHeight="1" x14ac:dyDescent="0.25">
      <c r="A313" s="33" t="s">
        <v>1038</v>
      </c>
      <c r="B313" s="33" t="s">
        <v>1039</v>
      </c>
      <c r="C313" s="33" t="s">
        <v>154</v>
      </c>
      <c r="D313" s="47">
        <v>100</v>
      </c>
      <c r="E313" s="35">
        <v>95.7</v>
      </c>
      <c r="F313" s="24">
        <v>17</v>
      </c>
      <c r="G313" s="35">
        <v>73</v>
      </c>
      <c r="H313" s="24">
        <v>0.4</v>
      </c>
      <c r="I313" s="24">
        <v>0</v>
      </c>
      <c r="J313" s="24">
        <v>3.7</v>
      </c>
      <c r="K313" s="35">
        <v>3.3</v>
      </c>
      <c r="L313" s="35">
        <v>0.37</v>
      </c>
      <c r="M313" s="24">
        <v>0.4</v>
      </c>
      <c r="N313" s="35">
        <v>0.2</v>
      </c>
      <c r="O313" s="35">
        <v>4</v>
      </c>
      <c r="P313" s="35">
        <v>0.3</v>
      </c>
      <c r="Q313" s="35">
        <v>1</v>
      </c>
      <c r="R313" s="35">
        <v>5</v>
      </c>
      <c r="S313" s="35">
        <v>0.1</v>
      </c>
      <c r="T313" s="35">
        <v>10</v>
      </c>
      <c r="U313" s="35">
        <v>111</v>
      </c>
      <c r="V313" s="35">
        <v>0.02</v>
      </c>
      <c r="W313" s="35">
        <v>0.01</v>
      </c>
      <c r="X313" s="35">
        <v>0.1</v>
      </c>
      <c r="Y313" s="35">
        <v>3</v>
      </c>
      <c r="Z313" s="35">
        <v>0</v>
      </c>
      <c r="AA313" s="35">
        <v>7</v>
      </c>
      <c r="AB313" s="35">
        <v>30</v>
      </c>
      <c r="AC313" s="35">
        <v>0</v>
      </c>
      <c r="AD313" s="35">
        <v>0</v>
      </c>
      <c r="AE313" s="35">
        <v>0</v>
      </c>
      <c r="AF313" s="35">
        <v>0</v>
      </c>
      <c r="AG313" s="35">
        <v>0</v>
      </c>
      <c r="AH313" s="35">
        <v>0</v>
      </c>
      <c r="AI313" s="35">
        <v>40</v>
      </c>
      <c r="AJ313" s="13" t="str">
        <f xml:space="preserve"> IF(AD313&gt;F313,"Exceso en grasa saturada",IFERROR(IF(F313=0,"No tiene sello",IF((AD313*9)*100/F313&gt;10,"Exceso en grasa saturada","No tiene sello")),"No tiene sello"))</f>
        <v>No tiene sello</v>
      </c>
      <c r="AK313" s="13">
        <f>IF(AJ313="No tiene sello",0,1)</f>
        <v>0</v>
      </c>
      <c r="AL313" s="13" t="str">
        <f>IF(Q313&gt;=300,"Exceso en sodio",IFERROR(IF(AND(F313=0,Q313&gt;0),"No tiene sello",IF(Q313/F313&gt;1,"Exceso en sodio","No tiene sello")),"No tiene sello"))</f>
        <v>No tiene sello</v>
      </c>
      <c r="AM313" s="13" t="str">
        <f>IFERROR(IF(F313=0,"No tiene sello",IF(+(AG313/1000)*9*100/F313&gt;1,"Exceso en grasa trans", "No tiene sello")),"No tiene sello")</f>
        <v>No tiene sello</v>
      </c>
    </row>
    <row r="314" spans="1:39" ht="13.5" customHeight="1" x14ac:dyDescent="0.25">
      <c r="A314" s="20" t="s">
        <v>1036</v>
      </c>
      <c r="B314" s="20" t="s">
        <v>1037</v>
      </c>
      <c r="C314" s="20" t="s">
        <v>154</v>
      </c>
      <c r="D314" s="46">
        <v>100</v>
      </c>
      <c r="E314" s="23">
        <v>18.399999999999999</v>
      </c>
      <c r="F314" s="24">
        <v>329</v>
      </c>
      <c r="G314" s="23">
        <v>1396</v>
      </c>
      <c r="H314" s="24">
        <v>5.4</v>
      </c>
      <c r="I314" s="24">
        <v>0.5</v>
      </c>
      <c r="J314" s="24">
        <v>73.2</v>
      </c>
      <c r="K314" s="23">
        <v>68.099999999999994</v>
      </c>
      <c r="L314" s="23">
        <v>7.32</v>
      </c>
      <c r="M314" s="24">
        <v>5.0999999999999996</v>
      </c>
      <c r="N314" s="23">
        <v>2.5</v>
      </c>
      <c r="O314" s="25">
        <v>81</v>
      </c>
      <c r="P314" s="25">
        <v>1.1000000000000001</v>
      </c>
      <c r="Q314" s="23">
        <v>28</v>
      </c>
      <c r="R314" s="25">
        <v>86</v>
      </c>
      <c r="S314" s="23">
        <v>0.1</v>
      </c>
      <c r="T314" s="23">
        <v>92</v>
      </c>
      <c r="U314" s="23">
        <v>621</v>
      </c>
      <c r="V314" s="23">
        <v>0.2</v>
      </c>
      <c r="W314" s="23">
        <v>0.19</v>
      </c>
      <c r="X314" s="23">
        <v>2.5</v>
      </c>
      <c r="Y314" s="23">
        <v>14</v>
      </c>
      <c r="Z314" s="23">
        <v>0</v>
      </c>
      <c r="AA314" s="25">
        <v>20</v>
      </c>
      <c r="AB314" s="25">
        <v>2</v>
      </c>
      <c r="AC314" s="25">
        <v>0</v>
      </c>
      <c r="AD314" s="23">
        <v>0</v>
      </c>
      <c r="AE314" s="23">
        <v>0</v>
      </c>
      <c r="AF314" s="23">
        <v>0</v>
      </c>
      <c r="AG314" s="23">
        <v>0</v>
      </c>
      <c r="AH314" s="24">
        <v>0</v>
      </c>
      <c r="AI314" s="23">
        <v>45</v>
      </c>
      <c r="AJ314" s="13" t="str">
        <f xml:space="preserve"> IF(AD314&gt;F314,"Exceso en grasa saturada",IFERROR(IF(F314=0,"No tiene sello",IF((AD314*9)*100/F314&gt;10,"Exceso en grasa saturada","No tiene sello")),"No tiene sello"))</f>
        <v>No tiene sello</v>
      </c>
      <c r="AK314" s="13">
        <f>IF(AJ314="No tiene sello",0,1)</f>
        <v>0</v>
      </c>
      <c r="AL314" s="13" t="str">
        <f>IF(Q314&gt;=300,"Exceso en sodio",IFERROR(IF(AND(F314=0,Q314&gt;0),"No tiene sello",IF(Q314/F314&gt;1,"Exceso en sodio","No tiene sello")),"No tiene sello"))</f>
        <v>No tiene sello</v>
      </c>
      <c r="AM314" s="13" t="str">
        <f>IFERROR(IF(F314=0,"No tiene sello",IF(+(AG314/1000)*9*100/F314&gt;1,"Exceso en grasa trans", "No tiene sello")),"No tiene sello")</f>
        <v>No tiene sello</v>
      </c>
    </row>
    <row r="315" spans="1:39" ht="13.5" customHeight="1" x14ac:dyDescent="0.25">
      <c r="A315" s="26" t="s">
        <v>1034</v>
      </c>
      <c r="B315" s="26" t="s">
        <v>1035</v>
      </c>
      <c r="C315" s="26" t="s">
        <v>154</v>
      </c>
      <c r="D315" s="47">
        <v>100</v>
      </c>
      <c r="E315" s="28">
        <v>84.9</v>
      </c>
      <c r="F315" s="24">
        <v>58</v>
      </c>
      <c r="G315" s="28">
        <v>245</v>
      </c>
      <c r="H315" s="24">
        <v>1.7</v>
      </c>
      <c r="I315" s="24">
        <v>0.1</v>
      </c>
      <c r="J315" s="24">
        <v>12.5</v>
      </c>
      <c r="K315" s="28">
        <v>0</v>
      </c>
      <c r="L315" s="28">
        <v>1.25</v>
      </c>
      <c r="M315" s="24">
        <v>0</v>
      </c>
      <c r="N315" s="28">
        <v>0.8</v>
      </c>
      <c r="O315" s="25">
        <v>10</v>
      </c>
      <c r="P315" s="25">
        <v>0.8</v>
      </c>
      <c r="Q315" s="28">
        <v>1</v>
      </c>
      <c r="R315" s="25">
        <v>43</v>
      </c>
      <c r="S315" s="28">
        <v>0.1</v>
      </c>
      <c r="T315" s="28">
        <v>19</v>
      </c>
      <c r="U315" s="28">
        <v>300</v>
      </c>
      <c r="V315" s="28">
        <v>0.06</v>
      </c>
      <c r="W315" s="28">
        <v>0.03</v>
      </c>
      <c r="X315" s="28">
        <v>0.3</v>
      </c>
      <c r="Y315" s="28">
        <v>0</v>
      </c>
      <c r="Z315" s="28">
        <v>0</v>
      </c>
      <c r="AA315" s="25">
        <v>23</v>
      </c>
      <c r="AB315" s="25">
        <v>155</v>
      </c>
      <c r="AC315" s="25">
        <v>0</v>
      </c>
      <c r="AD315" s="28">
        <v>0</v>
      </c>
      <c r="AE315" s="28">
        <v>0</v>
      </c>
      <c r="AF315" s="28">
        <v>0</v>
      </c>
      <c r="AG315" s="28">
        <v>0</v>
      </c>
      <c r="AH315" s="24">
        <v>0</v>
      </c>
      <c r="AI315" s="28">
        <v>60</v>
      </c>
      <c r="AJ315" s="13" t="str">
        <f xml:space="preserve"> IF(AD315&gt;F315,"Exceso en grasa saturada",IFERROR(IF(F315=0,"No tiene sello",IF((AD315*9)*100/F315&gt;10,"Exceso en grasa saturada","No tiene sello")),"No tiene sello"))</f>
        <v>No tiene sello</v>
      </c>
      <c r="AK315" s="13">
        <f>IF(AJ315="No tiene sello",0,1)</f>
        <v>0</v>
      </c>
      <c r="AL315" s="13" t="str">
        <f>IF(Q315&gt;=300,"Exceso en sodio",IFERROR(IF(AND(F315=0,Q315&gt;0),"No tiene sello",IF(Q315/F315&gt;1,"Exceso en sodio","No tiene sello")),"No tiene sello"))</f>
        <v>No tiene sello</v>
      </c>
      <c r="AM315" s="13" t="str">
        <f>IFERROR(IF(F315=0,"No tiene sello",IF(+(AG315/1000)*9*100/F315&gt;1,"Exceso en grasa trans", "No tiene sello")),"No tiene sello")</f>
        <v>No tiene sello</v>
      </c>
    </row>
    <row r="316" spans="1:39" ht="13.5" customHeight="1" x14ac:dyDescent="0.25">
      <c r="A316" s="20" t="s">
        <v>1032</v>
      </c>
      <c r="B316" s="20" t="s">
        <v>1033</v>
      </c>
      <c r="C316" s="20" t="s">
        <v>154</v>
      </c>
      <c r="D316" s="46">
        <v>100</v>
      </c>
      <c r="E316" s="23">
        <v>86.7</v>
      </c>
      <c r="F316" s="24">
        <v>55</v>
      </c>
      <c r="G316" s="23">
        <v>232</v>
      </c>
      <c r="H316" s="24">
        <v>2</v>
      </c>
      <c r="I316" s="24">
        <v>0.2</v>
      </c>
      <c r="J316" s="24">
        <v>10.199999999999999</v>
      </c>
      <c r="K316" s="23">
        <v>8.1999999999999993</v>
      </c>
      <c r="L316" s="23">
        <v>1.02</v>
      </c>
      <c r="M316" s="24">
        <v>2</v>
      </c>
      <c r="N316" s="23">
        <v>0.8</v>
      </c>
      <c r="O316" s="25">
        <v>10</v>
      </c>
      <c r="P316" s="25">
        <v>0.9</v>
      </c>
      <c r="Q316" s="23">
        <v>0</v>
      </c>
      <c r="R316" s="25">
        <v>41</v>
      </c>
      <c r="S316" s="23">
        <v>0.1</v>
      </c>
      <c r="T316" s="23">
        <v>16</v>
      </c>
      <c r="U316" s="23">
        <v>280</v>
      </c>
      <c r="V316" s="23">
        <v>0.05</v>
      </c>
      <c r="W316" s="23">
        <v>0.03</v>
      </c>
      <c r="X316" s="23">
        <v>1.1000000000000001</v>
      </c>
      <c r="Y316" s="23">
        <v>0</v>
      </c>
      <c r="Z316" s="23">
        <v>0</v>
      </c>
      <c r="AA316" s="25">
        <v>29</v>
      </c>
      <c r="AB316" s="25">
        <v>112</v>
      </c>
      <c r="AC316" s="25">
        <v>0</v>
      </c>
      <c r="AD316" s="23">
        <v>0</v>
      </c>
      <c r="AE316" s="23">
        <v>0</v>
      </c>
      <c r="AF316" s="23">
        <v>0</v>
      </c>
      <c r="AG316" s="23">
        <v>0</v>
      </c>
      <c r="AH316" s="24">
        <v>0</v>
      </c>
      <c r="AI316" s="23">
        <v>86</v>
      </c>
      <c r="AJ316" s="13" t="str">
        <f xml:space="preserve"> IF(AD316&gt;F316,"Exceso en grasa saturada",IFERROR(IF(F316=0,"No tiene sello",IF((AD316*9)*100/F316&gt;10,"Exceso en grasa saturada","No tiene sello")),"No tiene sello"))</f>
        <v>No tiene sello</v>
      </c>
      <c r="AK316" s="13">
        <f>IF(AJ316="No tiene sello",0,1)</f>
        <v>0</v>
      </c>
      <c r="AL316" s="13" t="str">
        <f>IF(Q316&gt;=300,"Exceso en sodio",IFERROR(IF(AND(F316=0,Q316&gt;0),"No tiene sello",IF(Q316/F316&gt;1,"Exceso en sodio","No tiene sello")),"No tiene sello"))</f>
        <v>No tiene sello</v>
      </c>
      <c r="AM316" s="13" t="str">
        <f>IFERROR(IF(F316=0,"No tiene sello",IF(+(AG316/1000)*9*100/F316&gt;1,"Exceso en grasa trans", "No tiene sello")),"No tiene sello")</f>
        <v>No tiene sello</v>
      </c>
    </row>
    <row r="317" spans="1:39" ht="13.5" customHeight="1" x14ac:dyDescent="0.25">
      <c r="A317" s="26" t="s">
        <v>1030</v>
      </c>
      <c r="B317" s="26" t="s">
        <v>1031</v>
      </c>
      <c r="C317" s="26" t="s">
        <v>154</v>
      </c>
      <c r="D317" s="47">
        <v>100</v>
      </c>
      <c r="E317" s="28">
        <v>87.3</v>
      </c>
      <c r="F317" s="24">
        <v>53</v>
      </c>
      <c r="G317" s="28">
        <v>222</v>
      </c>
      <c r="H317" s="24">
        <v>0.7</v>
      </c>
      <c r="I317" s="24">
        <v>0.1</v>
      </c>
      <c r="J317" s="24">
        <v>11.4</v>
      </c>
      <c r="K317" s="28">
        <v>9.8000000000000007</v>
      </c>
      <c r="L317" s="28">
        <v>1.1399999999999999</v>
      </c>
      <c r="M317" s="24">
        <v>1.6</v>
      </c>
      <c r="N317" s="28">
        <v>0.5</v>
      </c>
      <c r="O317" s="25">
        <v>27</v>
      </c>
      <c r="P317" s="25">
        <v>0.5</v>
      </c>
      <c r="Q317" s="28">
        <v>0</v>
      </c>
      <c r="R317" s="25">
        <v>32</v>
      </c>
      <c r="S317" s="28">
        <v>0.1</v>
      </c>
      <c r="T317" s="28">
        <v>9</v>
      </c>
      <c r="U317" s="28">
        <v>135</v>
      </c>
      <c r="V317" s="28">
        <v>0.06</v>
      </c>
      <c r="W317" s="28">
        <v>0.02</v>
      </c>
      <c r="X317" s="28">
        <v>0.2</v>
      </c>
      <c r="Y317" s="28">
        <v>13</v>
      </c>
      <c r="Z317" s="28">
        <v>0</v>
      </c>
      <c r="AA317" s="25">
        <v>40</v>
      </c>
      <c r="AB317" s="25">
        <v>55</v>
      </c>
      <c r="AC317" s="25">
        <v>0</v>
      </c>
      <c r="AD317" s="28">
        <v>0</v>
      </c>
      <c r="AE317" s="28">
        <v>0</v>
      </c>
      <c r="AF317" s="28">
        <v>0</v>
      </c>
      <c r="AG317" s="28">
        <v>0</v>
      </c>
      <c r="AH317" s="24">
        <v>0</v>
      </c>
      <c r="AI317" s="28">
        <v>60</v>
      </c>
      <c r="AJ317" s="13" t="str">
        <f xml:space="preserve"> IF(AD317&gt;F317,"Exceso en grasa saturada",IFERROR(IF(F317=0,"No tiene sello",IF((AD317*9)*100/F317&gt;10,"Exceso en grasa saturada","No tiene sello")),"No tiene sello"))</f>
        <v>No tiene sello</v>
      </c>
      <c r="AK317" s="13">
        <f>IF(AJ317="No tiene sello",0,1)</f>
        <v>0</v>
      </c>
      <c r="AL317" s="13" t="str">
        <f>IF(Q317&gt;=300,"Exceso en sodio",IFERROR(IF(AND(F317=0,Q317&gt;0),"No tiene sello",IF(Q317/F317&gt;1,"Exceso en sodio","No tiene sello")),"No tiene sello"))</f>
        <v>No tiene sello</v>
      </c>
      <c r="AM317" s="13" t="str">
        <f>IFERROR(IF(F317=0,"No tiene sello",IF(+(AG317/1000)*9*100/F317&gt;1,"Exceso en grasa trans", "No tiene sello")),"No tiene sello")</f>
        <v>No tiene sello</v>
      </c>
    </row>
    <row r="318" spans="1:39" ht="13.5" customHeight="1" x14ac:dyDescent="0.25">
      <c r="A318" s="29" t="s">
        <v>1028</v>
      </c>
      <c r="B318" s="29" t="s">
        <v>1029</v>
      </c>
      <c r="C318" s="29" t="s">
        <v>154</v>
      </c>
      <c r="D318" s="46">
        <v>100</v>
      </c>
      <c r="E318" s="31">
        <v>82.1</v>
      </c>
      <c r="F318" s="24">
        <v>77</v>
      </c>
      <c r="G318" s="31">
        <v>326</v>
      </c>
      <c r="H318" s="24">
        <v>1.5</v>
      </c>
      <c r="I318" s="24">
        <v>0.5</v>
      </c>
      <c r="J318" s="24">
        <v>14.2</v>
      </c>
      <c r="K318" s="31">
        <v>9.1</v>
      </c>
      <c r="L318" s="31">
        <v>9.94</v>
      </c>
      <c r="M318" s="24">
        <v>5.0999999999999996</v>
      </c>
      <c r="N318" s="31">
        <v>1.7</v>
      </c>
      <c r="O318" s="25">
        <v>7</v>
      </c>
      <c r="P318" s="25">
        <v>1</v>
      </c>
      <c r="Q318" s="31">
        <v>0</v>
      </c>
      <c r="R318" s="25">
        <v>23</v>
      </c>
      <c r="S318" s="31">
        <v>0</v>
      </c>
      <c r="T318" s="31">
        <v>17</v>
      </c>
      <c r="U318" s="31">
        <v>134</v>
      </c>
      <c r="V318" s="31">
        <v>0.01</v>
      </c>
      <c r="W318" s="31">
        <v>0.17</v>
      </c>
      <c r="X318" s="31">
        <v>0.8</v>
      </c>
      <c r="Y318" s="31">
        <v>6</v>
      </c>
      <c r="Z318" s="31">
        <v>0</v>
      </c>
      <c r="AA318" s="25">
        <v>34</v>
      </c>
      <c r="AB318" s="25">
        <v>202</v>
      </c>
      <c r="AC318" s="25">
        <v>0</v>
      </c>
      <c r="AD318" s="31">
        <v>0</v>
      </c>
      <c r="AE318" s="31">
        <v>0</v>
      </c>
      <c r="AF318" s="31">
        <v>0</v>
      </c>
      <c r="AG318" s="31">
        <v>0</v>
      </c>
      <c r="AH318" s="24">
        <v>0</v>
      </c>
      <c r="AI318" s="31">
        <v>94</v>
      </c>
      <c r="AJ318" s="13" t="str">
        <f xml:space="preserve"> IF(AD318&gt;F318,"Exceso en grasa saturada",IFERROR(IF(F318=0,"No tiene sello",IF((AD318*9)*100/F318&gt;10,"Exceso en grasa saturada","No tiene sello")),"No tiene sello"))</f>
        <v>No tiene sello</v>
      </c>
      <c r="AK318" s="13">
        <f>IF(AJ318="No tiene sello",0,1)</f>
        <v>0</v>
      </c>
      <c r="AL318" s="13" t="str">
        <f>IF(Q318&gt;=300,"Exceso en sodio",IFERROR(IF(AND(F318=0,Q318&gt;0),"No tiene sello",IF(Q318/F318&gt;1,"Exceso en sodio","No tiene sello")),"No tiene sello"))</f>
        <v>No tiene sello</v>
      </c>
      <c r="AM318" s="13" t="str">
        <f>IFERROR(IF(F318=0,"No tiene sello",IF(+(AG318/1000)*9*100/F318&gt;1,"Exceso en grasa trans", "No tiene sello")),"No tiene sello")</f>
        <v>No tiene sello</v>
      </c>
    </row>
    <row r="319" spans="1:39" ht="13.5" customHeight="1" x14ac:dyDescent="0.25">
      <c r="A319" s="33" t="s">
        <v>1026</v>
      </c>
      <c r="B319" s="33" t="s">
        <v>1027</v>
      </c>
      <c r="C319" s="33" t="s">
        <v>154</v>
      </c>
      <c r="D319" s="47">
        <v>100</v>
      </c>
      <c r="E319" s="35">
        <v>90.5</v>
      </c>
      <c r="F319" s="24">
        <v>38</v>
      </c>
      <c r="G319" s="35">
        <v>162</v>
      </c>
      <c r="H319" s="24">
        <v>0.5</v>
      </c>
      <c r="I319" s="24">
        <v>0</v>
      </c>
      <c r="J319" s="24">
        <v>8.6</v>
      </c>
      <c r="K319" s="35">
        <v>7.7</v>
      </c>
      <c r="L319" s="35">
        <v>6.02</v>
      </c>
      <c r="M319" s="24">
        <v>0.9</v>
      </c>
      <c r="N319" s="35">
        <v>0.4</v>
      </c>
      <c r="O319" s="25">
        <v>6</v>
      </c>
      <c r="P319" s="25">
        <v>0.4</v>
      </c>
      <c r="Q319" s="35">
        <v>2</v>
      </c>
      <c r="R319" s="25">
        <v>20</v>
      </c>
      <c r="S319" s="35">
        <v>0.1</v>
      </c>
      <c r="T319" s="35">
        <v>20</v>
      </c>
      <c r="U319" s="35">
        <v>128</v>
      </c>
      <c r="V319" s="35">
        <v>0.03</v>
      </c>
      <c r="W319" s="35">
        <v>0.01</v>
      </c>
      <c r="X319" s="35">
        <v>0.1</v>
      </c>
      <c r="Y319" s="35">
        <v>9</v>
      </c>
      <c r="Z319" s="35">
        <v>0</v>
      </c>
      <c r="AA319" s="25">
        <v>5</v>
      </c>
      <c r="AB319" s="25">
        <v>7</v>
      </c>
      <c r="AC319" s="25">
        <v>0</v>
      </c>
      <c r="AD319" s="35">
        <v>0</v>
      </c>
      <c r="AE319" s="35">
        <v>0</v>
      </c>
      <c r="AF319" s="35">
        <v>0</v>
      </c>
      <c r="AG319" s="35">
        <v>0</v>
      </c>
      <c r="AH319" s="24">
        <v>0</v>
      </c>
      <c r="AI319" s="35">
        <v>90</v>
      </c>
      <c r="AJ319" s="13" t="str">
        <f xml:space="preserve"> IF(AD319&gt;F319,"Exceso en grasa saturada",IFERROR(IF(F319=0,"No tiene sello",IF((AD319*9)*100/F319&gt;10,"Exceso en grasa saturada","No tiene sello")),"No tiene sello"))</f>
        <v>No tiene sello</v>
      </c>
      <c r="AK319" s="13">
        <f>IF(AJ319="No tiene sello",0,1)</f>
        <v>0</v>
      </c>
      <c r="AL319" s="13" t="str">
        <f>IF(Q319&gt;=300,"Exceso en sodio",IFERROR(IF(AND(F319=0,Q319&gt;0),"No tiene sello",IF(Q319/F319&gt;1,"Exceso en sodio","No tiene sello")),"No tiene sello"))</f>
        <v>No tiene sello</v>
      </c>
      <c r="AM319" s="13" t="str">
        <f>IFERROR(IF(F319=0,"No tiene sello",IF(+(AG319/1000)*9*100/F319&gt;1,"Exceso en grasa trans", "No tiene sello")),"No tiene sello")</f>
        <v>No tiene sello</v>
      </c>
    </row>
    <row r="320" spans="1:39" ht="13.5" customHeight="1" x14ac:dyDescent="0.25">
      <c r="A320" s="20" t="s">
        <v>1024</v>
      </c>
      <c r="B320" s="20" t="s">
        <v>1025</v>
      </c>
      <c r="C320" s="20" t="s">
        <v>154</v>
      </c>
      <c r="D320" s="46">
        <v>100</v>
      </c>
      <c r="E320" s="23">
        <v>87.2</v>
      </c>
      <c r="F320" s="24">
        <v>51</v>
      </c>
      <c r="G320" s="23">
        <v>216</v>
      </c>
      <c r="H320" s="24">
        <v>0.4</v>
      </c>
      <c r="I320" s="24">
        <v>0</v>
      </c>
      <c r="J320" s="24">
        <v>12.1</v>
      </c>
      <c r="K320" s="23">
        <v>11.7</v>
      </c>
      <c r="L320" s="23">
        <v>8.4700000000000006</v>
      </c>
      <c r="M320" s="24">
        <v>0.4</v>
      </c>
      <c r="N320" s="23">
        <v>0.3</v>
      </c>
      <c r="O320" s="25">
        <v>8</v>
      </c>
      <c r="P320" s="25">
        <v>0.4</v>
      </c>
      <c r="Q320" s="23">
        <v>9</v>
      </c>
      <c r="R320" s="25">
        <v>10</v>
      </c>
      <c r="S320" s="23">
        <v>0.1</v>
      </c>
      <c r="T320" s="23">
        <v>4</v>
      </c>
      <c r="U320" s="23">
        <v>320</v>
      </c>
      <c r="V320" s="23">
        <v>0.03</v>
      </c>
      <c r="W320" s="23">
        <v>0.01</v>
      </c>
      <c r="X320" s="23">
        <v>0.1</v>
      </c>
      <c r="Y320" s="23">
        <v>27</v>
      </c>
      <c r="Z320" s="23">
        <v>0</v>
      </c>
      <c r="AA320" s="25">
        <v>14</v>
      </c>
      <c r="AB320" s="25">
        <v>7</v>
      </c>
      <c r="AC320" s="25">
        <v>0</v>
      </c>
      <c r="AD320" s="23">
        <v>0</v>
      </c>
      <c r="AE320" s="23">
        <v>0</v>
      </c>
      <c r="AF320" s="23">
        <v>0</v>
      </c>
      <c r="AG320" s="23">
        <v>0</v>
      </c>
      <c r="AH320" s="24">
        <v>0</v>
      </c>
      <c r="AI320" s="23">
        <v>90</v>
      </c>
      <c r="AJ320" s="13" t="str">
        <f xml:space="preserve"> IF(AD320&gt;F320,"Exceso en grasa saturada",IFERROR(IF(F320=0,"No tiene sello",IF((AD320*9)*100/F320&gt;10,"Exceso en grasa saturada","No tiene sello")),"No tiene sello"))</f>
        <v>No tiene sello</v>
      </c>
      <c r="AK320" s="13">
        <f>IF(AJ320="No tiene sello",0,1)</f>
        <v>0</v>
      </c>
      <c r="AL320" s="13" t="str">
        <f>IF(Q320&gt;=300,"Exceso en sodio",IFERROR(IF(AND(F320=0,Q320&gt;0),"No tiene sello",IF(Q320/F320&gt;1,"Exceso en sodio","No tiene sello")),"No tiene sello"))</f>
        <v>No tiene sello</v>
      </c>
      <c r="AM320" s="13" t="str">
        <f>IFERROR(IF(F320=0,"No tiene sello",IF(+(AG320/1000)*9*100/F320&gt;1,"Exceso en grasa trans", "No tiene sello")),"No tiene sello")</f>
        <v>No tiene sello</v>
      </c>
    </row>
    <row r="321" spans="1:39" ht="13.5" customHeight="1" x14ac:dyDescent="0.25">
      <c r="A321" s="33" t="s">
        <v>1022</v>
      </c>
      <c r="B321" s="33" t="s">
        <v>1023</v>
      </c>
      <c r="C321" s="33" t="s">
        <v>154</v>
      </c>
      <c r="D321" s="47">
        <v>100</v>
      </c>
      <c r="E321" s="35">
        <v>20.2</v>
      </c>
      <c r="F321" s="24">
        <v>327</v>
      </c>
      <c r="G321" s="35">
        <v>1385</v>
      </c>
      <c r="H321" s="24">
        <v>2.5</v>
      </c>
      <c r="I321" s="24">
        <v>0.3</v>
      </c>
      <c r="J321" s="24">
        <v>75.2</v>
      </c>
      <c r="K321" s="35">
        <v>68.5</v>
      </c>
      <c r="L321" s="35">
        <v>52.64</v>
      </c>
      <c r="M321" s="24">
        <v>6.7</v>
      </c>
      <c r="N321" s="35">
        <v>1.8</v>
      </c>
      <c r="O321" s="25">
        <v>38</v>
      </c>
      <c r="P321" s="25">
        <v>2.4</v>
      </c>
      <c r="Q321" s="35">
        <v>25</v>
      </c>
      <c r="R321" s="25">
        <v>75</v>
      </c>
      <c r="S321" s="35">
        <v>0.3</v>
      </c>
      <c r="T321" s="35">
        <v>32</v>
      </c>
      <c r="U321" s="35">
        <v>792</v>
      </c>
      <c r="V321" s="35">
        <v>0.12</v>
      </c>
      <c r="W321" s="35">
        <v>0.11</v>
      </c>
      <c r="X321" s="35">
        <v>0.8</v>
      </c>
      <c r="Y321" s="35">
        <v>7</v>
      </c>
      <c r="Z321" s="35">
        <v>0</v>
      </c>
      <c r="AA321" s="25">
        <v>2</v>
      </c>
      <c r="AB321" s="25">
        <v>3</v>
      </c>
      <c r="AC321" s="25">
        <v>0</v>
      </c>
      <c r="AD321" s="35">
        <v>0</v>
      </c>
      <c r="AE321" s="35">
        <v>0</v>
      </c>
      <c r="AF321" s="35">
        <v>0</v>
      </c>
      <c r="AG321" s="35">
        <v>0</v>
      </c>
      <c r="AH321" s="24">
        <v>0</v>
      </c>
      <c r="AI321" s="35">
        <v>100</v>
      </c>
      <c r="AJ321" s="13" t="str">
        <f xml:space="preserve"> IF(AD321&gt;F321,"Exceso en grasa saturada",IFERROR(IF(F321=0,"No tiene sello",IF((AD321*9)*100/F321&gt;10,"Exceso en grasa saturada","No tiene sello")),"No tiene sello"))</f>
        <v>No tiene sello</v>
      </c>
      <c r="AK321" s="13">
        <f>IF(AJ321="No tiene sello",0,1)</f>
        <v>0</v>
      </c>
      <c r="AL321" s="13" t="str">
        <f>IF(Q321&gt;=300,"Exceso en sodio",IFERROR(IF(AND(F321=0,Q321&gt;0),"No tiene sello",IF(Q321/F321&gt;1,"Exceso en sodio","No tiene sello")),"No tiene sello"))</f>
        <v>No tiene sello</v>
      </c>
      <c r="AM321" s="13" t="str">
        <f>IFERROR(IF(F321=0,"No tiene sello",IF(+(AG321/1000)*9*100/F321&gt;1,"Exceso en grasa trans", "No tiene sello")),"No tiene sello")</f>
        <v>No tiene sello</v>
      </c>
    </row>
    <row r="322" spans="1:39" ht="13.5" customHeight="1" x14ac:dyDescent="0.25">
      <c r="A322" s="20" t="s">
        <v>1020</v>
      </c>
      <c r="B322" s="20" t="s">
        <v>1021</v>
      </c>
      <c r="C322" s="20" t="s">
        <v>154</v>
      </c>
      <c r="D322" s="46">
        <v>100</v>
      </c>
      <c r="E322" s="23">
        <v>76.900000000000006</v>
      </c>
      <c r="F322" s="24">
        <v>102</v>
      </c>
      <c r="G322" s="23">
        <v>430</v>
      </c>
      <c r="H322" s="24">
        <v>1.2</v>
      </c>
      <c r="I322" s="24">
        <v>2.6</v>
      </c>
      <c r="J322" s="24">
        <v>18.5</v>
      </c>
      <c r="K322" s="23">
        <v>0</v>
      </c>
      <c r="L322" s="23">
        <v>1.85</v>
      </c>
      <c r="M322" s="24">
        <v>0</v>
      </c>
      <c r="N322" s="23">
        <v>0.8</v>
      </c>
      <c r="O322" s="25">
        <v>0</v>
      </c>
      <c r="P322" s="25">
        <v>0.3</v>
      </c>
      <c r="Q322" s="23">
        <v>0</v>
      </c>
      <c r="R322" s="25">
        <v>0</v>
      </c>
      <c r="S322" s="23">
        <v>0</v>
      </c>
      <c r="T322" s="23">
        <v>0</v>
      </c>
      <c r="U322" s="23">
        <v>45</v>
      </c>
      <c r="V322" s="23">
        <v>0</v>
      </c>
      <c r="W322" s="23">
        <v>0</v>
      </c>
      <c r="X322" s="23">
        <v>0</v>
      </c>
      <c r="Y322" s="23">
        <v>0</v>
      </c>
      <c r="Z322" s="23">
        <v>0</v>
      </c>
      <c r="AA322" s="25">
        <v>27</v>
      </c>
      <c r="AB322" s="25">
        <v>0</v>
      </c>
      <c r="AC322" s="25">
        <v>0</v>
      </c>
      <c r="AD322" s="23">
        <v>0</v>
      </c>
      <c r="AE322" s="23">
        <v>0</v>
      </c>
      <c r="AF322" s="23">
        <v>0</v>
      </c>
      <c r="AG322" s="23">
        <v>0</v>
      </c>
      <c r="AH322" s="24">
        <v>0</v>
      </c>
      <c r="AI322" s="23">
        <v>82</v>
      </c>
      <c r="AJ322" s="13" t="str">
        <f xml:space="preserve"> IF(AD322&gt;F322,"Exceso en grasa saturada",IFERROR(IF(F322=0,"No tiene sello",IF((AD322*9)*100/F322&gt;10,"Exceso en grasa saturada","No tiene sello")),"No tiene sello"))</f>
        <v>No tiene sello</v>
      </c>
      <c r="AK322" s="13">
        <f>IF(AJ322="No tiene sello",0,1)</f>
        <v>0</v>
      </c>
      <c r="AL322" s="13" t="str">
        <f>IF(Q322&gt;=300,"Exceso en sodio",IFERROR(IF(AND(F322=0,Q322&gt;0),"No tiene sello",IF(Q322/F322&gt;1,"Exceso en sodio","No tiene sello")),"No tiene sello"))</f>
        <v>No tiene sello</v>
      </c>
      <c r="AM322" s="13" t="str">
        <f>IFERROR(IF(F322=0,"No tiene sello",IF(+(AG322/1000)*9*100/F322&gt;1,"Exceso en grasa trans", "No tiene sello")),"No tiene sello")</f>
        <v>No tiene sello</v>
      </c>
    </row>
    <row r="323" spans="1:39" ht="13.5" customHeight="1" x14ac:dyDescent="0.25">
      <c r="A323" s="26" t="s">
        <v>1018</v>
      </c>
      <c r="B323" s="26" t="s">
        <v>1019</v>
      </c>
      <c r="C323" s="26" t="s">
        <v>154</v>
      </c>
      <c r="D323" s="47">
        <v>100</v>
      </c>
      <c r="E323" s="28">
        <v>86.6</v>
      </c>
      <c r="F323" s="24">
        <v>59</v>
      </c>
      <c r="G323" s="28">
        <v>248</v>
      </c>
      <c r="H323" s="24">
        <v>1.1000000000000001</v>
      </c>
      <c r="I323" s="24">
        <v>0</v>
      </c>
      <c r="J323" s="24">
        <v>11.7</v>
      </c>
      <c r="K323" s="28">
        <v>8.1999999999999993</v>
      </c>
      <c r="L323" s="28">
        <v>1.17</v>
      </c>
      <c r="M323" s="24">
        <v>3.5</v>
      </c>
      <c r="N323" s="28">
        <v>0.6</v>
      </c>
      <c r="O323" s="25">
        <v>38</v>
      </c>
      <c r="P323" s="25">
        <v>1.4</v>
      </c>
      <c r="Q323" s="28">
        <v>11</v>
      </c>
      <c r="R323" s="25">
        <v>18</v>
      </c>
      <c r="S323" s="28">
        <v>0.1</v>
      </c>
      <c r="T323" s="28">
        <v>12</v>
      </c>
      <c r="U323" s="28">
        <v>192</v>
      </c>
      <c r="V323" s="28">
        <v>0.05</v>
      </c>
      <c r="W323" s="28">
        <v>0.09</v>
      </c>
      <c r="X323" s="28">
        <v>0.4</v>
      </c>
      <c r="Y323" s="28">
        <v>14</v>
      </c>
      <c r="Z323" s="28">
        <v>0</v>
      </c>
      <c r="AA323" s="25">
        <v>20</v>
      </c>
      <c r="AB323" s="25">
        <v>141</v>
      </c>
      <c r="AC323" s="25">
        <v>0</v>
      </c>
      <c r="AD323" s="28">
        <v>0</v>
      </c>
      <c r="AE323" s="28">
        <v>0</v>
      </c>
      <c r="AF323" s="28">
        <v>0</v>
      </c>
      <c r="AG323" s="28">
        <v>0</v>
      </c>
      <c r="AH323" s="24">
        <v>0</v>
      </c>
      <c r="AI323" s="28">
        <v>30</v>
      </c>
      <c r="AJ323" s="13" t="str">
        <f xml:space="preserve"> IF(AD323&gt;F323,"Exceso en grasa saturada",IFERROR(IF(F323=0,"No tiene sello",IF((AD323*9)*100/F323&gt;10,"Exceso en grasa saturada","No tiene sello")),"No tiene sello"))</f>
        <v>No tiene sello</v>
      </c>
      <c r="AK323" s="13">
        <f>IF(AJ323="No tiene sello",0,1)</f>
        <v>0</v>
      </c>
      <c r="AL323" s="13" t="str">
        <f>IF(Q323&gt;=300,"Exceso en sodio",IFERROR(IF(AND(F323=0,Q323&gt;0),"No tiene sello",IF(Q323/F323&gt;1,"Exceso en sodio","No tiene sello")),"No tiene sello"))</f>
        <v>No tiene sello</v>
      </c>
      <c r="AM323" s="13" t="str">
        <f>IFERROR(IF(F323=0,"No tiene sello",IF(+(AG323/1000)*9*100/F323&gt;1,"Exceso en grasa trans", "No tiene sello")),"No tiene sello")</f>
        <v>No tiene sello</v>
      </c>
    </row>
    <row r="324" spans="1:39" ht="13.5" customHeight="1" x14ac:dyDescent="0.25">
      <c r="A324" s="20" t="s">
        <v>1016</v>
      </c>
      <c r="B324" s="20" t="s">
        <v>1017</v>
      </c>
      <c r="C324" s="21"/>
      <c r="D324" s="46">
        <v>100</v>
      </c>
      <c r="E324" s="23">
        <v>0</v>
      </c>
      <c r="F324" s="24">
        <v>900</v>
      </c>
      <c r="G324" s="23">
        <v>3700</v>
      </c>
      <c r="H324" s="24">
        <v>0</v>
      </c>
      <c r="I324" s="24">
        <v>100</v>
      </c>
      <c r="J324" s="24">
        <v>0</v>
      </c>
      <c r="K324" s="23">
        <v>0</v>
      </c>
      <c r="L324" s="23">
        <v>0</v>
      </c>
      <c r="M324" s="24">
        <v>0</v>
      </c>
      <c r="N324" s="23">
        <v>0</v>
      </c>
      <c r="O324" s="25">
        <v>0</v>
      </c>
      <c r="P324" s="25">
        <v>0</v>
      </c>
      <c r="Q324" s="23">
        <v>0</v>
      </c>
      <c r="R324" s="25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0</v>
      </c>
      <c r="X324" s="23">
        <v>0</v>
      </c>
      <c r="Y324" s="23">
        <v>0</v>
      </c>
      <c r="Z324" s="23">
        <v>0</v>
      </c>
      <c r="AA324" s="25">
        <v>0</v>
      </c>
      <c r="AB324" s="25">
        <v>0</v>
      </c>
      <c r="AC324" s="25">
        <v>0</v>
      </c>
      <c r="AD324" s="23">
        <v>14.3</v>
      </c>
      <c r="AE324" s="23">
        <v>39.299999999999997</v>
      </c>
      <c r="AF324" s="23">
        <v>42</v>
      </c>
      <c r="AG324" s="23">
        <v>0</v>
      </c>
      <c r="AH324" s="24">
        <v>0</v>
      </c>
      <c r="AI324" s="23">
        <v>100</v>
      </c>
      <c r="AJ324" s="13" t="str">
        <f xml:space="preserve"> IF(AD324&gt;F324,"Exceso en grasa saturada",IFERROR(IF(F324=0,"No tiene sello",IF((AD324*9)*100/F324&gt;10,"Exceso en grasa saturada","No tiene sello")),"No tiene sello"))</f>
        <v>Exceso en grasa saturada</v>
      </c>
      <c r="AK324" s="13">
        <f>IF(AJ324="No tiene sello",0,1)</f>
        <v>1</v>
      </c>
      <c r="AL324" s="13" t="str">
        <f>IF(Q324&gt;=300,"Exceso en sodio",IFERROR(IF(AND(F324=0,Q324&gt;0),"No tiene sello",IF(Q324/F324&gt;1,"Exceso en sodio","No tiene sello")),"No tiene sello"))</f>
        <v>No tiene sello</v>
      </c>
      <c r="AM324" s="13" t="str">
        <f>IFERROR(IF(F324=0,"No tiene sello",IF(+(AG324/1000)*9*100/F324&gt;1,"Exceso en grasa trans", "No tiene sello")),"No tiene sello")</f>
        <v>No tiene sello</v>
      </c>
    </row>
    <row r="325" spans="1:39" ht="13.5" customHeight="1" x14ac:dyDescent="0.25">
      <c r="A325" s="26" t="s">
        <v>1014</v>
      </c>
      <c r="B325" s="26" t="s">
        <v>1015</v>
      </c>
      <c r="C325" s="27"/>
      <c r="D325" s="47">
        <v>100</v>
      </c>
      <c r="E325" s="28">
        <v>0</v>
      </c>
      <c r="F325" s="24">
        <v>900</v>
      </c>
      <c r="G325" s="28">
        <v>3700</v>
      </c>
      <c r="H325" s="24">
        <v>0</v>
      </c>
      <c r="I325" s="24">
        <v>100</v>
      </c>
      <c r="J325" s="24">
        <v>0</v>
      </c>
      <c r="K325" s="28">
        <v>0</v>
      </c>
      <c r="L325" s="28">
        <v>0</v>
      </c>
      <c r="M325" s="24">
        <v>0</v>
      </c>
      <c r="N325" s="28">
        <v>0</v>
      </c>
      <c r="O325" s="25">
        <v>0</v>
      </c>
      <c r="P325" s="25">
        <v>0</v>
      </c>
      <c r="Q325" s="28">
        <v>0</v>
      </c>
      <c r="R325" s="25">
        <v>0</v>
      </c>
      <c r="S325" s="28">
        <v>0</v>
      </c>
      <c r="T325" s="28">
        <v>0</v>
      </c>
      <c r="U325" s="28">
        <v>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5">
        <v>0</v>
      </c>
      <c r="AB325" s="25">
        <v>0</v>
      </c>
      <c r="AC325" s="25">
        <v>0</v>
      </c>
      <c r="AD325" s="28">
        <v>25.9</v>
      </c>
      <c r="AE325" s="28">
        <v>17.899999999999999</v>
      </c>
      <c r="AF325" s="28">
        <v>51.5</v>
      </c>
      <c r="AG325" s="28">
        <v>0</v>
      </c>
      <c r="AH325" s="24">
        <v>0</v>
      </c>
      <c r="AI325" s="28">
        <v>100</v>
      </c>
      <c r="AJ325" s="13" t="str">
        <f xml:space="preserve"> IF(AD325&gt;F325,"Exceso en grasa saturada",IFERROR(IF(F325=0,"No tiene sello",IF((AD325*9)*100/F325&gt;10,"Exceso en grasa saturada","No tiene sello")),"No tiene sello"))</f>
        <v>Exceso en grasa saturada</v>
      </c>
      <c r="AK325" s="13">
        <f>IF(AJ325="No tiene sello",0,1)</f>
        <v>1</v>
      </c>
      <c r="AL325" s="13" t="str">
        <f>IF(Q325&gt;=300,"Exceso en sodio",IFERROR(IF(AND(F325=0,Q325&gt;0),"No tiene sello",IF(Q325/F325&gt;1,"Exceso en sodio","No tiene sello")),"No tiene sello"))</f>
        <v>No tiene sello</v>
      </c>
      <c r="AM325" s="13" t="str">
        <f>IFERROR(IF(F325=0,"No tiene sello",IF(+(AG325/1000)*9*100/F325&gt;1,"Exceso en grasa trans", "No tiene sello")),"No tiene sello")</f>
        <v>No tiene sello</v>
      </c>
    </row>
    <row r="326" spans="1:39" ht="13.5" customHeight="1" x14ac:dyDescent="0.25">
      <c r="A326" s="20" t="s">
        <v>1012</v>
      </c>
      <c r="B326" s="20" t="s">
        <v>1013</v>
      </c>
      <c r="C326" s="21"/>
      <c r="D326" s="46">
        <v>100</v>
      </c>
      <c r="E326" s="23">
        <v>0</v>
      </c>
      <c r="F326" s="24">
        <v>900</v>
      </c>
      <c r="G326" s="23">
        <v>3699</v>
      </c>
      <c r="H326" s="24">
        <v>0</v>
      </c>
      <c r="I326" s="24">
        <v>100</v>
      </c>
      <c r="J326" s="24">
        <v>0</v>
      </c>
      <c r="K326" s="23">
        <v>0</v>
      </c>
      <c r="L326" s="23">
        <v>0</v>
      </c>
      <c r="M326" s="24">
        <v>0</v>
      </c>
      <c r="N326" s="23">
        <v>0</v>
      </c>
      <c r="O326" s="25">
        <v>0</v>
      </c>
      <c r="P326" s="25">
        <v>0</v>
      </c>
      <c r="Q326" s="23">
        <v>0</v>
      </c>
      <c r="R326" s="25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0</v>
      </c>
      <c r="X326" s="23">
        <v>0</v>
      </c>
      <c r="Y326" s="23">
        <v>0</v>
      </c>
      <c r="Z326" s="23">
        <v>0</v>
      </c>
      <c r="AA326" s="25">
        <v>0</v>
      </c>
      <c r="AB326" s="25">
        <v>0</v>
      </c>
      <c r="AC326" s="25">
        <v>0</v>
      </c>
      <c r="AD326" s="23">
        <v>6.9</v>
      </c>
      <c r="AE326" s="23">
        <v>61.5</v>
      </c>
      <c r="AF326" s="23">
        <v>29.3</v>
      </c>
      <c r="AG326" s="23">
        <v>0</v>
      </c>
      <c r="AH326" s="24">
        <v>0</v>
      </c>
      <c r="AI326" s="23">
        <v>100</v>
      </c>
      <c r="AJ326" s="13" t="str">
        <f xml:space="preserve"> IF(AD326&gt;F326,"Exceso en grasa saturada",IFERROR(IF(F326=0,"No tiene sello",IF((AD326*9)*100/F326&gt;10,"Exceso en grasa saturada","No tiene sello")),"No tiene sello"))</f>
        <v>No tiene sello</v>
      </c>
      <c r="AK326" s="13">
        <f>IF(AJ326="No tiene sello",0,1)</f>
        <v>0</v>
      </c>
      <c r="AL326" s="13" t="str">
        <f>IF(Q326&gt;=300,"Exceso en sodio",IFERROR(IF(AND(F326=0,Q326&gt;0),"No tiene sello",IF(Q326/F326&gt;1,"Exceso en sodio","No tiene sello")),"No tiene sello"))</f>
        <v>No tiene sello</v>
      </c>
      <c r="AM326" s="13" t="str">
        <f>IFERROR(IF(F326=0,"No tiene sello",IF(+(AG326/1000)*9*100/F326&gt;1,"Exceso en grasa trans", "No tiene sello")),"No tiene sello")</f>
        <v>No tiene sello</v>
      </c>
    </row>
    <row r="327" spans="1:39" ht="13.5" customHeight="1" x14ac:dyDescent="0.25">
      <c r="A327" s="33" t="s">
        <v>1010</v>
      </c>
      <c r="B327" s="33" t="s">
        <v>1011</v>
      </c>
      <c r="C327" s="34"/>
      <c r="D327" s="47">
        <v>100</v>
      </c>
      <c r="E327" s="35">
        <v>0</v>
      </c>
      <c r="F327" s="24">
        <v>900</v>
      </c>
      <c r="G327" s="35">
        <v>3700</v>
      </c>
      <c r="H327" s="24">
        <v>0</v>
      </c>
      <c r="I327" s="24">
        <v>100</v>
      </c>
      <c r="J327" s="24">
        <v>0</v>
      </c>
      <c r="K327" s="35">
        <v>0</v>
      </c>
      <c r="L327" s="35">
        <v>0</v>
      </c>
      <c r="M327" s="24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  <c r="U327" s="35">
        <v>0</v>
      </c>
      <c r="V327" s="35">
        <v>0</v>
      </c>
      <c r="W327" s="35">
        <v>0</v>
      </c>
      <c r="X327" s="35">
        <v>0</v>
      </c>
      <c r="Y327" s="35">
        <v>0</v>
      </c>
      <c r="Z327" s="35">
        <v>0</v>
      </c>
      <c r="AA327" s="35">
        <v>0</v>
      </c>
      <c r="AB327" s="35">
        <v>0</v>
      </c>
      <c r="AC327" s="35">
        <v>0</v>
      </c>
      <c r="AD327" s="35">
        <v>10.5</v>
      </c>
      <c r="AE327" s="35">
        <v>34.4</v>
      </c>
      <c r="AF327" s="35">
        <v>51.6</v>
      </c>
      <c r="AG327" s="35">
        <v>0</v>
      </c>
      <c r="AH327" s="35">
        <v>0</v>
      </c>
      <c r="AI327" s="35">
        <v>100</v>
      </c>
      <c r="AJ327" s="13" t="str">
        <f xml:space="preserve"> IF(AD327&gt;F327,"Exceso en grasa saturada",IFERROR(IF(F327=0,"No tiene sello",IF((AD327*9)*100/F327&gt;10,"Exceso en grasa saturada","No tiene sello")),"No tiene sello"))</f>
        <v>Exceso en grasa saturada</v>
      </c>
      <c r="AK327" s="13">
        <f>IF(AJ327="No tiene sello",0,1)</f>
        <v>1</v>
      </c>
      <c r="AL327" s="13" t="str">
        <f>IF(Q327&gt;=300,"Exceso en sodio",IFERROR(IF(AND(F327=0,Q327&gt;0),"No tiene sello",IF(Q327/F327&gt;1,"Exceso en sodio","No tiene sello")),"No tiene sello"))</f>
        <v>No tiene sello</v>
      </c>
      <c r="AM327" s="13" t="str">
        <f>IFERROR(IF(F327=0,"No tiene sello",IF(+(AG327/1000)*9*100/F327&gt;1,"Exceso en grasa trans", "No tiene sello")),"No tiene sello")</f>
        <v>No tiene sello</v>
      </c>
    </row>
    <row r="328" spans="1:39" ht="13.5" customHeight="1" x14ac:dyDescent="0.25">
      <c r="A328" s="20" t="s">
        <v>1008</v>
      </c>
      <c r="B328" s="20" t="s">
        <v>1009</v>
      </c>
      <c r="C328" s="21"/>
      <c r="D328" s="46">
        <v>100</v>
      </c>
      <c r="E328" s="23">
        <v>0</v>
      </c>
      <c r="F328" s="24">
        <v>900</v>
      </c>
      <c r="G328" s="23">
        <v>3700</v>
      </c>
      <c r="H328" s="24">
        <v>0</v>
      </c>
      <c r="I328" s="24">
        <v>100</v>
      </c>
      <c r="J328" s="24">
        <v>0</v>
      </c>
      <c r="K328" s="23">
        <v>0</v>
      </c>
      <c r="L328" s="23">
        <v>0</v>
      </c>
      <c r="M328" s="24">
        <v>0</v>
      </c>
      <c r="N328" s="23">
        <v>0</v>
      </c>
      <c r="O328" s="25">
        <v>1</v>
      </c>
      <c r="P328" s="25">
        <v>0</v>
      </c>
      <c r="Q328" s="23">
        <v>0</v>
      </c>
      <c r="R328" s="25">
        <v>1</v>
      </c>
      <c r="S328" s="23">
        <v>1</v>
      </c>
      <c r="T328" s="23">
        <v>0</v>
      </c>
      <c r="U328" s="23">
        <v>0</v>
      </c>
      <c r="V328" s="23">
        <v>0</v>
      </c>
      <c r="W328" s="23">
        <v>0</v>
      </c>
      <c r="X328" s="23">
        <v>0</v>
      </c>
      <c r="Y328" s="23">
        <v>0</v>
      </c>
      <c r="Z328" s="23">
        <v>0</v>
      </c>
      <c r="AA328" s="25">
        <v>0</v>
      </c>
      <c r="AB328" s="25">
        <v>0</v>
      </c>
      <c r="AC328" s="25">
        <v>0</v>
      </c>
      <c r="AD328" s="23">
        <v>9.1</v>
      </c>
      <c r="AE328" s="23">
        <v>19</v>
      </c>
      <c r="AF328" s="23">
        <v>67.2</v>
      </c>
      <c r="AG328" s="23">
        <v>0</v>
      </c>
      <c r="AH328" s="24">
        <v>0</v>
      </c>
      <c r="AI328" s="23">
        <v>100</v>
      </c>
      <c r="AJ328" s="13" t="str">
        <f xml:space="preserve"> IF(AD328&gt;F328,"Exceso en grasa saturada",IFERROR(IF(F328=0,"No tiene sello",IF((AD328*9)*100/F328&gt;10,"Exceso en grasa saturada","No tiene sello")),"No tiene sello"))</f>
        <v>No tiene sello</v>
      </c>
      <c r="AK328" s="13">
        <f>IF(AJ328="No tiene sello",0,1)</f>
        <v>0</v>
      </c>
      <c r="AL328" s="13" t="str">
        <f>IF(Q328&gt;=300,"Exceso en sodio",IFERROR(IF(AND(F328=0,Q328&gt;0),"No tiene sello",IF(Q328/F328&gt;1,"Exceso en sodio","No tiene sello")),"No tiene sello"))</f>
        <v>No tiene sello</v>
      </c>
      <c r="AM328" s="13" t="str">
        <f>IFERROR(IF(F328=0,"No tiene sello",IF(+(AG328/1000)*9*100/F328&gt;1,"Exceso en grasa trans", "No tiene sello")),"No tiene sello")</f>
        <v>No tiene sello</v>
      </c>
    </row>
    <row r="329" spans="1:39" ht="13.5" customHeight="1" x14ac:dyDescent="0.25">
      <c r="A329" s="26" t="s">
        <v>1006</v>
      </c>
      <c r="B329" s="26" t="s">
        <v>1007</v>
      </c>
      <c r="C329" s="27"/>
      <c r="D329" s="47">
        <v>100</v>
      </c>
      <c r="E329" s="28">
        <v>0</v>
      </c>
      <c r="F329" s="24">
        <v>900</v>
      </c>
      <c r="G329" s="28">
        <v>3700</v>
      </c>
      <c r="H329" s="24">
        <v>0</v>
      </c>
      <c r="I329" s="24">
        <v>100</v>
      </c>
      <c r="J329" s="24">
        <v>0</v>
      </c>
      <c r="K329" s="28">
        <v>0</v>
      </c>
      <c r="L329" s="28">
        <v>0</v>
      </c>
      <c r="M329" s="24">
        <v>0</v>
      </c>
      <c r="N329" s="28">
        <v>0</v>
      </c>
      <c r="O329" s="25">
        <v>0</v>
      </c>
      <c r="P329" s="25">
        <v>0</v>
      </c>
      <c r="Q329" s="28">
        <v>0</v>
      </c>
      <c r="R329" s="25">
        <v>0</v>
      </c>
      <c r="S329" s="28">
        <v>0</v>
      </c>
      <c r="T329" s="28">
        <v>0</v>
      </c>
      <c r="U329" s="28">
        <v>0</v>
      </c>
      <c r="V329" s="28">
        <v>0</v>
      </c>
      <c r="W329" s="28">
        <v>0</v>
      </c>
      <c r="X329" s="28">
        <v>0</v>
      </c>
      <c r="Y329" s="28">
        <v>0</v>
      </c>
      <c r="Z329" s="28">
        <v>0</v>
      </c>
      <c r="AA329" s="25">
        <v>0</v>
      </c>
      <c r="AB329" s="25">
        <v>0</v>
      </c>
      <c r="AC329" s="25">
        <v>0</v>
      </c>
      <c r="AD329" s="28">
        <v>14.2</v>
      </c>
      <c r="AE329" s="28">
        <v>85.8</v>
      </c>
      <c r="AF329" s="28">
        <v>0</v>
      </c>
      <c r="AG329" s="28">
        <v>0</v>
      </c>
      <c r="AH329" s="24">
        <v>0</v>
      </c>
      <c r="AI329" s="28">
        <v>100</v>
      </c>
      <c r="AJ329" s="13" t="str">
        <f xml:space="preserve"> IF(AD329&gt;F329,"Exceso en grasa saturada",IFERROR(IF(F329=0,"No tiene sello",IF((AD329*9)*100/F329&gt;10,"Exceso en grasa saturada","No tiene sello")),"No tiene sello"))</f>
        <v>Exceso en grasa saturada</v>
      </c>
      <c r="AK329" s="13">
        <f>IF(AJ329="No tiene sello",0,1)</f>
        <v>1</v>
      </c>
      <c r="AL329" s="13" t="str">
        <f>IF(Q329&gt;=300,"Exceso en sodio",IFERROR(IF(AND(F329=0,Q329&gt;0),"No tiene sello",IF(Q329/F329&gt;1,"Exceso en sodio","No tiene sello")),"No tiene sello"))</f>
        <v>No tiene sello</v>
      </c>
      <c r="AM329" s="13" t="str">
        <f>IFERROR(IF(F329=0,"No tiene sello",IF(+(AG329/1000)*9*100/F329&gt;1,"Exceso en grasa trans", "No tiene sello")),"No tiene sello")</f>
        <v>No tiene sello</v>
      </c>
    </row>
    <row r="330" spans="1:39" ht="13.5" customHeight="1" x14ac:dyDescent="0.25">
      <c r="A330" s="20" t="s">
        <v>1004</v>
      </c>
      <c r="B330" s="20" t="s">
        <v>1005</v>
      </c>
      <c r="C330" s="21"/>
      <c r="D330" s="46">
        <v>100</v>
      </c>
      <c r="E330" s="23">
        <v>0</v>
      </c>
      <c r="F330" s="24">
        <v>900</v>
      </c>
      <c r="G330" s="23">
        <v>3700</v>
      </c>
      <c r="H330" s="24">
        <v>0</v>
      </c>
      <c r="I330" s="24">
        <v>100</v>
      </c>
      <c r="J330" s="24">
        <v>0</v>
      </c>
      <c r="K330" s="23">
        <v>0</v>
      </c>
      <c r="L330" s="23">
        <v>0</v>
      </c>
      <c r="M330" s="24">
        <v>0</v>
      </c>
      <c r="N330" s="23">
        <v>0</v>
      </c>
      <c r="O330" s="25">
        <v>0</v>
      </c>
      <c r="P330" s="25">
        <v>0</v>
      </c>
      <c r="Q330" s="23">
        <v>0</v>
      </c>
      <c r="R330" s="25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0</v>
      </c>
      <c r="X330" s="23">
        <v>0</v>
      </c>
      <c r="Y330" s="23">
        <v>0</v>
      </c>
      <c r="Z330" s="23">
        <v>0</v>
      </c>
      <c r="AA330" s="25">
        <v>0</v>
      </c>
      <c r="AB330" s="25">
        <v>0</v>
      </c>
      <c r="AC330" s="25">
        <v>0</v>
      </c>
      <c r="AD330" s="23">
        <v>18.100000000000001</v>
      </c>
      <c r="AE330" s="23">
        <v>46.1</v>
      </c>
      <c r="AF330" s="23">
        <v>30.9</v>
      </c>
      <c r="AG330" s="23">
        <v>0</v>
      </c>
      <c r="AH330" s="24">
        <v>0</v>
      </c>
      <c r="AI330" s="23">
        <v>100</v>
      </c>
      <c r="AJ330" s="13" t="str">
        <f xml:space="preserve"> IF(AD330&gt;F330,"Exceso en grasa saturada",IFERROR(IF(F330=0,"No tiene sello",IF((AD330*9)*100/F330&gt;10,"Exceso en grasa saturada","No tiene sello")),"No tiene sello"))</f>
        <v>Exceso en grasa saturada</v>
      </c>
      <c r="AK330" s="13">
        <f>IF(AJ330="No tiene sello",0,1)</f>
        <v>1</v>
      </c>
      <c r="AL330" s="13" t="str">
        <f>IF(Q330&gt;=300,"Exceso en sodio",IFERROR(IF(AND(F330=0,Q330&gt;0),"No tiene sello",IF(Q330/F330&gt;1,"Exceso en sodio","No tiene sello")),"No tiene sello"))</f>
        <v>No tiene sello</v>
      </c>
      <c r="AM330" s="13" t="str">
        <f>IFERROR(IF(F330=0,"No tiene sello",IF(+(AG330/1000)*9*100/F330&gt;1,"Exceso en grasa trans", "No tiene sello")),"No tiene sello")</f>
        <v>No tiene sello</v>
      </c>
    </row>
    <row r="331" spans="1:39" ht="13.5" customHeight="1" x14ac:dyDescent="0.25">
      <c r="A331" s="33" t="s">
        <v>1002</v>
      </c>
      <c r="B331" s="33" t="s">
        <v>1003</v>
      </c>
      <c r="C331" s="34"/>
      <c r="D331" s="47">
        <v>100</v>
      </c>
      <c r="E331" s="35">
        <v>0</v>
      </c>
      <c r="F331" s="24">
        <v>900</v>
      </c>
      <c r="G331" s="35">
        <v>3700</v>
      </c>
      <c r="H331" s="24">
        <v>0</v>
      </c>
      <c r="I331" s="24">
        <v>100</v>
      </c>
      <c r="J331" s="24">
        <v>0</v>
      </c>
      <c r="K331" s="35">
        <v>0</v>
      </c>
      <c r="L331" s="35">
        <v>0</v>
      </c>
      <c r="M331" s="24">
        <v>0</v>
      </c>
      <c r="N331" s="35">
        <v>0</v>
      </c>
      <c r="O331" s="35">
        <v>0</v>
      </c>
      <c r="P331" s="35">
        <v>0</v>
      </c>
      <c r="Q331" s="35">
        <v>2</v>
      </c>
      <c r="R331" s="35">
        <v>0</v>
      </c>
      <c r="S331" s="35">
        <v>0</v>
      </c>
      <c r="T331" s="35">
        <v>0</v>
      </c>
      <c r="U331" s="35">
        <v>1</v>
      </c>
      <c r="V331" s="35">
        <v>0</v>
      </c>
      <c r="W331" s="35">
        <v>0</v>
      </c>
      <c r="X331" s="35">
        <v>0</v>
      </c>
      <c r="Y331" s="35">
        <v>0</v>
      </c>
      <c r="Z331" s="35">
        <v>0</v>
      </c>
      <c r="AA331" s="35">
        <v>0</v>
      </c>
      <c r="AB331" s="35">
        <v>0</v>
      </c>
      <c r="AC331" s="35">
        <v>0</v>
      </c>
      <c r="AD331" s="35">
        <v>8.4</v>
      </c>
      <c r="AE331" s="35">
        <v>90.6</v>
      </c>
      <c r="AF331" s="35">
        <v>0</v>
      </c>
      <c r="AG331" s="35">
        <v>0</v>
      </c>
      <c r="AH331" s="35">
        <v>0</v>
      </c>
      <c r="AI331" s="35">
        <v>100</v>
      </c>
      <c r="AJ331" s="13" t="str">
        <f xml:space="preserve"> IF(AD331&gt;F331,"Exceso en grasa saturada",IFERROR(IF(F331=0,"No tiene sello",IF((AD331*9)*100/F331&gt;10,"Exceso en grasa saturada","No tiene sello")),"No tiene sello"))</f>
        <v>No tiene sello</v>
      </c>
      <c r="AK331" s="13">
        <f>IF(AJ331="No tiene sello",0,1)</f>
        <v>0</v>
      </c>
      <c r="AL331" s="13" t="str">
        <f>IF(Q331&gt;=300,"Exceso en sodio",IFERROR(IF(AND(F331=0,Q331&gt;0),"No tiene sello",IF(Q331/F331&gt;1,"Exceso en sodio","No tiene sello")),"No tiene sello"))</f>
        <v>No tiene sello</v>
      </c>
      <c r="AM331" s="13" t="str">
        <f>IFERROR(IF(F331=0,"No tiene sello",IF(+(AG331/1000)*9*100/F331&gt;1,"Exceso en grasa trans", "No tiene sello")),"No tiene sello")</f>
        <v>No tiene sello</v>
      </c>
    </row>
    <row r="332" spans="1:39" ht="13.5" customHeight="1" x14ac:dyDescent="0.25">
      <c r="A332" s="20" t="s">
        <v>1000</v>
      </c>
      <c r="B332" s="20" t="s">
        <v>1001</v>
      </c>
      <c r="C332" s="21"/>
      <c r="D332" s="46">
        <v>100</v>
      </c>
      <c r="E332" s="23">
        <v>0</v>
      </c>
      <c r="F332" s="24">
        <v>900</v>
      </c>
      <c r="G332" s="23">
        <v>3700</v>
      </c>
      <c r="H332" s="24">
        <v>0</v>
      </c>
      <c r="I332" s="24">
        <v>100</v>
      </c>
      <c r="J332" s="24">
        <v>0</v>
      </c>
      <c r="K332" s="23">
        <v>0</v>
      </c>
      <c r="L332" s="23">
        <v>0</v>
      </c>
      <c r="M332" s="24">
        <v>0</v>
      </c>
      <c r="N332" s="23">
        <v>0</v>
      </c>
      <c r="O332" s="25">
        <v>0</v>
      </c>
      <c r="P332" s="25">
        <v>0</v>
      </c>
      <c r="Q332" s="23">
        <v>0</v>
      </c>
      <c r="R332" s="25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0</v>
      </c>
      <c r="X332" s="23">
        <v>0</v>
      </c>
      <c r="Y332" s="23">
        <v>0</v>
      </c>
      <c r="Z332" s="23">
        <v>0</v>
      </c>
      <c r="AA332" s="25">
        <v>0</v>
      </c>
      <c r="AB332" s="25">
        <v>0</v>
      </c>
      <c r="AC332" s="25">
        <v>0</v>
      </c>
      <c r="AD332" s="23">
        <v>49.3</v>
      </c>
      <c r="AE332" s="23">
        <v>37</v>
      </c>
      <c r="AF332" s="23">
        <v>9.3000000000000007</v>
      </c>
      <c r="AG332" s="23">
        <v>0</v>
      </c>
      <c r="AH332" s="24">
        <v>0</v>
      </c>
      <c r="AI332" s="23">
        <v>100</v>
      </c>
      <c r="AJ332" s="13" t="str">
        <f xml:space="preserve"> IF(AD332&gt;F332,"Exceso en grasa saturada",IFERROR(IF(F332=0,"No tiene sello",IF((AD332*9)*100/F332&gt;10,"Exceso en grasa saturada","No tiene sello")),"No tiene sello"))</f>
        <v>Exceso en grasa saturada</v>
      </c>
      <c r="AK332" s="13">
        <f>IF(AJ332="No tiene sello",0,1)</f>
        <v>1</v>
      </c>
      <c r="AL332" s="13" t="str">
        <f>IF(Q332&gt;=300,"Exceso en sodio",IFERROR(IF(AND(F332=0,Q332&gt;0),"No tiene sello",IF(Q332/F332&gt;1,"Exceso en sodio","No tiene sello")),"No tiene sello"))</f>
        <v>No tiene sello</v>
      </c>
      <c r="AM332" s="13" t="str">
        <f>IFERROR(IF(F332=0,"No tiene sello",IF(+(AG332/1000)*9*100/F332&gt;1,"Exceso en grasa trans", "No tiene sello")),"No tiene sello")</f>
        <v>No tiene sello</v>
      </c>
    </row>
    <row r="333" spans="1:39" ht="13.5" customHeight="1" x14ac:dyDescent="0.25">
      <c r="A333" s="26" t="s">
        <v>998</v>
      </c>
      <c r="B333" s="26" t="s">
        <v>999</v>
      </c>
      <c r="C333" s="27"/>
      <c r="D333" s="47">
        <v>100</v>
      </c>
      <c r="E333" s="28">
        <v>0</v>
      </c>
      <c r="F333" s="24">
        <v>900</v>
      </c>
      <c r="G333" s="28">
        <v>3700</v>
      </c>
      <c r="H333" s="24">
        <v>0</v>
      </c>
      <c r="I333" s="24">
        <v>100</v>
      </c>
      <c r="J333" s="24">
        <v>0</v>
      </c>
      <c r="K333" s="28">
        <v>0</v>
      </c>
      <c r="L333" s="28">
        <v>0</v>
      </c>
      <c r="M333" s="24">
        <v>0</v>
      </c>
      <c r="N333" s="28">
        <v>0</v>
      </c>
      <c r="O333" s="25">
        <v>0</v>
      </c>
      <c r="P333" s="25">
        <v>0</v>
      </c>
      <c r="Q333" s="28">
        <v>0</v>
      </c>
      <c r="R333" s="25">
        <v>0</v>
      </c>
      <c r="S333" s="28">
        <v>0</v>
      </c>
      <c r="T333" s="28">
        <v>0</v>
      </c>
      <c r="U333" s="28">
        <v>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5">
        <v>0</v>
      </c>
      <c r="AB333" s="25">
        <v>0</v>
      </c>
      <c r="AC333" s="25">
        <v>0</v>
      </c>
      <c r="AD333" s="28">
        <v>50.9</v>
      </c>
      <c r="AE333" s="28">
        <v>47.3</v>
      </c>
      <c r="AF333" s="28">
        <v>0</v>
      </c>
      <c r="AG333" s="28">
        <v>0</v>
      </c>
      <c r="AH333" s="24">
        <v>0</v>
      </c>
      <c r="AI333" s="28">
        <v>100</v>
      </c>
      <c r="AJ333" s="13" t="str">
        <f xml:space="preserve"> IF(AD333&gt;F333,"Exceso en grasa saturada",IFERROR(IF(F333=0,"No tiene sello",IF((AD333*9)*100/F333&gt;10,"Exceso en grasa saturada","No tiene sello")),"No tiene sello"))</f>
        <v>Exceso en grasa saturada</v>
      </c>
      <c r="AK333" s="13">
        <f>IF(AJ333="No tiene sello",0,1)</f>
        <v>1</v>
      </c>
      <c r="AL333" s="13" t="str">
        <f>IF(Q333&gt;=300,"Exceso en sodio",IFERROR(IF(AND(F333=0,Q333&gt;0),"No tiene sello",IF(Q333/F333&gt;1,"Exceso en sodio","No tiene sello")),"No tiene sello"))</f>
        <v>No tiene sello</v>
      </c>
      <c r="AM333" s="13" t="str">
        <f>IFERROR(IF(F333=0,"No tiene sello",IF(+(AG333/1000)*9*100/F333&gt;1,"Exceso en grasa trans", "No tiene sello")),"No tiene sello")</f>
        <v>No tiene sello</v>
      </c>
    </row>
    <row r="334" spans="1:39" ht="13.5" customHeight="1" x14ac:dyDescent="0.25">
      <c r="A334" s="20" t="s">
        <v>996</v>
      </c>
      <c r="B334" s="20" t="s">
        <v>997</v>
      </c>
      <c r="C334" s="21"/>
      <c r="D334" s="46">
        <v>100</v>
      </c>
      <c r="E334" s="23">
        <v>0</v>
      </c>
      <c r="F334" s="24">
        <v>900</v>
      </c>
      <c r="G334" s="23">
        <v>3700</v>
      </c>
      <c r="H334" s="24">
        <v>0</v>
      </c>
      <c r="I334" s="24">
        <v>100</v>
      </c>
      <c r="J334" s="24">
        <v>0</v>
      </c>
      <c r="K334" s="23">
        <v>0</v>
      </c>
      <c r="L334" s="23">
        <v>0</v>
      </c>
      <c r="M334" s="24">
        <v>0</v>
      </c>
      <c r="N334" s="23">
        <v>0</v>
      </c>
      <c r="O334" s="25">
        <v>0</v>
      </c>
      <c r="P334" s="25">
        <v>0</v>
      </c>
      <c r="Q334" s="23">
        <v>0</v>
      </c>
      <c r="R334" s="25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0</v>
      </c>
      <c r="X334" s="23">
        <v>0</v>
      </c>
      <c r="Y334" s="23">
        <v>0</v>
      </c>
      <c r="Z334" s="23">
        <v>0</v>
      </c>
      <c r="AA334" s="25">
        <v>0</v>
      </c>
      <c r="AB334" s="25">
        <v>0</v>
      </c>
      <c r="AC334" s="25">
        <v>0</v>
      </c>
      <c r="AD334" s="23">
        <v>6.1</v>
      </c>
      <c r="AE334" s="23">
        <v>7.8</v>
      </c>
      <c r="AF334" s="23">
        <v>86.1</v>
      </c>
      <c r="AG334" s="23">
        <v>0</v>
      </c>
      <c r="AH334" s="24">
        <v>0</v>
      </c>
      <c r="AI334" s="23">
        <v>100</v>
      </c>
      <c r="AJ334" s="13" t="str">
        <f xml:space="preserve"> IF(AD334&gt;F334,"Exceso en grasa saturada",IFERROR(IF(F334=0,"No tiene sello",IF((AD334*9)*100/F334&gt;10,"Exceso en grasa saturada","No tiene sello")),"No tiene sello"))</f>
        <v>No tiene sello</v>
      </c>
      <c r="AK334" s="13">
        <f>IF(AJ334="No tiene sello",0,1)</f>
        <v>0</v>
      </c>
      <c r="AL334" s="13" t="str">
        <f>IF(Q334&gt;=300,"Exceso en sodio",IFERROR(IF(AND(F334=0,Q334&gt;0),"No tiene sello",IF(Q334/F334&gt;1,"Exceso en sodio","No tiene sello")),"No tiene sello"))</f>
        <v>No tiene sello</v>
      </c>
      <c r="AM334" s="13" t="str">
        <f>IFERROR(IF(F334=0,"No tiene sello",IF(+(AG334/1000)*9*100/F334&gt;1,"Exceso en grasa trans", "No tiene sello")),"No tiene sello")</f>
        <v>No tiene sello</v>
      </c>
    </row>
    <row r="335" spans="1:39" ht="13.5" customHeight="1" x14ac:dyDescent="0.25">
      <c r="A335" s="26" t="s">
        <v>994</v>
      </c>
      <c r="B335" s="26" t="s">
        <v>995</v>
      </c>
      <c r="C335" s="27"/>
      <c r="D335" s="47">
        <v>100</v>
      </c>
      <c r="E335" s="28">
        <v>0</v>
      </c>
      <c r="F335" s="24">
        <v>900</v>
      </c>
      <c r="G335" s="28">
        <v>3700</v>
      </c>
      <c r="H335" s="24">
        <v>0</v>
      </c>
      <c r="I335" s="24">
        <v>100</v>
      </c>
      <c r="J335" s="24">
        <v>0</v>
      </c>
      <c r="K335" s="28">
        <v>0</v>
      </c>
      <c r="L335" s="28">
        <v>0</v>
      </c>
      <c r="M335" s="24">
        <v>0</v>
      </c>
      <c r="N335" s="28">
        <v>0</v>
      </c>
      <c r="O335" s="25">
        <v>0</v>
      </c>
      <c r="P335" s="25">
        <v>0</v>
      </c>
      <c r="Q335" s="28">
        <v>0</v>
      </c>
      <c r="R335" s="25">
        <v>0</v>
      </c>
      <c r="S335" s="28">
        <v>0</v>
      </c>
      <c r="T335" s="28">
        <v>0</v>
      </c>
      <c r="U335" s="28">
        <v>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5">
        <v>0</v>
      </c>
      <c r="AB335" s="25">
        <v>0</v>
      </c>
      <c r="AC335" s="25">
        <v>0</v>
      </c>
      <c r="AD335" s="28">
        <v>14.4</v>
      </c>
      <c r="AE335" s="28">
        <v>23.3</v>
      </c>
      <c r="AF335" s="28">
        <v>57.9</v>
      </c>
      <c r="AG335" s="28">
        <v>0</v>
      </c>
      <c r="AH335" s="24">
        <v>0</v>
      </c>
      <c r="AI335" s="28">
        <v>100</v>
      </c>
      <c r="AJ335" s="13" t="str">
        <f xml:space="preserve"> IF(AD335&gt;F335,"Exceso en grasa saturada",IFERROR(IF(F335=0,"No tiene sello",IF((AD335*9)*100/F335&gt;10,"Exceso en grasa saturada","No tiene sello")),"No tiene sello"))</f>
        <v>Exceso en grasa saturada</v>
      </c>
      <c r="AK335" s="13">
        <f>IF(AJ335="No tiene sello",0,1)</f>
        <v>1</v>
      </c>
      <c r="AL335" s="13" t="str">
        <f>IF(Q335&gt;=300,"Exceso en sodio",IFERROR(IF(AND(F335=0,Q335&gt;0),"No tiene sello",IF(Q335/F335&gt;1,"Exceso en sodio","No tiene sello")),"No tiene sello"))</f>
        <v>No tiene sello</v>
      </c>
      <c r="AM335" s="13" t="str">
        <f>IFERROR(IF(F335=0,"No tiene sello",IF(+(AG335/1000)*9*100/F335&gt;1,"Exceso en grasa trans", "No tiene sello")),"No tiene sello")</f>
        <v>No tiene sello</v>
      </c>
    </row>
    <row r="336" spans="1:39" ht="13.5" customHeight="1" x14ac:dyDescent="0.25">
      <c r="A336" s="20" t="s">
        <v>992</v>
      </c>
      <c r="B336" s="20" t="s">
        <v>993</v>
      </c>
      <c r="C336" s="21"/>
      <c r="D336" s="46">
        <v>100</v>
      </c>
      <c r="E336" s="23">
        <v>0</v>
      </c>
      <c r="F336" s="24">
        <v>900</v>
      </c>
      <c r="G336" s="23">
        <v>3700</v>
      </c>
      <c r="H336" s="24">
        <v>0</v>
      </c>
      <c r="I336" s="24">
        <v>100</v>
      </c>
      <c r="J336" s="24">
        <v>0</v>
      </c>
      <c r="K336" s="23">
        <v>0</v>
      </c>
      <c r="L336" s="23">
        <v>0</v>
      </c>
      <c r="M336" s="24">
        <v>0</v>
      </c>
      <c r="N336" s="23">
        <v>0</v>
      </c>
      <c r="O336" s="25">
        <v>0</v>
      </c>
      <c r="P336" s="25">
        <v>0</v>
      </c>
      <c r="Q336" s="23">
        <v>0</v>
      </c>
      <c r="R336" s="25">
        <v>1</v>
      </c>
      <c r="S336" s="23">
        <v>0</v>
      </c>
      <c r="T336" s="23">
        <v>0</v>
      </c>
      <c r="U336" s="23">
        <v>0</v>
      </c>
      <c r="V336" s="23">
        <v>0</v>
      </c>
      <c r="W336" s="23">
        <v>0</v>
      </c>
      <c r="X336" s="23">
        <v>0</v>
      </c>
      <c r="Y336" s="23">
        <v>0</v>
      </c>
      <c r="Z336" s="23">
        <v>0</v>
      </c>
      <c r="AA336" s="25">
        <v>0</v>
      </c>
      <c r="AB336" s="25">
        <v>0</v>
      </c>
      <c r="AC336" s="25">
        <v>0</v>
      </c>
      <c r="AD336" s="23">
        <v>13.4</v>
      </c>
      <c r="AE336" s="23">
        <v>51.1</v>
      </c>
      <c r="AF336" s="23">
        <v>31.7</v>
      </c>
      <c r="AG336" s="23">
        <v>0</v>
      </c>
      <c r="AH336" s="24">
        <v>0</v>
      </c>
      <c r="AI336" s="23">
        <v>100</v>
      </c>
      <c r="AJ336" s="13" t="str">
        <f xml:space="preserve"> IF(AD336&gt;F336,"Exceso en grasa saturada",IFERROR(IF(F336=0,"No tiene sello",IF((AD336*9)*100/F336&gt;10,"Exceso en grasa saturada","No tiene sello")),"No tiene sello"))</f>
        <v>Exceso en grasa saturada</v>
      </c>
      <c r="AK336" s="13">
        <f>IF(AJ336="No tiene sello",0,1)</f>
        <v>1</v>
      </c>
      <c r="AL336" s="13" t="str">
        <f>IF(Q336&gt;=300,"Exceso en sodio",IFERROR(IF(AND(F336=0,Q336&gt;0),"No tiene sello",IF(Q336/F336&gt;1,"Exceso en sodio","No tiene sello")),"No tiene sello"))</f>
        <v>No tiene sello</v>
      </c>
      <c r="AM336" s="13" t="str">
        <f>IFERROR(IF(F336=0,"No tiene sello",IF(+(AG336/1000)*9*100/F336&gt;1,"Exceso en grasa trans", "No tiene sello")),"No tiene sello")</f>
        <v>No tiene sello</v>
      </c>
    </row>
    <row r="337" spans="1:39" ht="13.5" customHeight="1" x14ac:dyDescent="0.25">
      <c r="A337" s="26" t="s">
        <v>990</v>
      </c>
      <c r="B337" s="26" t="s">
        <v>991</v>
      </c>
      <c r="C337" s="27"/>
      <c r="D337" s="47">
        <v>100</v>
      </c>
      <c r="E337" s="28">
        <v>1</v>
      </c>
      <c r="F337" s="24">
        <v>891</v>
      </c>
      <c r="G337" s="28">
        <v>3663</v>
      </c>
      <c r="H337" s="24">
        <v>0</v>
      </c>
      <c r="I337" s="24">
        <v>99</v>
      </c>
      <c r="J337" s="24">
        <v>0</v>
      </c>
      <c r="K337" s="28">
        <v>0</v>
      </c>
      <c r="L337" s="28">
        <v>0</v>
      </c>
      <c r="M337" s="24">
        <v>0</v>
      </c>
      <c r="N337" s="28">
        <v>0</v>
      </c>
      <c r="O337" s="25">
        <v>0</v>
      </c>
      <c r="P337" s="25">
        <v>0</v>
      </c>
      <c r="Q337" s="28">
        <v>0</v>
      </c>
      <c r="R337" s="25">
        <v>0</v>
      </c>
      <c r="S337" s="28">
        <v>0.1</v>
      </c>
      <c r="T337" s="28">
        <v>157</v>
      </c>
      <c r="U337" s="28">
        <v>721</v>
      </c>
      <c r="V337" s="28">
        <v>0</v>
      </c>
      <c r="W337" s="28">
        <v>0</v>
      </c>
      <c r="X337" s="28">
        <v>0</v>
      </c>
      <c r="Y337" s="28">
        <v>0</v>
      </c>
      <c r="Z337" s="28">
        <v>0</v>
      </c>
      <c r="AA337" s="25">
        <v>0</v>
      </c>
      <c r="AB337" s="25">
        <v>0</v>
      </c>
      <c r="AC337" s="25">
        <v>0</v>
      </c>
      <c r="AD337" s="28">
        <v>39.6</v>
      </c>
      <c r="AE337" s="28">
        <v>45.1</v>
      </c>
      <c r="AF337" s="28">
        <v>11.2</v>
      </c>
      <c r="AG337" s="28">
        <v>300</v>
      </c>
      <c r="AH337" s="24">
        <v>95</v>
      </c>
      <c r="AI337" s="28">
        <v>100</v>
      </c>
      <c r="AJ337" s="13" t="str">
        <f xml:space="preserve"> IF(AD337&gt;F337,"Exceso en grasa saturada",IFERROR(IF(F337=0,"No tiene sello",IF((AD337*9)*100/F337&gt;10,"Exceso en grasa saturada","No tiene sello")),"No tiene sello"))</f>
        <v>Exceso en grasa saturada</v>
      </c>
      <c r="AK337" s="13">
        <f>IF(AJ337="No tiene sello",0,1)</f>
        <v>1</v>
      </c>
      <c r="AL337" s="13" t="str">
        <f>IF(Q337&gt;=300,"Exceso en sodio",IFERROR(IF(AND(F337=0,Q337&gt;0),"No tiene sello",IF(Q337/F337&gt;1,"Exceso en sodio","No tiene sello")),"No tiene sello"))</f>
        <v>No tiene sello</v>
      </c>
      <c r="AM337" s="13" t="str">
        <f>IFERROR(IF(F337=0,"No tiene sello",IF(+(AG337/1000)*9*100/F337&gt;1,"Exceso en grasa trans", "No tiene sello")),"No tiene sello")</f>
        <v>No tiene sello</v>
      </c>
    </row>
    <row r="338" spans="1:39" ht="13.5" customHeight="1" x14ac:dyDescent="0.25">
      <c r="A338" s="20" t="s">
        <v>988</v>
      </c>
      <c r="B338" s="20" t="s">
        <v>989</v>
      </c>
      <c r="C338" s="21"/>
      <c r="D338" s="46">
        <v>100</v>
      </c>
      <c r="E338" s="23">
        <v>16.899999999999999</v>
      </c>
      <c r="F338" s="24">
        <v>743</v>
      </c>
      <c r="G338" s="23">
        <v>3055</v>
      </c>
      <c r="H338" s="24">
        <v>0.8</v>
      </c>
      <c r="I338" s="24">
        <v>82.2</v>
      </c>
      <c r="J338" s="24">
        <v>0</v>
      </c>
      <c r="K338" s="23">
        <v>0</v>
      </c>
      <c r="L338" s="23">
        <v>0</v>
      </c>
      <c r="M338" s="24">
        <v>0</v>
      </c>
      <c r="N338" s="23">
        <v>0.1</v>
      </c>
      <c r="O338" s="25">
        <v>22</v>
      </c>
      <c r="P338" s="25">
        <v>0.2</v>
      </c>
      <c r="Q338" s="23">
        <v>223</v>
      </c>
      <c r="R338" s="25">
        <v>20</v>
      </c>
      <c r="S338" s="23">
        <v>0.1</v>
      </c>
      <c r="T338" s="23">
        <v>2</v>
      </c>
      <c r="U338" s="23">
        <v>19</v>
      </c>
      <c r="V338" s="23">
        <v>0</v>
      </c>
      <c r="W338" s="23">
        <v>0.01</v>
      </c>
      <c r="X338" s="23">
        <v>0.1</v>
      </c>
      <c r="Y338" s="23">
        <v>1</v>
      </c>
      <c r="Z338" s="23">
        <v>0.3</v>
      </c>
      <c r="AA338" s="25">
        <v>0</v>
      </c>
      <c r="AB338" s="25">
        <v>1170</v>
      </c>
      <c r="AC338" s="25">
        <v>1</v>
      </c>
      <c r="AD338" s="23">
        <v>52.6</v>
      </c>
      <c r="AE338" s="23">
        <v>21.4</v>
      </c>
      <c r="AF338" s="23">
        <v>2.7</v>
      </c>
      <c r="AG338" s="23">
        <v>250</v>
      </c>
      <c r="AH338" s="24">
        <v>214</v>
      </c>
      <c r="AI338" s="23">
        <v>100</v>
      </c>
      <c r="AJ338" s="13" t="str">
        <f xml:space="preserve"> IF(AD338&gt;F338,"Exceso en grasa saturada",IFERROR(IF(F338=0,"No tiene sello",IF((AD338*9)*100/F338&gt;10,"Exceso en grasa saturada","No tiene sello")),"No tiene sello"))</f>
        <v>Exceso en grasa saturada</v>
      </c>
      <c r="AK338" s="13">
        <f>IF(AJ338="No tiene sello",0,1)</f>
        <v>1</v>
      </c>
      <c r="AL338" s="13" t="str">
        <f>IF(Q338&gt;=300,"Exceso en sodio",IFERROR(IF(AND(F338=0,Q338&gt;0),"No tiene sello",IF(Q338/F338&gt;1,"Exceso en sodio","No tiene sello")),"No tiene sello"))</f>
        <v>No tiene sello</v>
      </c>
      <c r="AM338" s="13" t="str">
        <f>IFERROR(IF(F338=0,"No tiene sello",IF(+(AG338/1000)*9*100/F338&gt;1,"Exceso en grasa trans", "No tiene sello")),"No tiene sello")</f>
        <v>No tiene sello</v>
      </c>
    </row>
    <row r="339" spans="1:39" ht="13.5" customHeight="1" x14ac:dyDescent="0.25">
      <c r="A339" s="26" t="s">
        <v>986</v>
      </c>
      <c r="B339" s="26" t="s">
        <v>987</v>
      </c>
      <c r="C339" s="27"/>
      <c r="D339" s="47">
        <v>100</v>
      </c>
      <c r="E339" s="28">
        <v>1.4</v>
      </c>
      <c r="F339" s="24">
        <v>643</v>
      </c>
      <c r="G339" s="28">
        <v>2666</v>
      </c>
      <c r="H339" s="24">
        <v>24.6</v>
      </c>
      <c r="I339" s="24">
        <v>50</v>
      </c>
      <c r="J339" s="24">
        <v>20.7</v>
      </c>
      <c r="K339" s="28">
        <v>0</v>
      </c>
      <c r="L339" s="28">
        <v>2.0699999999999998</v>
      </c>
      <c r="M339" s="24">
        <v>5.8</v>
      </c>
      <c r="N339" s="28">
        <v>3.3</v>
      </c>
      <c r="O339" s="25">
        <v>34</v>
      </c>
      <c r="P339" s="25">
        <v>1.7</v>
      </c>
      <c r="Q339" s="28">
        <v>478</v>
      </c>
      <c r="R339" s="25">
        <v>323</v>
      </c>
      <c r="S339" s="28">
        <v>2.5</v>
      </c>
      <c r="T339" s="28">
        <v>162</v>
      </c>
      <c r="U339" s="28">
        <v>649</v>
      </c>
      <c r="V339" s="28">
        <v>0.1</v>
      </c>
      <c r="W339" s="28">
        <v>0.1</v>
      </c>
      <c r="X339" s="28">
        <v>13.3</v>
      </c>
      <c r="Y339" s="28">
        <v>74</v>
      </c>
      <c r="Z339" s="28">
        <v>0</v>
      </c>
      <c r="AA339" s="25">
        <v>0</v>
      </c>
      <c r="AB339" s="25">
        <v>0</v>
      </c>
      <c r="AC339" s="25">
        <v>0</v>
      </c>
      <c r="AD339" s="28">
        <v>9.6</v>
      </c>
      <c r="AE339" s="28">
        <v>23.6</v>
      </c>
      <c r="AF339" s="28">
        <v>14.4</v>
      </c>
      <c r="AG339" s="28">
        <v>50</v>
      </c>
      <c r="AH339" s="24">
        <v>0</v>
      </c>
      <c r="AI339" s="28">
        <v>100</v>
      </c>
      <c r="AJ339" s="13" t="str">
        <f xml:space="preserve"> IF(AD339&gt;F339,"Exceso en grasa saturada",IFERROR(IF(F339=0,"No tiene sello",IF((AD339*9)*100/F339&gt;10,"Exceso en grasa saturada","No tiene sello")),"No tiene sello"))</f>
        <v>Exceso en grasa saturada</v>
      </c>
      <c r="AK339" s="13">
        <f>IF(AJ339="No tiene sello",0,1)</f>
        <v>1</v>
      </c>
      <c r="AL339" s="13" t="str">
        <f>IF(Q339&gt;=300,"Exceso en sodio",IFERROR(IF(AND(F339=0,Q339&gt;0),"No tiene sello",IF(Q339/F339&gt;1,"Exceso en sodio","No tiene sello")),"No tiene sello"))</f>
        <v>Exceso en sodio</v>
      </c>
      <c r="AM339" s="13" t="str">
        <f>IFERROR(IF(F339=0,"No tiene sello",IF(+(AG339/1000)*9*100/F339&gt;1,"Exceso en grasa trans", "No tiene sello")),"No tiene sello")</f>
        <v>No tiene sello</v>
      </c>
    </row>
    <row r="340" spans="1:39" ht="13.5" customHeight="1" x14ac:dyDescent="0.25">
      <c r="A340" s="20" t="s">
        <v>984</v>
      </c>
      <c r="B340" s="20" t="s">
        <v>985</v>
      </c>
      <c r="C340" s="21"/>
      <c r="D340" s="46">
        <v>100</v>
      </c>
      <c r="E340" s="23">
        <v>16</v>
      </c>
      <c r="F340" s="24">
        <v>731</v>
      </c>
      <c r="G340" s="23">
        <v>3005</v>
      </c>
      <c r="H340" s="24">
        <v>0.5</v>
      </c>
      <c r="I340" s="24">
        <v>81</v>
      </c>
      <c r="J340" s="24">
        <v>0</v>
      </c>
      <c r="K340" s="23">
        <v>0</v>
      </c>
      <c r="L340" s="23">
        <v>0</v>
      </c>
      <c r="M340" s="24">
        <v>0</v>
      </c>
      <c r="N340" s="23">
        <v>2.5</v>
      </c>
      <c r="O340" s="25">
        <v>4</v>
      </c>
      <c r="P340" s="25">
        <v>0.1</v>
      </c>
      <c r="Q340" s="23">
        <v>742</v>
      </c>
      <c r="R340" s="25">
        <v>11</v>
      </c>
      <c r="S340" s="23">
        <v>0</v>
      </c>
      <c r="T340" s="23">
        <v>1</v>
      </c>
      <c r="U340" s="23">
        <v>44</v>
      </c>
      <c r="V340" s="23">
        <v>0</v>
      </c>
      <c r="W340" s="23">
        <v>0</v>
      </c>
      <c r="X340" s="23">
        <v>0</v>
      </c>
      <c r="Y340" s="23">
        <v>0</v>
      </c>
      <c r="Z340" s="23">
        <v>0</v>
      </c>
      <c r="AA340" s="25">
        <v>0</v>
      </c>
      <c r="AB340" s="25">
        <v>819</v>
      </c>
      <c r="AC340" s="25">
        <v>2.5</v>
      </c>
      <c r="AD340" s="23">
        <v>15.2</v>
      </c>
      <c r="AE340" s="23">
        <v>31.6</v>
      </c>
      <c r="AF340" s="23">
        <v>25.9</v>
      </c>
      <c r="AG340" s="23">
        <v>26</v>
      </c>
      <c r="AH340" s="24">
        <v>0</v>
      </c>
      <c r="AI340" s="23">
        <v>100</v>
      </c>
      <c r="AJ340" s="13" t="str">
        <f xml:space="preserve"> IF(AD340&gt;F340,"Exceso en grasa saturada",IFERROR(IF(F340=0,"No tiene sello",IF((AD340*9)*100/F340&gt;10,"Exceso en grasa saturada","No tiene sello")),"No tiene sello"))</f>
        <v>Exceso en grasa saturada</v>
      </c>
      <c r="AK340" s="13">
        <f>IF(AJ340="No tiene sello",0,1)</f>
        <v>1</v>
      </c>
      <c r="AL340" s="13" t="str">
        <f>IF(Q340&gt;=300,"Exceso en sodio",IFERROR(IF(AND(F340=0,Q340&gt;0),"No tiene sello",IF(Q340/F340&gt;1,"Exceso en sodio","No tiene sello")),"No tiene sello"))</f>
        <v>Exceso en sodio</v>
      </c>
      <c r="AM340" s="13" t="str">
        <f>IFERROR(IF(F340=0,"No tiene sello",IF(+(AG340/1000)*9*100/F340&gt;1,"Exceso en grasa trans", "No tiene sello")),"No tiene sello")</f>
        <v>No tiene sello</v>
      </c>
    </row>
    <row r="341" spans="1:39" ht="13.5" customHeight="1" x14ac:dyDescent="0.25">
      <c r="A341" s="26" t="s">
        <v>982</v>
      </c>
      <c r="B341" s="26" t="s">
        <v>983</v>
      </c>
      <c r="C341" s="27"/>
      <c r="D341" s="47">
        <v>100</v>
      </c>
      <c r="E341" s="28">
        <v>15.8</v>
      </c>
      <c r="F341" s="24">
        <v>732</v>
      </c>
      <c r="G341" s="28">
        <v>3011</v>
      </c>
      <c r="H341" s="24">
        <v>0.6</v>
      </c>
      <c r="I341" s="24">
        <v>81.099999999999994</v>
      </c>
      <c r="J341" s="24">
        <v>0</v>
      </c>
      <c r="K341" s="28">
        <v>0</v>
      </c>
      <c r="L341" s="28">
        <v>0</v>
      </c>
      <c r="M341" s="24">
        <v>0</v>
      </c>
      <c r="N341" s="28">
        <v>2.5</v>
      </c>
      <c r="O341" s="25">
        <v>14</v>
      </c>
      <c r="P341" s="25">
        <v>0</v>
      </c>
      <c r="Q341" s="28">
        <v>877</v>
      </c>
      <c r="R341" s="25">
        <v>14</v>
      </c>
      <c r="S341" s="28">
        <v>0</v>
      </c>
      <c r="T341" s="28">
        <v>2</v>
      </c>
      <c r="U341" s="28">
        <v>44</v>
      </c>
      <c r="V341" s="28">
        <v>0.01</v>
      </c>
      <c r="W341" s="28">
        <v>0.04</v>
      </c>
      <c r="X341" s="28">
        <v>0</v>
      </c>
      <c r="Y341" s="28">
        <v>1</v>
      </c>
      <c r="Z341" s="28">
        <v>0.1</v>
      </c>
      <c r="AA341" s="25">
        <v>0</v>
      </c>
      <c r="AB341" s="25">
        <v>819</v>
      </c>
      <c r="AC341" s="25">
        <v>2.5</v>
      </c>
      <c r="AD341" s="28">
        <v>34.6</v>
      </c>
      <c r="AE341" s="28">
        <v>45.8</v>
      </c>
      <c r="AF341" s="28">
        <v>0</v>
      </c>
      <c r="AG341" s="28">
        <v>30</v>
      </c>
      <c r="AH341" s="24">
        <v>0</v>
      </c>
      <c r="AI341" s="28">
        <v>100</v>
      </c>
      <c r="AJ341" s="13" t="str">
        <f xml:space="preserve"> IF(AD341&gt;F341,"Exceso en grasa saturada",IFERROR(IF(F341=0,"No tiene sello",IF((AD341*9)*100/F341&gt;10,"Exceso en grasa saturada","No tiene sello")),"No tiene sello"))</f>
        <v>Exceso en grasa saturada</v>
      </c>
      <c r="AK341" s="13">
        <f>IF(AJ341="No tiene sello",0,1)</f>
        <v>1</v>
      </c>
      <c r="AL341" s="13" t="str">
        <f>IF(Q341&gt;=300,"Exceso en sodio",IFERROR(IF(AND(F341=0,Q341&gt;0),"No tiene sello",IF(Q341/F341&gt;1,"Exceso en sodio","No tiene sello")),"No tiene sello"))</f>
        <v>Exceso en sodio</v>
      </c>
      <c r="AM341" s="13" t="str">
        <f>IFERROR(IF(F341=0,"No tiene sello",IF(+(AG341/1000)*9*100/F341&gt;1,"Exceso en grasa trans", "No tiene sello")),"No tiene sello")</f>
        <v>No tiene sello</v>
      </c>
    </row>
    <row r="342" spans="1:39" ht="13.5" customHeight="1" x14ac:dyDescent="0.25">
      <c r="A342" s="20" t="s">
        <v>980</v>
      </c>
      <c r="B342" s="20" t="s">
        <v>981</v>
      </c>
      <c r="C342" s="21"/>
      <c r="D342" s="46">
        <v>100</v>
      </c>
      <c r="E342" s="23">
        <v>16</v>
      </c>
      <c r="F342" s="24">
        <v>731</v>
      </c>
      <c r="G342" s="23">
        <v>3006</v>
      </c>
      <c r="H342" s="24">
        <v>0.6</v>
      </c>
      <c r="I342" s="24">
        <v>81</v>
      </c>
      <c r="J342" s="24">
        <v>0</v>
      </c>
      <c r="K342" s="23">
        <v>0</v>
      </c>
      <c r="L342" s="23">
        <v>0</v>
      </c>
      <c r="M342" s="24">
        <v>0</v>
      </c>
      <c r="N342" s="23">
        <v>2.5</v>
      </c>
      <c r="O342" s="25">
        <v>3</v>
      </c>
      <c r="P342" s="25">
        <v>0.1</v>
      </c>
      <c r="Q342" s="23">
        <v>685</v>
      </c>
      <c r="R342" s="25">
        <v>12</v>
      </c>
      <c r="S342" s="23">
        <v>0.4</v>
      </c>
      <c r="T342" s="23">
        <v>1</v>
      </c>
      <c r="U342" s="23">
        <v>32</v>
      </c>
      <c r="V342" s="23">
        <v>0</v>
      </c>
      <c r="W342" s="23">
        <v>0.01</v>
      </c>
      <c r="X342" s="23">
        <v>0</v>
      </c>
      <c r="Y342" s="23">
        <v>0</v>
      </c>
      <c r="Z342" s="23">
        <v>0.04</v>
      </c>
      <c r="AA342" s="25">
        <v>0</v>
      </c>
      <c r="AB342" s="25">
        <v>819</v>
      </c>
      <c r="AC342" s="25">
        <v>2.5</v>
      </c>
      <c r="AD342" s="23">
        <v>14.9</v>
      </c>
      <c r="AE342" s="23">
        <v>38.5</v>
      </c>
      <c r="AF342" s="23">
        <v>26.4</v>
      </c>
      <c r="AG342" s="23">
        <v>26</v>
      </c>
      <c r="AH342" s="24">
        <v>0</v>
      </c>
      <c r="AI342" s="23">
        <v>100</v>
      </c>
      <c r="AJ342" s="13" t="str">
        <f xml:space="preserve"> IF(AD342&gt;F342,"Exceso en grasa saturada",IFERROR(IF(F342=0,"No tiene sello",IF((AD342*9)*100/F342&gt;10,"Exceso en grasa saturada","No tiene sello")),"No tiene sello"))</f>
        <v>Exceso en grasa saturada</v>
      </c>
      <c r="AK342" s="13">
        <f>IF(AJ342="No tiene sello",0,1)</f>
        <v>1</v>
      </c>
      <c r="AL342" s="13" t="str">
        <f>IF(Q342&gt;=300,"Exceso en sodio",IFERROR(IF(AND(F342=0,Q342&gt;0),"No tiene sello",IF(Q342/F342&gt;1,"Exceso en sodio","No tiene sello")),"No tiene sello"))</f>
        <v>Exceso en sodio</v>
      </c>
      <c r="AM342" s="13" t="str">
        <f>IFERROR(IF(F342=0,"No tiene sello",IF(+(AG342/1000)*9*100/F342&gt;1,"Exceso en grasa trans", "No tiene sello")),"No tiene sello")</f>
        <v>No tiene sello</v>
      </c>
    </row>
    <row r="343" spans="1:39" ht="13.5" customHeight="1" x14ac:dyDescent="0.25">
      <c r="A343" s="33" t="s">
        <v>978</v>
      </c>
      <c r="B343" s="33" t="s">
        <v>979</v>
      </c>
      <c r="C343" s="34"/>
      <c r="D343" s="47">
        <v>100</v>
      </c>
      <c r="E343" s="35">
        <v>58.4</v>
      </c>
      <c r="F343" s="24">
        <v>326</v>
      </c>
      <c r="G343" s="35">
        <v>1343</v>
      </c>
      <c r="H343" s="24">
        <v>0.9</v>
      </c>
      <c r="I343" s="24">
        <v>33.4</v>
      </c>
      <c r="J343" s="24">
        <v>5.4</v>
      </c>
      <c r="K343" s="35">
        <v>0</v>
      </c>
      <c r="L343" s="35">
        <v>0.54</v>
      </c>
      <c r="M343" s="24">
        <v>0</v>
      </c>
      <c r="N343" s="35">
        <v>1.9</v>
      </c>
      <c r="O343" s="35">
        <v>14</v>
      </c>
      <c r="P343" s="35">
        <v>0.2</v>
      </c>
      <c r="Q343" s="35">
        <v>711</v>
      </c>
      <c r="R343" s="35">
        <v>26</v>
      </c>
      <c r="S343" s="35">
        <v>0.2</v>
      </c>
      <c r="T343" s="35">
        <v>1</v>
      </c>
      <c r="U343" s="35">
        <v>18</v>
      </c>
      <c r="V343" s="35">
        <v>0.01</v>
      </c>
      <c r="W343" s="35">
        <v>0.04</v>
      </c>
      <c r="X343" s="35">
        <v>0</v>
      </c>
      <c r="Y343" s="35">
        <v>6</v>
      </c>
      <c r="Z343" s="35">
        <v>0.24</v>
      </c>
      <c r="AA343" s="35">
        <v>0</v>
      </c>
      <c r="AB343" s="35">
        <v>84</v>
      </c>
      <c r="AC343" s="35">
        <v>0</v>
      </c>
      <c r="AD343" s="35">
        <v>4.9000000000000004</v>
      </c>
      <c r="AE343" s="35">
        <v>9</v>
      </c>
      <c r="AF343" s="35">
        <v>18</v>
      </c>
      <c r="AG343" s="35">
        <v>0</v>
      </c>
      <c r="AH343" s="35">
        <v>50</v>
      </c>
      <c r="AI343" s="35">
        <v>100</v>
      </c>
      <c r="AJ343" s="13" t="str">
        <f xml:space="preserve"> IF(AD343&gt;F343,"Exceso en grasa saturada",IFERROR(IF(F343=0,"No tiene sello",IF((AD343*9)*100/F343&gt;10,"Exceso en grasa saturada","No tiene sello")),"No tiene sello"))</f>
        <v>Exceso en grasa saturada</v>
      </c>
      <c r="AK343" s="13">
        <f>IF(AJ343="No tiene sello",0,1)</f>
        <v>1</v>
      </c>
      <c r="AL343" s="13" t="str">
        <f>IF(Q343&gt;=300,"Exceso en sodio",IFERROR(IF(AND(F343=0,Q343&gt;0),"No tiene sello",IF(Q343/F343&gt;1,"Exceso en sodio","No tiene sello")),"No tiene sello"))</f>
        <v>Exceso en sodio</v>
      </c>
      <c r="AM343" s="13" t="str">
        <f>IFERROR(IF(F343=0,"No tiene sello",IF(+(AG343/1000)*9*100/F343&gt;1,"Exceso en grasa trans", "No tiene sello")),"No tiene sello")</f>
        <v>No tiene sello</v>
      </c>
    </row>
    <row r="344" spans="1:39" ht="13.5" customHeight="1" x14ac:dyDescent="0.25">
      <c r="A344" s="20" t="s">
        <v>976</v>
      </c>
      <c r="B344" s="20" t="s">
        <v>977</v>
      </c>
      <c r="C344" s="21"/>
      <c r="D344" s="46">
        <v>100</v>
      </c>
      <c r="E344" s="23">
        <v>82.8</v>
      </c>
      <c r="F344" s="24">
        <v>66</v>
      </c>
      <c r="G344" s="23">
        <v>278</v>
      </c>
      <c r="H344" s="24">
        <v>14</v>
      </c>
      <c r="I344" s="24">
        <v>1</v>
      </c>
      <c r="J344" s="24">
        <v>0.3</v>
      </c>
      <c r="K344" s="23">
        <v>0</v>
      </c>
      <c r="L344" s="23">
        <v>0.03</v>
      </c>
      <c r="M344" s="24">
        <v>0</v>
      </c>
      <c r="N344" s="23">
        <v>2</v>
      </c>
      <c r="O344" s="25">
        <v>43</v>
      </c>
      <c r="P344" s="25">
        <v>1.7</v>
      </c>
      <c r="Q344" s="23">
        <v>46</v>
      </c>
      <c r="R344" s="25">
        <v>170</v>
      </c>
      <c r="S344" s="23">
        <v>1.3</v>
      </c>
      <c r="T344" s="23">
        <v>19</v>
      </c>
      <c r="U344" s="23">
        <v>274</v>
      </c>
      <c r="V344" s="23">
        <v>0.08</v>
      </c>
      <c r="W344" s="23">
        <v>0.14000000000000001</v>
      </c>
      <c r="X344" s="23">
        <v>1.3</v>
      </c>
      <c r="Y344" s="23">
        <v>16</v>
      </c>
      <c r="Z344" s="23">
        <v>11.28</v>
      </c>
      <c r="AA344" s="25">
        <v>2</v>
      </c>
      <c r="AB344" s="25">
        <v>90</v>
      </c>
      <c r="AC344" s="25">
        <v>0</v>
      </c>
      <c r="AD344" s="23">
        <v>0.2</v>
      </c>
      <c r="AE344" s="23">
        <v>0.1</v>
      </c>
      <c r="AF344" s="23">
        <v>0.2</v>
      </c>
      <c r="AG344" s="23">
        <v>0</v>
      </c>
      <c r="AH344" s="24">
        <v>30</v>
      </c>
      <c r="AI344" s="23">
        <v>11</v>
      </c>
      <c r="AJ344" s="13" t="str">
        <f xml:space="preserve"> IF(AD344&gt;F344,"Exceso en grasa saturada",IFERROR(IF(F344=0,"No tiene sello",IF((AD344*9)*100/F344&gt;10,"Exceso en grasa saturada","No tiene sello")),"No tiene sello"))</f>
        <v>No tiene sello</v>
      </c>
      <c r="AK344" s="13">
        <f>IF(AJ344="No tiene sello",0,1)</f>
        <v>0</v>
      </c>
      <c r="AL344" s="13" t="str">
        <f>IF(Q344&gt;=300,"Exceso en sodio",IFERROR(IF(AND(F344=0,Q344&gt;0),"No tiene sello",IF(Q344/F344&gt;1,"Exceso en sodio","No tiene sello")),"No tiene sello"))</f>
        <v>No tiene sello</v>
      </c>
      <c r="AM344" s="13" t="str">
        <f>IFERROR(IF(F344=0,"No tiene sello",IF(+(AG344/1000)*9*100/F344&gt;1,"Exceso en grasa trans", "No tiene sello")),"No tiene sello")</f>
        <v>No tiene sello</v>
      </c>
    </row>
    <row r="345" spans="1:39" ht="13.5" customHeight="1" x14ac:dyDescent="0.25">
      <c r="A345" s="26" t="s">
        <v>974</v>
      </c>
      <c r="B345" s="26" t="s">
        <v>975</v>
      </c>
      <c r="C345" s="27"/>
      <c r="D345" s="47">
        <v>100</v>
      </c>
      <c r="E345" s="28">
        <v>70.3</v>
      </c>
      <c r="F345" s="24">
        <v>156</v>
      </c>
      <c r="G345" s="28">
        <v>651</v>
      </c>
      <c r="H345" s="24">
        <v>17.899999999999999</v>
      </c>
      <c r="I345" s="24">
        <v>9</v>
      </c>
      <c r="J345" s="24">
        <v>0.7</v>
      </c>
      <c r="K345" s="28">
        <v>0</v>
      </c>
      <c r="L345" s="28">
        <v>7.0000000000000007E-2</v>
      </c>
      <c r="M345" s="24">
        <v>0</v>
      </c>
      <c r="N345" s="28">
        <v>2.1</v>
      </c>
      <c r="O345" s="25">
        <v>57</v>
      </c>
      <c r="P345" s="25">
        <v>1.1000000000000001</v>
      </c>
      <c r="Q345" s="28">
        <v>80</v>
      </c>
      <c r="R345" s="25">
        <v>235</v>
      </c>
      <c r="S345" s="28">
        <v>1</v>
      </c>
      <c r="T345" s="28">
        <v>32</v>
      </c>
      <c r="U345" s="28">
        <v>326</v>
      </c>
      <c r="V345" s="28">
        <v>0.09</v>
      </c>
      <c r="W345" s="28">
        <v>0.24</v>
      </c>
      <c r="X345" s="28">
        <v>3.6</v>
      </c>
      <c r="Y345" s="28">
        <v>10</v>
      </c>
      <c r="Z345" s="28">
        <v>13.54</v>
      </c>
      <c r="AA345" s="25">
        <v>0</v>
      </c>
      <c r="AB345" s="25">
        <v>32</v>
      </c>
      <c r="AC345" s="25">
        <v>15</v>
      </c>
      <c r="AD345" s="28">
        <v>2</v>
      </c>
      <c r="AE345" s="28">
        <v>3.7</v>
      </c>
      <c r="AF345" s="28">
        <v>2.1</v>
      </c>
      <c r="AG345" s="28">
        <v>0</v>
      </c>
      <c r="AH345" s="24">
        <v>60</v>
      </c>
      <c r="AI345" s="28">
        <v>54</v>
      </c>
      <c r="AJ345" s="13" t="str">
        <f xml:space="preserve"> IF(AD345&gt;F345,"Exceso en grasa saturada",IFERROR(IF(F345=0,"No tiene sello",IF((AD345*9)*100/F345&gt;10,"Exceso en grasa saturada","No tiene sello")),"No tiene sello"))</f>
        <v>Exceso en grasa saturada</v>
      </c>
      <c r="AK345" s="13">
        <f>IF(AJ345="No tiene sello",0,1)</f>
        <v>1</v>
      </c>
      <c r="AL345" s="13" t="str">
        <f>IF(Q345&gt;=300,"Exceso en sodio",IFERROR(IF(AND(F345=0,Q345&gt;0),"No tiene sello",IF(Q345/F345&gt;1,"Exceso en sodio","No tiene sello")),"No tiene sello"))</f>
        <v>No tiene sello</v>
      </c>
      <c r="AM345" s="13" t="str">
        <f>IFERROR(IF(F345=0,"No tiene sello",IF(+(AG345/1000)*9*100/F345&gt;1,"Exceso en grasa trans", "No tiene sello")),"No tiene sello")</f>
        <v>No tiene sello</v>
      </c>
    </row>
    <row r="346" spans="1:39" ht="13.5" customHeight="1" x14ac:dyDescent="0.25">
      <c r="A346" s="29" t="s">
        <v>972</v>
      </c>
      <c r="B346" s="29" t="s">
        <v>973</v>
      </c>
      <c r="C346" s="30"/>
      <c r="D346" s="46">
        <v>100</v>
      </c>
      <c r="E346" s="31">
        <v>61.4</v>
      </c>
      <c r="F346" s="24">
        <v>211</v>
      </c>
      <c r="G346" s="31">
        <v>881</v>
      </c>
      <c r="H346" s="24">
        <v>25.5</v>
      </c>
      <c r="I346" s="24">
        <v>12.1</v>
      </c>
      <c r="J346" s="24">
        <v>0</v>
      </c>
      <c r="K346" s="31">
        <v>0</v>
      </c>
      <c r="L346" s="31">
        <v>0</v>
      </c>
      <c r="M346" s="24">
        <v>0</v>
      </c>
      <c r="N346" s="31">
        <v>1.5</v>
      </c>
      <c r="O346" s="31">
        <v>8</v>
      </c>
      <c r="P346" s="31">
        <v>1.5</v>
      </c>
      <c r="Q346" s="31">
        <v>391</v>
      </c>
      <c r="R346" s="31">
        <v>250</v>
      </c>
      <c r="S346" s="31">
        <v>0.5</v>
      </c>
      <c r="T346" s="31">
        <v>34</v>
      </c>
      <c r="U346" s="31">
        <v>212</v>
      </c>
      <c r="V346" s="31">
        <v>0.02</v>
      </c>
      <c r="W346" s="31">
        <v>0.08</v>
      </c>
      <c r="X346" s="31">
        <v>12.3</v>
      </c>
      <c r="Y346" s="31">
        <v>5</v>
      </c>
      <c r="Z346" s="31">
        <v>2.2000000000000002</v>
      </c>
      <c r="AA346" s="31">
        <v>0</v>
      </c>
      <c r="AB346" s="31">
        <v>5</v>
      </c>
      <c r="AC346" s="31">
        <v>5</v>
      </c>
      <c r="AD346" s="31">
        <v>1.8</v>
      </c>
      <c r="AE346" s="31">
        <v>3.6</v>
      </c>
      <c r="AF346" s="31">
        <v>5.5</v>
      </c>
      <c r="AG346" s="31">
        <v>0</v>
      </c>
      <c r="AH346" s="31">
        <v>40</v>
      </c>
      <c r="AI346" s="31">
        <v>100</v>
      </c>
      <c r="AJ346" s="13" t="str">
        <f xml:space="preserve"> IF(AD346&gt;F346,"Exceso en grasa saturada",IFERROR(IF(F346=0,"No tiene sello",IF((AD346*9)*100/F346&gt;10,"Exceso en grasa saturada","No tiene sello")),"No tiene sello"))</f>
        <v>No tiene sello</v>
      </c>
      <c r="AK346" s="13">
        <f>IF(AJ346="No tiene sello",0,1)</f>
        <v>0</v>
      </c>
      <c r="AL346" s="13" t="str">
        <f>IF(Q346&gt;=300,"Exceso en sodio",IFERROR(IF(AND(F346=0,Q346&gt;0),"No tiene sello",IF(Q346/F346&gt;1,"Exceso en sodio","No tiene sello")),"No tiene sello"))</f>
        <v>Exceso en sodio</v>
      </c>
      <c r="AM346" s="13" t="str">
        <f>IFERROR(IF(F346=0,"No tiene sello",IF(+(AG346/1000)*9*100/F346&gt;1,"Exceso en grasa trans", "No tiene sello")),"No tiene sello")</f>
        <v>No tiene sello</v>
      </c>
    </row>
    <row r="347" spans="1:39" ht="13.5" customHeight="1" x14ac:dyDescent="0.25">
      <c r="A347" s="33" t="s">
        <v>970</v>
      </c>
      <c r="B347" s="33" t="s">
        <v>971</v>
      </c>
      <c r="C347" s="34"/>
      <c r="D347" s="47">
        <v>100</v>
      </c>
      <c r="E347" s="35">
        <v>70</v>
      </c>
      <c r="F347" s="24">
        <v>127</v>
      </c>
      <c r="G347" s="35">
        <v>537</v>
      </c>
      <c r="H347" s="24">
        <v>24.2</v>
      </c>
      <c r="I347" s="24">
        <v>3</v>
      </c>
      <c r="J347" s="24">
        <v>0.9</v>
      </c>
      <c r="K347" s="35">
        <v>0</v>
      </c>
      <c r="L347" s="35">
        <v>0.09</v>
      </c>
      <c r="M347" s="24">
        <v>0</v>
      </c>
      <c r="N347" s="35">
        <v>1.9</v>
      </c>
      <c r="O347" s="35">
        <v>14</v>
      </c>
      <c r="P347" s="25">
        <v>1</v>
      </c>
      <c r="Q347" s="35">
        <v>377</v>
      </c>
      <c r="R347" s="35">
        <v>219</v>
      </c>
      <c r="S347" s="35">
        <v>0.5</v>
      </c>
      <c r="T347" s="35">
        <v>33</v>
      </c>
      <c r="U347" s="35">
        <v>237</v>
      </c>
      <c r="V347" s="35">
        <v>0.02</v>
      </c>
      <c r="W347" s="35">
        <v>0.05</v>
      </c>
      <c r="X347" s="35">
        <v>5.8</v>
      </c>
      <c r="Y347" s="35">
        <v>2</v>
      </c>
      <c r="Z347" s="35">
        <v>1.17</v>
      </c>
      <c r="AA347" s="35">
        <v>0</v>
      </c>
      <c r="AB347" s="35">
        <v>6</v>
      </c>
      <c r="AC347" s="35">
        <v>4.2</v>
      </c>
      <c r="AD347" s="35">
        <v>0.8</v>
      </c>
      <c r="AE347" s="35">
        <v>0.8</v>
      </c>
      <c r="AF347" s="35">
        <v>1.1000000000000001</v>
      </c>
      <c r="AG347" s="35">
        <v>0</v>
      </c>
      <c r="AH347" s="24">
        <v>42</v>
      </c>
      <c r="AI347" s="35">
        <v>100</v>
      </c>
      <c r="AJ347" s="13" t="str">
        <f xml:space="preserve"> IF(AD347&gt;F347,"Exceso en grasa saturada",IFERROR(IF(F347=0,"No tiene sello",IF((AD347*9)*100/F347&gt;10,"Exceso en grasa saturada","No tiene sello")),"No tiene sello"))</f>
        <v>No tiene sello</v>
      </c>
      <c r="AK347" s="13">
        <f>IF(AJ347="No tiene sello",0,1)</f>
        <v>0</v>
      </c>
      <c r="AL347" s="13" t="str">
        <f>IF(Q347&gt;=300,"Exceso en sodio",IFERROR(IF(AND(F347=0,Q347&gt;0),"No tiene sello",IF(Q347/F347&gt;1,"Exceso en sodio","No tiene sello")),"No tiene sello"))</f>
        <v>Exceso en sodio</v>
      </c>
      <c r="AM347" s="13" t="str">
        <f>IFERROR(IF(F347=0,"No tiene sello",IF(+(AG347/1000)*9*100/F347&gt;1,"Exceso en grasa trans", "No tiene sello")),"No tiene sello")</f>
        <v>No tiene sello</v>
      </c>
    </row>
    <row r="348" spans="1:39" ht="13.5" customHeight="1" x14ac:dyDescent="0.25">
      <c r="A348" s="20" t="s">
        <v>968</v>
      </c>
      <c r="B348" s="20" t="s">
        <v>969</v>
      </c>
      <c r="C348" s="20" t="s">
        <v>920</v>
      </c>
      <c r="D348" s="46">
        <v>100</v>
      </c>
      <c r="E348" s="23">
        <v>72.5</v>
      </c>
      <c r="F348" s="24">
        <v>165</v>
      </c>
      <c r="G348" s="23">
        <v>685</v>
      </c>
      <c r="H348" s="24">
        <v>15.5</v>
      </c>
      <c r="I348" s="24">
        <v>11.4</v>
      </c>
      <c r="J348" s="24">
        <v>0</v>
      </c>
      <c r="K348" s="23">
        <v>0</v>
      </c>
      <c r="L348" s="23">
        <v>0</v>
      </c>
      <c r="M348" s="24">
        <v>0</v>
      </c>
      <c r="N348" s="23">
        <v>0.8</v>
      </c>
      <c r="O348" s="25">
        <v>8</v>
      </c>
      <c r="P348" s="25">
        <v>0.6</v>
      </c>
      <c r="Q348" s="23">
        <v>98</v>
      </c>
      <c r="R348" s="25">
        <v>200</v>
      </c>
      <c r="S348" s="23">
        <v>0.5</v>
      </c>
      <c r="T348" s="23">
        <v>19</v>
      </c>
      <c r="U348" s="23">
        <v>302</v>
      </c>
      <c r="V348" s="23">
        <v>0.02</v>
      </c>
      <c r="W348" s="23">
        <v>0.1</v>
      </c>
      <c r="X348" s="23">
        <v>2</v>
      </c>
      <c r="Y348" s="23">
        <v>10</v>
      </c>
      <c r="Z348" s="23">
        <v>2.88</v>
      </c>
      <c r="AA348" s="25">
        <v>0</v>
      </c>
      <c r="AB348" s="25">
        <v>0</v>
      </c>
      <c r="AC348" s="25">
        <v>5</v>
      </c>
      <c r="AD348" s="23">
        <v>1.3</v>
      </c>
      <c r="AE348" s="23">
        <v>2.6</v>
      </c>
      <c r="AF348" s="23">
        <v>1.1000000000000001</v>
      </c>
      <c r="AG348" s="23">
        <v>0</v>
      </c>
      <c r="AH348" s="24">
        <v>55</v>
      </c>
      <c r="AI348" s="23">
        <v>85</v>
      </c>
      <c r="AJ348" s="13" t="str">
        <f xml:space="preserve"> IF(AD348&gt;F348,"Exceso en grasa saturada",IFERROR(IF(F348=0,"No tiene sello",IF((AD348*9)*100/F348&gt;10,"Exceso en grasa saturada","No tiene sello")),"No tiene sello"))</f>
        <v>No tiene sello</v>
      </c>
      <c r="AK348" s="13">
        <f>IF(AJ348="No tiene sello",0,1)</f>
        <v>0</v>
      </c>
      <c r="AL348" s="13" t="str">
        <f>IF(Q348&gt;=300,"Exceso en sodio",IFERROR(IF(AND(F348=0,Q348&gt;0),"No tiene sello",IF(Q348/F348&gt;1,"Exceso en sodio","No tiene sello")),"No tiene sello"))</f>
        <v>No tiene sello</v>
      </c>
      <c r="AM348" s="13" t="str">
        <f>IFERROR(IF(F348=0,"No tiene sello",IF(+(AG348/1000)*9*100/F348&gt;1,"Exceso en grasa trans", "No tiene sello")),"No tiene sello")</f>
        <v>No tiene sello</v>
      </c>
    </row>
    <row r="349" spans="1:39" ht="13.5" customHeight="1" x14ac:dyDescent="0.25">
      <c r="A349" s="26" t="s">
        <v>966</v>
      </c>
      <c r="B349" s="26" t="s">
        <v>967</v>
      </c>
      <c r="C349" s="27"/>
      <c r="D349" s="47">
        <v>100</v>
      </c>
      <c r="E349" s="28">
        <v>74.7</v>
      </c>
      <c r="F349" s="24">
        <v>138</v>
      </c>
      <c r="G349" s="28">
        <v>576</v>
      </c>
      <c r="H349" s="24">
        <v>18.2</v>
      </c>
      <c r="I349" s="24">
        <v>7.2</v>
      </c>
      <c r="J349" s="24">
        <v>0</v>
      </c>
      <c r="K349" s="28">
        <v>0</v>
      </c>
      <c r="L349" s="28">
        <v>0</v>
      </c>
      <c r="M349" s="24">
        <v>0</v>
      </c>
      <c r="N349" s="28">
        <v>1.1000000000000001</v>
      </c>
      <c r="O349" s="25">
        <v>15</v>
      </c>
      <c r="P349" s="25">
        <v>0.5</v>
      </c>
      <c r="Q349" s="28">
        <v>101</v>
      </c>
      <c r="R349" s="25">
        <v>200</v>
      </c>
      <c r="S349" s="28">
        <v>0.6</v>
      </c>
      <c r="T349" s="28">
        <v>24</v>
      </c>
      <c r="U349" s="28">
        <v>301</v>
      </c>
      <c r="V349" s="28">
        <v>0.04</v>
      </c>
      <c r="W349" s="28">
        <v>0.08</v>
      </c>
      <c r="X349" s="28">
        <v>2.2999999999999998</v>
      </c>
      <c r="Y349" s="28">
        <v>12</v>
      </c>
      <c r="Z349" s="28">
        <v>2</v>
      </c>
      <c r="AA349" s="25">
        <v>0</v>
      </c>
      <c r="AB349" s="25">
        <v>1</v>
      </c>
      <c r="AC349" s="25">
        <v>5</v>
      </c>
      <c r="AD349" s="28">
        <v>1.6</v>
      </c>
      <c r="AE349" s="28">
        <v>3.1</v>
      </c>
      <c r="AF349" s="28">
        <v>1.4</v>
      </c>
      <c r="AG349" s="28">
        <v>0</v>
      </c>
      <c r="AH349" s="24">
        <v>66</v>
      </c>
      <c r="AI349" s="28">
        <v>66</v>
      </c>
      <c r="AJ349" s="13" t="str">
        <f xml:space="preserve"> IF(AD349&gt;F349,"Exceso en grasa saturada",IFERROR(IF(F349=0,"No tiene sello",IF((AD349*9)*100/F349&gt;10,"Exceso en grasa saturada","No tiene sello")),"No tiene sello"))</f>
        <v>Exceso en grasa saturada</v>
      </c>
      <c r="AK349" s="13">
        <f>IF(AJ349="No tiene sello",0,1)</f>
        <v>1</v>
      </c>
      <c r="AL349" s="13" t="str">
        <f>IF(Q349&gt;=300,"Exceso en sodio",IFERROR(IF(AND(F349=0,Q349&gt;0),"No tiene sello",IF(Q349/F349&gt;1,"Exceso en sodio","No tiene sello")),"No tiene sello"))</f>
        <v>No tiene sello</v>
      </c>
      <c r="AM349" s="13" t="str">
        <f>IFERROR(IF(F349=0,"No tiene sello",IF(+(AG349/1000)*9*100/F349&gt;1,"Exceso en grasa trans", "No tiene sello")),"No tiene sello")</f>
        <v>No tiene sello</v>
      </c>
    </row>
    <row r="350" spans="1:39" ht="13.5" customHeight="1" x14ac:dyDescent="0.25">
      <c r="A350" s="20" t="s">
        <v>964</v>
      </c>
      <c r="B350" s="20" t="s">
        <v>965</v>
      </c>
      <c r="C350" s="20" t="s">
        <v>920</v>
      </c>
      <c r="D350" s="46">
        <v>100</v>
      </c>
      <c r="E350" s="23">
        <v>78.7</v>
      </c>
      <c r="F350" s="24">
        <v>93</v>
      </c>
      <c r="G350" s="23">
        <v>390</v>
      </c>
      <c r="H350" s="24">
        <v>17.5</v>
      </c>
      <c r="I350" s="24">
        <v>2.4</v>
      </c>
      <c r="J350" s="24">
        <v>0.2</v>
      </c>
      <c r="K350" s="23">
        <v>0</v>
      </c>
      <c r="L350" s="23">
        <v>0.02</v>
      </c>
      <c r="M350" s="24">
        <v>0</v>
      </c>
      <c r="N350" s="23">
        <v>1.2</v>
      </c>
      <c r="O350" s="25">
        <v>19</v>
      </c>
      <c r="P350" s="25">
        <v>1.9</v>
      </c>
      <c r="Q350" s="23">
        <v>83</v>
      </c>
      <c r="R350" s="25">
        <v>201</v>
      </c>
      <c r="S350" s="23">
        <v>0.6</v>
      </c>
      <c r="T350" s="23">
        <v>27</v>
      </c>
      <c r="U350" s="23">
        <v>279</v>
      </c>
      <c r="V350" s="23">
        <v>0.19</v>
      </c>
      <c r="W350" s="23">
        <v>0.08</v>
      </c>
      <c r="X350" s="23">
        <v>2</v>
      </c>
      <c r="Y350" s="23">
        <v>5</v>
      </c>
      <c r="Z350" s="23">
        <v>2.09</v>
      </c>
      <c r="AA350" s="25">
        <v>0</v>
      </c>
      <c r="AB350" s="25">
        <v>15</v>
      </c>
      <c r="AC350" s="25">
        <v>5</v>
      </c>
      <c r="AD350" s="23">
        <v>0.4</v>
      </c>
      <c r="AE350" s="23">
        <v>0.8</v>
      </c>
      <c r="AF350" s="23">
        <v>0.8</v>
      </c>
      <c r="AG350" s="23">
        <v>0</v>
      </c>
      <c r="AH350" s="24">
        <v>46</v>
      </c>
      <c r="AI350" s="23">
        <v>92</v>
      </c>
      <c r="AJ350" s="13" t="str">
        <f xml:space="preserve"> IF(AD350&gt;F350,"Exceso en grasa saturada",IFERROR(IF(F350=0,"No tiene sello",IF((AD350*9)*100/F350&gt;10,"Exceso en grasa saturada","No tiene sello")),"No tiene sello"))</f>
        <v>No tiene sello</v>
      </c>
      <c r="AK350" s="13">
        <f>IF(AJ350="No tiene sello",0,1)</f>
        <v>0</v>
      </c>
      <c r="AL350" s="13" t="str">
        <f>IF(Q350&gt;=300,"Exceso en sodio",IFERROR(IF(AND(F350=0,Q350&gt;0),"No tiene sello",IF(Q350/F350&gt;1,"Exceso en sodio","No tiene sello")),"No tiene sello"))</f>
        <v>No tiene sello</v>
      </c>
      <c r="AM350" s="13" t="str">
        <f>IFERROR(IF(F350=0,"No tiene sello",IF(+(AG350/1000)*9*100/F350&gt;1,"Exceso en grasa trans", "No tiene sello")),"No tiene sello")</f>
        <v>No tiene sello</v>
      </c>
    </row>
    <row r="351" spans="1:39" ht="13.5" customHeight="1" x14ac:dyDescent="0.25">
      <c r="A351" s="26" t="s">
        <v>962</v>
      </c>
      <c r="B351" s="26" t="s">
        <v>963</v>
      </c>
      <c r="C351" s="26" t="s">
        <v>920</v>
      </c>
      <c r="D351" s="47">
        <v>100</v>
      </c>
      <c r="E351" s="28">
        <v>76.900000000000006</v>
      </c>
      <c r="F351" s="24">
        <v>118</v>
      </c>
      <c r="G351" s="28">
        <v>494</v>
      </c>
      <c r="H351" s="24">
        <v>15.5</v>
      </c>
      <c r="I351" s="24">
        <v>5.9</v>
      </c>
      <c r="J351" s="24">
        <v>0.7</v>
      </c>
      <c r="K351" s="28">
        <v>0</v>
      </c>
      <c r="L351" s="28">
        <v>7.0000000000000007E-2</v>
      </c>
      <c r="M351" s="24">
        <v>0</v>
      </c>
      <c r="N351" s="28">
        <v>1</v>
      </c>
      <c r="O351" s="25">
        <v>8</v>
      </c>
      <c r="P351" s="25">
        <v>0.2</v>
      </c>
      <c r="Q351" s="28">
        <v>98</v>
      </c>
      <c r="R351" s="25">
        <v>204</v>
      </c>
      <c r="S351" s="28">
        <v>0.5</v>
      </c>
      <c r="T351" s="28">
        <v>19</v>
      </c>
      <c r="U351" s="28">
        <v>302</v>
      </c>
      <c r="V351" s="28">
        <v>0.02</v>
      </c>
      <c r="W351" s="28">
        <v>0.08</v>
      </c>
      <c r="X351" s="28">
        <v>2.1</v>
      </c>
      <c r="Y351" s="28">
        <v>10</v>
      </c>
      <c r="Z351" s="28">
        <v>2.88</v>
      </c>
      <c r="AA351" s="25">
        <v>0</v>
      </c>
      <c r="AB351" s="25">
        <v>0</v>
      </c>
      <c r="AC351" s="25">
        <v>5</v>
      </c>
      <c r="AD351" s="28">
        <v>1.3</v>
      </c>
      <c r="AE351" s="28">
        <v>2.6</v>
      </c>
      <c r="AF351" s="28">
        <v>1.1000000000000001</v>
      </c>
      <c r="AG351" s="28">
        <v>0</v>
      </c>
      <c r="AH351" s="24">
        <v>55</v>
      </c>
      <c r="AI351" s="28">
        <v>92</v>
      </c>
      <c r="AJ351" s="13" t="str">
        <f xml:space="preserve"> IF(AD351&gt;F351,"Exceso en grasa saturada",IFERROR(IF(F351=0,"No tiene sello",IF((AD351*9)*100/F351&gt;10,"Exceso en grasa saturada","No tiene sello")),"No tiene sello"))</f>
        <v>No tiene sello</v>
      </c>
      <c r="AK351" s="13">
        <f>IF(AJ351="No tiene sello",0,1)</f>
        <v>0</v>
      </c>
      <c r="AL351" s="13" t="str">
        <f>IF(Q351&gt;=300,"Exceso en sodio",IFERROR(IF(AND(F351=0,Q351&gt;0),"No tiene sello",IF(Q351/F351&gt;1,"Exceso en sodio","No tiene sello")),"No tiene sello"))</f>
        <v>No tiene sello</v>
      </c>
      <c r="AM351" s="13" t="str">
        <f>IFERROR(IF(F351=0,"No tiene sello",IF(+(AG351/1000)*9*100/F351&gt;1,"Exceso en grasa trans", "No tiene sello")),"No tiene sello")</f>
        <v>No tiene sello</v>
      </c>
    </row>
    <row r="352" spans="1:39" ht="13.5" customHeight="1" x14ac:dyDescent="0.25">
      <c r="A352" s="20" t="s">
        <v>960</v>
      </c>
      <c r="B352" s="20" t="s">
        <v>961</v>
      </c>
      <c r="C352" s="21"/>
      <c r="D352" s="46">
        <v>100</v>
      </c>
      <c r="E352" s="23">
        <v>72.3</v>
      </c>
      <c r="F352" s="24">
        <v>138</v>
      </c>
      <c r="G352" s="23">
        <v>578</v>
      </c>
      <c r="H352" s="24">
        <v>20.100000000000001</v>
      </c>
      <c r="I352" s="24">
        <v>6.4</v>
      </c>
      <c r="J352" s="24">
        <v>0</v>
      </c>
      <c r="K352" s="23">
        <v>0</v>
      </c>
      <c r="L352" s="23">
        <v>0</v>
      </c>
      <c r="M352" s="24">
        <v>0</v>
      </c>
      <c r="N352" s="23">
        <v>1.2</v>
      </c>
      <c r="O352" s="25">
        <v>76</v>
      </c>
      <c r="P352" s="25">
        <v>0.9</v>
      </c>
      <c r="Q352" s="23">
        <v>97</v>
      </c>
      <c r="R352" s="25">
        <v>166</v>
      </c>
      <c r="S352" s="23">
        <v>0.8</v>
      </c>
      <c r="T352" s="23">
        <v>22</v>
      </c>
      <c r="U352" s="23">
        <v>266</v>
      </c>
      <c r="V352" s="23">
        <v>0.06</v>
      </c>
      <c r="W352" s="23">
        <v>0.13</v>
      </c>
      <c r="X352" s="23">
        <v>24.5</v>
      </c>
      <c r="Y352" s="23">
        <v>0</v>
      </c>
      <c r="Z352" s="23">
        <v>0</v>
      </c>
      <c r="AA352" s="25">
        <v>0</v>
      </c>
      <c r="AB352" s="25">
        <v>88</v>
      </c>
      <c r="AC352" s="25">
        <v>8</v>
      </c>
      <c r="AD352" s="23">
        <v>3.2</v>
      </c>
      <c r="AE352" s="23">
        <v>1.3</v>
      </c>
      <c r="AF352" s="23">
        <v>0.7</v>
      </c>
      <c r="AG352" s="23">
        <v>0</v>
      </c>
      <c r="AH352" s="24">
        <v>105</v>
      </c>
      <c r="AI352" s="23">
        <v>51</v>
      </c>
      <c r="AJ352" s="13" t="str">
        <f xml:space="preserve"> IF(AD352&gt;F352,"Exceso en grasa saturada",IFERROR(IF(F352=0,"No tiene sello",IF((AD352*9)*100/F352&gt;10,"Exceso en grasa saturada","No tiene sello")),"No tiene sello"))</f>
        <v>Exceso en grasa saturada</v>
      </c>
      <c r="AK352" s="13">
        <f>IF(AJ352="No tiene sello",0,1)</f>
        <v>1</v>
      </c>
      <c r="AL352" s="13" t="str">
        <f>IF(Q352&gt;=300,"Exceso en sodio",IFERROR(IF(AND(F352=0,Q352&gt;0),"No tiene sello",IF(Q352/F352&gt;1,"Exceso en sodio","No tiene sello")),"No tiene sello"))</f>
        <v>No tiene sello</v>
      </c>
      <c r="AM352" s="13" t="str">
        <f>IFERROR(IF(F352=0,"No tiene sello",IF(+(AG352/1000)*9*100/F352&gt;1,"Exceso en grasa trans", "No tiene sello")),"No tiene sello")</f>
        <v>No tiene sello</v>
      </c>
    </row>
    <row r="353" spans="1:39" ht="13.5" customHeight="1" x14ac:dyDescent="0.25">
      <c r="A353" s="26" t="s">
        <v>958</v>
      </c>
      <c r="B353" s="26" t="s">
        <v>959</v>
      </c>
      <c r="C353" s="26" t="s">
        <v>920</v>
      </c>
      <c r="D353" s="47">
        <v>100</v>
      </c>
      <c r="E353" s="28">
        <v>76.599999999999994</v>
      </c>
      <c r="F353" s="24">
        <v>96</v>
      </c>
      <c r="G353" s="28">
        <v>408</v>
      </c>
      <c r="H353" s="24">
        <v>20.2</v>
      </c>
      <c r="I353" s="24">
        <v>1.5</v>
      </c>
      <c r="J353" s="24">
        <v>0.5</v>
      </c>
      <c r="K353" s="28">
        <v>0</v>
      </c>
      <c r="L353" s="28">
        <v>0.05</v>
      </c>
      <c r="M353" s="24">
        <v>0</v>
      </c>
      <c r="N353" s="28">
        <v>1.2</v>
      </c>
      <c r="O353" s="25">
        <v>24</v>
      </c>
      <c r="P353" s="25">
        <v>2.1</v>
      </c>
      <c r="Q353" s="28">
        <v>0</v>
      </c>
      <c r="R353" s="25">
        <v>255</v>
      </c>
      <c r="S353" s="28">
        <v>0</v>
      </c>
      <c r="T353" s="28">
        <v>0</v>
      </c>
      <c r="U353" s="28">
        <v>0</v>
      </c>
      <c r="V353" s="28">
        <v>0</v>
      </c>
      <c r="W353" s="28">
        <v>0.08</v>
      </c>
      <c r="X353" s="28">
        <v>3</v>
      </c>
      <c r="Y353" s="28">
        <v>0</v>
      </c>
      <c r="Z353" s="28">
        <v>0</v>
      </c>
      <c r="AA353" s="25">
        <v>0</v>
      </c>
      <c r="AB353" s="25">
        <v>0</v>
      </c>
      <c r="AC353" s="25">
        <v>8</v>
      </c>
      <c r="AD353" s="28">
        <v>0</v>
      </c>
      <c r="AE353" s="28">
        <v>0</v>
      </c>
      <c r="AF353" s="28">
        <v>0</v>
      </c>
      <c r="AG353" s="28">
        <v>0</v>
      </c>
      <c r="AH353" s="24">
        <v>0</v>
      </c>
      <c r="AI353" s="28">
        <v>64</v>
      </c>
      <c r="AJ353" s="13" t="str">
        <f xml:space="preserve"> IF(AD353&gt;F353,"Exceso en grasa saturada",IFERROR(IF(F353=0,"No tiene sello",IF((AD353*9)*100/F353&gt;10,"Exceso en grasa saturada","No tiene sello")),"No tiene sello"))</f>
        <v>No tiene sello</v>
      </c>
      <c r="AK353" s="13">
        <f>IF(AJ353="No tiene sello",0,1)</f>
        <v>0</v>
      </c>
      <c r="AL353" s="13" t="str">
        <f>IF(Q353&gt;=300,"Exceso en sodio",IFERROR(IF(AND(F353=0,Q353&gt;0),"No tiene sello",IF(Q353/F353&gt;1,"Exceso en sodio","No tiene sello")),"No tiene sello"))</f>
        <v>No tiene sello</v>
      </c>
      <c r="AM353" s="13" t="str">
        <f>IFERROR(IF(F353=0,"No tiene sello",IF(+(AG353/1000)*9*100/F353&gt;1,"Exceso en grasa trans", "No tiene sello")),"No tiene sello")</f>
        <v>No tiene sello</v>
      </c>
    </row>
    <row r="354" spans="1:39" ht="13.5" customHeight="1" x14ac:dyDescent="0.25">
      <c r="A354" s="20" t="s">
        <v>956</v>
      </c>
      <c r="B354" s="20" t="s">
        <v>957</v>
      </c>
      <c r="C354" s="20" t="s">
        <v>920</v>
      </c>
      <c r="D354" s="46">
        <v>100</v>
      </c>
      <c r="E354" s="23">
        <v>78.8</v>
      </c>
      <c r="F354" s="24">
        <v>126</v>
      </c>
      <c r="G354" s="23">
        <v>526</v>
      </c>
      <c r="H354" s="24">
        <v>17</v>
      </c>
      <c r="I354" s="24">
        <v>6.4</v>
      </c>
      <c r="J354" s="24">
        <v>0</v>
      </c>
      <c r="K354" s="23">
        <v>0</v>
      </c>
      <c r="L354" s="23">
        <v>0</v>
      </c>
      <c r="M354" s="24">
        <v>0</v>
      </c>
      <c r="N354" s="23">
        <v>1.1000000000000001</v>
      </c>
      <c r="O354" s="25">
        <v>50</v>
      </c>
      <c r="P354" s="25">
        <v>2.5</v>
      </c>
      <c r="Q354" s="23">
        <v>0</v>
      </c>
      <c r="R354" s="25">
        <v>200</v>
      </c>
      <c r="S354" s="23">
        <v>0</v>
      </c>
      <c r="T354" s="23">
        <v>0</v>
      </c>
      <c r="U354" s="23">
        <v>0</v>
      </c>
      <c r="V354" s="23">
        <v>0</v>
      </c>
      <c r="W354" s="23">
        <v>0.08</v>
      </c>
      <c r="X354" s="23">
        <v>3</v>
      </c>
      <c r="Y354" s="23">
        <v>0</v>
      </c>
      <c r="Z354" s="23">
        <v>0</v>
      </c>
      <c r="AA354" s="25">
        <v>0</v>
      </c>
      <c r="AB354" s="25">
        <v>0</v>
      </c>
      <c r="AC354" s="25">
        <v>8</v>
      </c>
      <c r="AD354" s="23">
        <v>0</v>
      </c>
      <c r="AE354" s="23">
        <v>0</v>
      </c>
      <c r="AF354" s="23">
        <v>0</v>
      </c>
      <c r="AG354" s="23">
        <v>0</v>
      </c>
      <c r="AH354" s="24">
        <v>0</v>
      </c>
      <c r="AI354" s="23">
        <v>70</v>
      </c>
      <c r="AJ354" s="13" t="str">
        <f xml:space="preserve"> IF(AD354&gt;F354,"Exceso en grasa saturada",IFERROR(IF(F354=0,"No tiene sello",IF((AD354*9)*100/F354&gt;10,"Exceso en grasa saturada","No tiene sello")),"No tiene sello"))</f>
        <v>No tiene sello</v>
      </c>
      <c r="AK354" s="13">
        <f>IF(AJ354="No tiene sello",0,1)</f>
        <v>0</v>
      </c>
      <c r="AL354" s="13" t="str">
        <f>IF(Q354&gt;=300,"Exceso en sodio",IFERROR(IF(AND(F354=0,Q354&gt;0),"No tiene sello",IF(Q354/F354&gt;1,"Exceso en sodio","No tiene sello")),"No tiene sello"))</f>
        <v>No tiene sello</v>
      </c>
      <c r="AM354" s="13" t="str">
        <f>IFERROR(IF(F354=0,"No tiene sello",IF(+(AG354/1000)*9*100/F354&gt;1,"Exceso en grasa trans", "No tiene sello")),"No tiene sello")</f>
        <v>No tiene sello</v>
      </c>
    </row>
    <row r="355" spans="1:39" ht="13.5" customHeight="1" x14ac:dyDescent="0.25">
      <c r="A355" s="26" t="s">
        <v>954</v>
      </c>
      <c r="B355" s="26" t="s">
        <v>955</v>
      </c>
      <c r="C355" s="26" t="s">
        <v>920</v>
      </c>
      <c r="D355" s="47">
        <v>100</v>
      </c>
      <c r="E355" s="28">
        <v>70.599999999999994</v>
      </c>
      <c r="F355" s="24">
        <v>134</v>
      </c>
      <c r="G355" s="28">
        <v>564</v>
      </c>
      <c r="H355" s="24">
        <v>24</v>
      </c>
      <c r="I355" s="24">
        <v>4.2</v>
      </c>
      <c r="J355" s="24">
        <v>0</v>
      </c>
      <c r="K355" s="28">
        <v>0</v>
      </c>
      <c r="L355" s="28">
        <v>0</v>
      </c>
      <c r="M355" s="24">
        <v>0</v>
      </c>
      <c r="N355" s="28">
        <v>1.2</v>
      </c>
      <c r="O355" s="25">
        <v>27</v>
      </c>
      <c r="P355" s="25">
        <v>3.1</v>
      </c>
      <c r="Q355" s="28">
        <v>40</v>
      </c>
      <c r="R355" s="25">
        <v>258</v>
      </c>
      <c r="S355" s="28">
        <v>0.3</v>
      </c>
      <c r="T355" s="28">
        <v>0</v>
      </c>
      <c r="U355" s="28">
        <v>293</v>
      </c>
      <c r="V355" s="28">
        <v>0.02</v>
      </c>
      <c r="W355" s="28">
        <v>0.06</v>
      </c>
      <c r="X355" s="28">
        <v>12.8</v>
      </c>
      <c r="Y355" s="28">
        <v>0</v>
      </c>
      <c r="Z355" s="28">
        <v>0</v>
      </c>
      <c r="AA355" s="25">
        <v>0</v>
      </c>
      <c r="AB355" s="25">
        <v>0</v>
      </c>
      <c r="AC355" s="25">
        <v>10</v>
      </c>
      <c r="AD355" s="28">
        <v>0</v>
      </c>
      <c r="AE355" s="28">
        <v>0</v>
      </c>
      <c r="AF355" s="28">
        <v>0</v>
      </c>
      <c r="AG355" s="28">
        <v>0</v>
      </c>
      <c r="AH355" s="24">
        <v>0</v>
      </c>
      <c r="AI355" s="28">
        <v>51</v>
      </c>
      <c r="AJ355" s="13" t="str">
        <f xml:space="preserve"> IF(AD355&gt;F355,"Exceso en grasa saturada",IFERROR(IF(F355=0,"No tiene sello",IF((AD355*9)*100/F355&gt;10,"Exceso en grasa saturada","No tiene sello")),"No tiene sello"))</f>
        <v>No tiene sello</v>
      </c>
      <c r="AK355" s="13">
        <f>IF(AJ355="No tiene sello",0,1)</f>
        <v>0</v>
      </c>
      <c r="AL355" s="13" t="str">
        <f>IF(Q355&gt;=300,"Exceso en sodio",IFERROR(IF(AND(F355=0,Q355&gt;0),"No tiene sello",IF(Q355/F355&gt;1,"Exceso en sodio","No tiene sello")),"No tiene sello"))</f>
        <v>No tiene sello</v>
      </c>
      <c r="AM355" s="13" t="str">
        <f>IFERROR(IF(F355=0,"No tiene sello",IF(+(AG355/1000)*9*100/F355&gt;1,"Exceso en grasa trans", "No tiene sello")),"No tiene sello")</f>
        <v>No tiene sello</v>
      </c>
    </row>
    <row r="356" spans="1:39" ht="13.5" customHeight="1" x14ac:dyDescent="0.25">
      <c r="A356" s="20" t="s">
        <v>952</v>
      </c>
      <c r="B356" s="20" t="s">
        <v>953</v>
      </c>
      <c r="C356" s="21"/>
      <c r="D356" s="46">
        <v>100</v>
      </c>
      <c r="E356" s="23">
        <v>61.1</v>
      </c>
      <c r="F356" s="24">
        <v>254</v>
      </c>
      <c r="G356" s="23">
        <v>1058</v>
      </c>
      <c r="H356" s="24">
        <v>27</v>
      </c>
      <c r="I356" s="24">
        <v>16.2</v>
      </c>
      <c r="J356" s="24">
        <v>0</v>
      </c>
      <c r="K356" s="23">
        <v>0</v>
      </c>
      <c r="L356" s="23">
        <v>0</v>
      </c>
      <c r="M356" s="24">
        <v>0</v>
      </c>
      <c r="N356" s="23">
        <v>2.2000000000000002</v>
      </c>
      <c r="O356" s="25">
        <v>21</v>
      </c>
      <c r="P356" s="25">
        <v>1.2</v>
      </c>
      <c r="Q356" s="23">
        <v>610</v>
      </c>
      <c r="R356" s="25">
        <v>229</v>
      </c>
      <c r="S356" s="23">
        <v>0.5</v>
      </c>
      <c r="T356" s="23">
        <v>36</v>
      </c>
      <c r="U356" s="23">
        <v>460</v>
      </c>
      <c r="V356" s="23">
        <v>0.04</v>
      </c>
      <c r="W356" s="23">
        <v>0.12</v>
      </c>
      <c r="X356" s="23">
        <v>51.8</v>
      </c>
      <c r="Y356" s="23">
        <v>0</v>
      </c>
      <c r="Z356" s="23">
        <v>0</v>
      </c>
      <c r="AA356" s="25">
        <v>0</v>
      </c>
      <c r="AB356" s="25">
        <v>8</v>
      </c>
      <c r="AC356" s="25">
        <v>0</v>
      </c>
      <c r="AD356" s="23">
        <v>10</v>
      </c>
      <c r="AE356" s="23">
        <v>5.8</v>
      </c>
      <c r="AF356" s="23">
        <v>0.4</v>
      </c>
      <c r="AG356" s="23">
        <v>100</v>
      </c>
      <c r="AH356" s="24">
        <v>152</v>
      </c>
      <c r="AI356" s="23">
        <v>83</v>
      </c>
      <c r="AJ356" s="13" t="str">
        <f xml:space="preserve"> IF(AD356&gt;F356,"Exceso en grasa saturada",IFERROR(IF(F356=0,"No tiene sello",IF((AD356*9)*100/F356&gt;10,"Exceso en grasa saturada","No tiene sello")),"No tiene sello"))</f>
        <v>Exceso en grasa saturada</v>
      </c>
      <c r="AK356" s="13">
        <f>IF(AJ356="No tiene sello",0,1)</f>
        <v>1</v>
      </c>
      <c r="AL356" s="13" t="str">
        <f>IF(Q356&gt;=300,"Exceso en sodio",IFERROR(IF(AND(F356=0,Q356&gt;0),"No tiene sello",IF(Q356/F356&gt;1,"Exceso en sodio","No tiene sello")),"No tiene sello"))</f>
        <v>Exceso en sodio</v>
      </c>
      <c r="AM356" s="13" t="str">
        <f>IFERROR(IF(F356=0,"No tiene sello",IF(+(AG356/1000)*9*100/F356&gt;1,"Exceso en grasa trans", "No tiene sello")),"No tiene sello")</f>
        <v>No tiene sello</v>
      </c>
    </row>
    <row r="357" spans="1:39" ht="13.5" customHeight="1" x14ac:dyDescent="0.25">
      <c r="A357" s="26" t="s">
        <v>950</v>
      </c>
      <c r="B357" s="26" t="s">
        <v>951</v>
      </c>
      <c r="C357" s="26" t="s">
        <v>920</v>
      </c>
      <c r="D357" s="16">
        <v>100</v>
      </c>
      <c r="E357" s="28">
        <v>77</v>
      </c>
      <c r="F357" s="24">
        <v>106</v>
      </c>
      <c r="G357" s="28">
        <v>447</v>
      </c>
      <c r="H357" s="24">
        <v>18.100000000000001</v>
      </c>
      <c r="I357" s="24">
        <v>3.8</v>
      </c>
      <c r="J357" s="24">
        <v>0</v>
      </c>
      <c r="K357" s="28">
        <v>0</v>
      </c>
      <c r="L357" s="28">
        <v>0</v>
      </c>
      <c r="M357" s="24">
        <v>0</v>
      </c>
      <c r="N357" s="28">
        <v>1.1000000000000001</v>
      </c>
      <c r="O357" s="25">
        <v>18</v>
      </c>
      <c r="P357" s="25">
        <v>1.4</v>
      </c>
      <c r="Q357" s="28">
        <v>0</v>
      </c>
      <c r="R357" s="25">
        <v>203</v>
      </c>
      <c r="S357" s="28">
        <v>0</v>
      </c>
      <c r="T357" s="28">
        <v>0</v>
      </c>
      <c r="U357" s="28">
        <v>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5">
        <v>0</v>
      </c>
      <c r="AB357" s="25">
        <v>0</v>
      </c>
      <c r="AC357" s="25">
        <v>5</v>
      </c>
      <c r="AD357" s="28">
        <v>0</v>
      </c>
      <c r="AE357" s="28">
        <v>0</v>
      </c>
      <c r="AF357" s="28">
        <v>0</v>
      </c>
      <c r="AG357" s="28">
        <v>0</v>
      </c>
      <c r="AH357" s="24">
        <v>0</v>
      </c>
      <c r="AI357" s="28">
        <v>78</v>
      </c>
      <c r="AJ357" s="13" t="str">
        <f xml:space="preserve"> IF(AD357&gt;F357,"Exceso en grasa saturada",IFERROR(IF(F357=0,"No tiene sello",IF((AD357*9)*100/F357&gt;10,"Exceso en grasa saturada","No tiene sello")),"No tiene sello"))</f>
        <v>No tiene sello</v>
      </c>
      <c r="AK357" s="13">
        <f>IF(AJ357="No tiene sello",0,1)</f>
        <v>0</v>
      </c>
      <c r="AL357" s="13" t="str">
        <f>IF(Q357&gt;=300,"Exceso en sodio",IFERROR(IF(AND(F357=0,Q357&gt;0),"No tiene sello",IF(Q357/F357&gt;1,"Exceso en sodio","No tiene sello")),"No tiene sello"))</f>
        <v>No tiene sello</v>
      </c>
      <c r="AM357" s="13" t="str">
        <f>IFERROR(IF(F357=0,"No tiene sello",IF(+(AG357/1000)*9*100/F357&gt;1,"Exceso en grasa trans", "No tiene sello")),"No tiene sello")</f>
        <v>No tiene sello</v>
      </c>
    </row>
    <row r="358" spans="1:39" ht="13.5" customHeight="1" x14ac:dyDescent="0.25">
      <c r="A358" s="20" t="s">
        <v>948</v>
      </c>
      <c r="B358" s="20" t="s">
        <v>949</v>
      </c>
      <c r="C358" s="21"/>
      <c r="D358" s="22">
        <v>100</v>
      </c>
      <c r="E358" s="23">
        <v>80.5</v>
      </c>
      <c r="F358" s="24">
        <v>79</v>
      </c>
      <c r="G358" s="23">
        <v>336</v>
      </c>
      <c r="H358" s="24">
        <v>16.399999999999999</v>
      </c>
      <c r="I358" s="24">
        <v>1.5</v>
      </c>
      <c r="J358" s="24">
        <v>0.1</v>
      </c>
      <c r="K358" s="23">
        <v>0</v>
      </c>
      <c r="L358" s="23">
        <v>0.01</v>
      </c>
      <c r="M358" s="24">
        <v>0</v>
      </c>
      <c r="N358" s="23">
        <v>1.5</v>
      </c>
      <c r="O358" s="25">
        <v>32</v>
      </c>
      <c r="P358" s="25">
        <v>0.7</v>
      </c>
      <c r="Q358" s="23">
        <v>44</v>
      </c>
      <c r="R358" s="25">
        <v>148</v>
      </c>
      <c r="S358" s="23">
        <v>1.5</v>
      </c>
      <c r="T358" s="23">
        <v>33</v>
      </c>
      <c r="U358" s="23">
        <v>246</v>
      </c>
      <c r="V358" s="23">
        <v>0.02</v>
      </c>
      <c r="W358" s="23">
        <v>0.41</v>
      </c>
      <c r="X358" s="23">
        <v>2.2000000000000002</v>
      </c>
      <c r="Y358" s="23">
        <v>5</v>
      </c>
      <c r="Z358" s="23">
        <v>1.3</v>
      </c>
      <c r="AA358" s="25">
        <v>0</v>
      </c>
      <c r="AB358" s="25">
        <v>10</v>
      </c>
      <c r="AC358" s="25">
        <v>0</v>
      </c>
      <c r="AD358" s="23">
        <v>0.4</v>
      </c>
      <c r="AE358" s="23">
        <v>0.1</v>
      </c>
      <c r="AF358" s="23">
        <v>0.5</v>
      </c>
      <c r="AG358" s="23">
        <v>0</v>
      </c>
      <c r="AH358" s="24">
        <v>233</v>
      </c>
      <c r="AI358" s="23">
        <v>70</v>
      </c>
      <c r="AJ358" s="13" t="str">
        <f xml:space="preserve"> IF(AD358&gt;F358,"Exceso en grasa saturada",IFERROR(IF(F358=0,"No tiene sello",IF((AD358*9)*100/F358&gt;10,"Exceso en grasa saturada","No tiene sello")),"No tiene sello"))</f>
        <v>No tiene sello</v>
      </c>
      <c r="AK358" s="13">
        <f>IF(AJ358="No tiene sello",0,1)</f>
        <v>0</v>
      </c>
      <c r="AL358" s="13" t="str">
        <f>IF(Q358&gt;=300,"Exceso en sodio",IFERROR(IF(AND(F358=0,Q358&gt;0),"No tiene sello",IF(Q358/F358&gt;1,"Exceso en sodio","No tiene sello")),"No tiene sello"))</f>
        <v>No tiene sello</v>
      </c>
      <c r="AM358" s="13" t="str">
        <f>IFERROR(IF(F358=0,"No tiene sello",IF(+(AG358/1000)*9*100/F358&gt;1,"Exceso en grasa trans", "No tiene sello")),"No tiene sello")</f>
        <v>No tiene sello</v>
      </c>
    </row>
    <row r="359" spans="1:39" ht="13.5" customHeight="1" x14ac:dyDescent="0.25">
      <c r="A359" s="26" t="s">
        <v>946</v>
      </c>
      <c r="B359" s="26" t="s">
        <v>947</v>
      </c>
      <c r="C359" s="27"/>
      <c r="D359" s="16">
        <v>100</v>
      </c>
      <c r="E359" s="28">
        <v>74</v>
      </c>
      <c r="F359" s="24">
        <v>103</v>
      </c>
      <c r="G359" s="28">
        <v>436</v>
      </c>
      <c r="H359" s="24">
        <v>23.5</v>
      </c>
      <c r="I359" s="24">
        <v>1</v>
      </c>
      <c r="J359" s="24">
        <v>0</v>
      </c>
      <c r="K359" s="28">
        <v>0</v>
      </c>
      <c r="L359" s="28">
        <v>0</v>
      </c>
      <c r="M359" s="24">
        <v>0</v>
      </c>
      <c r="N359" s="28">
        <v>1.5</v>
      </c>
      <c r="O359" s="25">
        <v>90</v>
      </c>
      <c r="P359" s="25">
        <v>3</v>
      </c>
      <c r="Q359" s="28">
        <v>223</v>
      </c>
      <c r="R359" s="25">
        <v>257</v>
      </c>
      <c r="S359" s="28">
        <v>1.6</v>
      </c>
      <c r="T359" s="28">
        <v>36</v>
      </c>
      <c r="U359" s="28">
        <v>182</v>
      </c>
      <c r="V359" s="28">
        <v>0.01</v>
      </c>
      <c r="W359" s="28">
        <v>0.03</v>
      </c>
      <c r="X359" s="28">
        <v>2</v>
      </c>
      <c r="Y359" s="28">
        <v>4</v>
      </c>
      <c r="Z359" s="28">
        <v>1.49</v>
      </c>
      <c r="AA359" s="25">
        <v>0</v>
      </c>
      <c r="AB359" s="25">
        <v>68</v>
      </c>
      <c r="AC359" s="25">
        <v>0</v>
      </c>
      <c r="AD359" s="28">
        <v>0.3</v>
      </c>
      <c r="AE359" s="28">
        <v>0.2</v>
      </c>
      <c r="AF359" s="28">
        <v>0.4</v>
      </c>
      <c r="AG359" s="28">
        <v>0</v>
      </c>
      <c r="AH359" s="24">
        <v>205</v>
      </c>
      <c r="AI359" s="28">
        <v>83</v>
      </c>
      <c r="AJ359" s="13" t="str">
        <f xml:space="preserve"> IF(AD359&gt;F359,"Exceso en grasa saturada",IFERROR(IF(F359=0,"No tiene sello",IF((AD359*9)*100/F359&gt;10,"Exceso en grasa saturada","No tiene sello")),"No tiene sello"))</f>
        <v>No tiene sello</v>
      </c>
      <c r="AK359" s="13">
        <f>IF(AJ359="No tiene sello",0,1)</f>
        <v>0</v>
      </c>
      <c r="AL359" s="13" t="str">
        <f>IF(Q359&gt;=300,"Exceso en sodio",IFERROR(IF(AND(F359=0,Q359&gt;0),"No tiene sello",IF(Q359/F359&gt;1,"Exceso en sodio","No tiene sello")),"No tiene sello"))</f>
        <v>Exceso en sodio</v>
      </c>
      <c r="AM359" s="13" t="str">
        <f>IFERROR(IF(F359=0,"No tiene sello",IF(+(AG359/1000)*9*100/F359&gt;1,"Exceso en grasa trans", "No tiene sello")),"No tiene sello")</f>
        <v>No tiene sello</v>
      </c>
    </row>
    <row r="360" spans="1:39" ht="13.5" customHeight="1" x14ac:dyDescent="0.25">
      <c r="A360" s="20" t="s">
        <v>944</v>
      </c>
      <c r="B360" s="20" t="s">
        <v>945</v>
      </c>
      <c r="C360" s="21"/>
      <c r="D360" s="22">
        <v>100</v>
      </c>
      <c r="E360" s="23">
        <v>76.599999999999994</v>
      </c>
      <c r="F360" s="24">
        <v>94</v>
      </c>
      <c r="G360" s="23">
        <v>400</v>
      </c>
      <c r="H360" s="24">
        <v>20.3</v>
      </c>
      <c r="I360" s="24">
        <v>1.2</v>
      </c>
      <c r="J360" s="24">
        <v>0.5</v>
      </c>
      <c r="K360" s="23">
        <v>0</v>
      </c>
      <c r="L360" s="23">
        <v>0.05</v>
      </c>
      <c r="M360" s="24">
        <v>0</v>
      </c>
      <c r="N360" s="23">
        <v>1.4</v>
      </c>
      <c r="O360" s="25">
        <v>82</v>
      </c>
      <c r="P360" s="25">
        <v>2.5</v>
      </c>
      <c r="Q360" s="23">
        <v>163</v>
      </c>
      <c r="R360" s="25">
        <v>196</v>
      </c>
      <c r="S360" s="23">
        <v>1.3</v>
      </c>
      <c r="T360" s="23">
        <v>36</v>
      </c>
      <c r="U360" s="23">
        <v>181</v>
      </c>
      <c r="V360" s="23">
        <v>0.03</v>
      </c>
      <c r="W360" s="23">
        <v>0.02</v>
      </c>
      <c r="X360" s="23">
        <v>2.2000000000000002</v>
      </c>
      <c r="Y360" s="23">
        <v>12</v>
      </c>
      <c r="Z360" s="23">
        <v>1.24</v>
      </c>
      <c r="AA360" s="25">
        <v>0</v>
      </c>
      <c r="AB360" s="25">
        <v>54</v>
      </c>
      <c r="AC360" s="25">
        <v>0</v>
      </c>
      <c r="AD360" s="23">
        <v>0.3</v>
      </c>
      <c r="AE360" s="23">
        <v>0.2</v>
      </c>
      <c r="AF360" s="23">
        <v>0.6</v>
      </c>
      <c r="AG360" s="23">
        <v>0</v>
      </c>
      <c r="AH360" s="24">
        <v>145</v>
      </c>
      <c r="AI360" s="23">
        <v>87</v>
      </c>
      <c r="AJ360" s="13" t="str">
        <f xml:space="preserve"> IF(AD360&gt;F360,"Exceso en grasa saturada",IFERROR(IF(F360=0,"No tiene sello",IF((AD360*9)*100/F360&gt;10,"Exceso en grasa saturada","No tiene sello")),"No tiene sello"))</f>
        <v>No tiene sello</v>
      </c>
      <c r="AK360" s="13">
        <f>IF(AJ360="No tiene sello",0,1)</f>
        <v>0</v>
      </c>
      <c r="AL360" s="13" t="str">
        <f>IF(Q360&gt;=300,"Exceso en sodio",IFERROR(IF(AND(F360=0,Q360&gt;0),"No tiene sello",IF(Q360/F360&gt;1,"Exceso en sodio","No tiene sello")),"No tiene sello"))</f>
        <v>Exceso en sodio</v>
      </c>
      <c r="AM360" s="13" t="str">
        <f>IFERROR(IF(F360=0,"No tiene sello",IF(+(AG360/1000)*9*100/F360&gt;1,"Exceso en grasa trans", "No tiene sello")),"No tiene sello")</f>
        <v>No tiene sello</v>
      </c>
    </row>
    <row r="361" spans="1:39" ht="13.5" customHeight="1" x14ac:dyDescent="0.25">
      <c r="A361" s="26" t="s">
        <v>942</v>
      </c>
      <c r="B361" s="26" t="s">
        <v>943</v>
      </c>
      <c r="C361" s="27"/>
      <c r="D361" s="16">
        <v>100</v>
      </c>
      <c r="E361" s="28">
        <v>79.7</v>
      </c>
      <c r="F361" s="24">
        <v>84</v>
      </c>
      <c r="G361" s="28">
        <v>353</v>
      </c>
      <c r="H361" s="24">
        <v>17.3</v>
      </c>
      <c r="I361" s="24">
        <v>1.6</v>
      </c>
      <c r="J361" s="24">
        <v>0</v>
      </c>
      <c r="K361" s="28">
        <v>0</v>
      </c>
      <c r="L361" s="28">
        <v>0</v>
      </c>
      <c r="M361" s="24">
        <v>0</v>
      </c>
      <c r="N361" s="28">
        <v>1.6</v>
      </c>
      <c r="O361" s="25">
        <v>75</v>
      </c>
      <c r="P361" s="25">
        <v>0.5</v>
      </c>
      <c r="Q361" s="28">
        <v>423</v>
      </c>
      <c r="R361" s="25">
        <v>180</v>
      </c>
      <c r="S361" s="28">
        <v>3.3</v>
      </c>
      <c r="T361" s="28">
        <v>36</v>
      </c>
      <c r="U361" s="28">
        <v>208</v>
      </c>
      <c r="V361" s="28">
        <v>0.14000000000000001</v>
      </c>
      <c r="W361" s="28">
        <v>0.06</v>
      </c>
      <c r="X361" s="28">
        <v>1.6</v>
      </c>
      <c r="Y361" s="28">
        <v>10</v>
      </c>
      <c r="Z361" s="28">
        <v>1.1499999999999999</v>
      </c>
      <c r="AA361" s="25">
        <v>0</v>
      </c>
      <c r="AB361" s="25">
        <v>1</v>
      </c>
      <c r="AC361" s="25">
        <v>0</v>
      </c>
      <c r="AD361" s="28">
        <v>0.2</v>
      </c>
      <c r="AE361" s="28">
        <v>0.3</v>
      </c>
      <c r="AF361" s="28">
        <v>0.5</v>
      </c>
      <c r="AG361" s="28">
        <v>0</v>
      </c>
      <c r="AH361" s="24">
        <v>139</v>
      </c>
      <c r="AI361" s="28">
        <v>30</v>
      </c>
      <c r="AJ361" s="13" t="str">
        <f xml:space="preserve"> IF(AD361&gt;F361,"Exceso en grasa saturada",IFERROR(IF(F361=0,"No tiene sello",IF((AD361*9)*100/F361&gt;10,"Exceso en grasa saturada","No tiene sello")),"No tiene sello"))</f>
        <v>No tiene sello</v>
      </c>
      <c r="AK361" s="13">
        <f>IF(AJ361="No tiene sello",0,1)</f>
        <v>0</v>
      </c>
      <c r="AL361" s="13" t="str">
        <f>IF(Q361&gt;=300,"Exceso en sodio",IFERROR(IF(AND(F361=0,Q361&gt;0),"No tiene sello",IF(Q361/F361&gt;1,"Exceso en sodio","No tiene sello")),"No tiene sello"))</f>
        <v>Exceso en sodio</v>
      </c>
      <c r="AM361" s="13" t="str">
        <f>IFERROR(IF(F361=0,"No tiene sello",IF(+(AG361/1000)*9*100/F361&gt;1,"Exceso en grasa trans", "No tiene sello")),"No tiene sello")</f>
        <v>No tiene sello</v>
      </c>
    </row>
    <row r="362" spans="1:39" ht="13.5" customHeight="1" x14ac:dyDescent="0.25">
      <c r="A362" s="20" t="s">
        <v>940</v>
      </c>
      <c r="B362" s="20" t="s">
        <v>941</v>
      </c>
      <c r="C362" s="21"/>
      <c r="D362" s="22">
        <v>100</v>
      </c>
      <c r="E362" s="23">
        <v>68.3</v>
      </c>
      <c r="F362" s="24">
        <v>123</v>
      </c>
      <c r="G362" s="23">
        <v>519</v>
      </c>
      <c r="H362" s="24">
        <v>23.8</v>
      </c>
      <c r="I362" s="24">
        <v>1.4</v>
      </c>
      <c r="J362" s="24">
        <v>3.7</v>
      </c>
      <c r="K362" s="23">
        <v>0</v>
      </c>
      <c r="L362" s="23">
        <v>0.37</v>
      </c>
      <c r="M362" s="24">
        <v>0</v>
      </c>
      <c r="N362" s="23">
        <v>2.8</v>
      </c>
      <c r="O362" s="25">
        <v>10</v>
      </c>
      <c r="P362" s="25">
        <v>3.5</v>
      </c>
      <c r="Q362" s="23">
        <v>70</v>
      </c>
      <c r="R362" s="25">
        <v>272</v>
      </c>
      <c r="S362" s="23">
        <v>1</v>
      </c>
      <c r="T362" s="23">
        <v>250</v>
      </c>
      <c r="U362" s="23">
        <v>382</v>
      </c>
      <c r="V362" s="23">
        <v>0.01</v>
      </c>
      <c r="W362" s="23">
        <v>0.12</v>
      </c>
      <c r="X362" s="23">
        <v>1.4</v>
      </c>
      <c r="Y362" s="23">
        <v>6</v>
      </c>
      <c r="Z362" s="23">
        <v>0.5</v>
      </c>
      <c r="AA362" s="25">
        <v>0</v>
      </c>
      <c r="AB362" s="25">
        <v>26</v>
      </c>
      <c r="AC362" s="25">
        <v>0</v>
      </c>
      <c r="AD362" s="23">
        <v>0</v>
      </c>
      <c r="AE362" s="23">
        <v>0</v>
      </c>
      <c r="AF362" s="23">
        <v>0</v>
      </c>
      <c r="AG362" s="23">
        <v>0</v>
      </c>
      <c r="AH362" s="24">
        <v>65</v>
      </c>
      <c r="AI362" s="23">
        <v>100</v>
      </c>
      <c r="AJ362" s="13" t="str">
        <f xml:space="preserve"> IF(AD362&gt;F362,"Exceso en grasa saturada",IFERROR(IF(F362=0,"No tiene sello",IF((AD362*9)*100/F362&gt;10,"Exceso en grasa saturada","No tiene sello")),"No tiene sello"))</f>
        <v>No tiene sello</v>
      </c>
      <c r="AK362" s="13">
        <f>IF(AJ362="No tiene sello",0,1)</f>
        <v>0</v>
      </c>
      <c r="AL362" s="13" t="str">
        <f>IF(Q362&gt;=300,"Exceso en sodio",IFERROR(IF(AND(F362=0,Q362&gt;0),"No tiene sello",IF(Q362/F362&gt;1,"Exceso en sodio","No tiene sello")),"No tiene sello"))</f>
        <v>No tiene sello</v>
      </c>
      <c r="AM362" s="13" t="str">
        <f>IFERROR(IF(F362=0,"No tiene sello",IF(+(AG362/1000)*9*100/F362&gt;1,"Exceso en grasa trans", "No tiene sello")),"No tiene sello")</f>
        <v>No tiene sello</v>
      </c>
    </row>
    <row r="363" spans="1:39" ht="13.5" customHeight="1" x14ac:dyDescent="0.25">
      <c r="A363" s="26" t="s">
        <v>938</v>
      </c>
      <c r="B363" s="26" t="s">
        <v>939</v>
      </c>
      <c r="C363" s="27"/>
      <c r="D363" s="16">
        <v>100</v>
      </c>
      <c r="E363" s="28">
        <v>76.3</v>
      </c>
      <c r="F363" s="24">
        <v>106</v>
      </c>
      <c r="G363" s="28">
        <v>445</v>
      </c>
      <c r="H363" s="24">
        <v>18.600000000000001</v>
      </c>
      <c r="I363" s="24">
        <v>3.5</v>
      </c>
      <c r="J363" s="24">
        <v>0.1</v>
      </c>
      <c r="K363" s="28">
        <v>0</v>
      </c>
      <c r="L363" s="28">
        <v>0.01</v>
      </c>
      <c r="M363" s="24">
        <v>0</v>
      </c>
      <c r="N363" s="28">
        <v>1.5</v>
      </c>
      <c r="O363" s="25">
        <v>19</v>
      </c>
      <c r="P363" s="25">
        <v>0.3</v>
      </c>
      <c r="Q363" s="28">
        <v>65</v>
      </c>
      <c r="R363" s="25">
        <v>257</v>
      </c>
      <c r="S363" s="28">
        <v>0.4</v>
      </c>
      <c r="T363" s="28">
        <v>24</v>
      </c>
      <c r="U363" s="28">
        <v>435</v>
      </c>
      <c r="V363" s="28">
        <v>0.06</v>
      </c>
      <c r="W363" s="28">
        <v>0.05</v>
      </c>
      <c r="X363" s="28">
        <v>6.4</v>
      </c>
      <c r="Y363" s="28">
        <v>9</v>
      </c>
      <c r="Z363" s="28">
        <v>1.04</v>
      </c>
      <c r="AA363" s="25">
        <v>0</v>
      </c>
      <c r="AB363" s="25">
        <v>20</v>
      </c>
      <c r="AC363" s="25">
        <v>8</v>
      </c>
      <c r="AD363" s="28">
        <v>0.3</v>
      </c>
      <c r="AE363" s="28">
        <v>0.5</v>
      </c>
      <c r="AF363" s="28">
        <v>0.4</v>
      </c>
      <c r="AG363" s="28">
        <v>0</v>
      </c>
      <c r="AH363" s="24">
        <v>49</v>
      </c>
      <c r="AI363" s="28">
        <v>80</v>
      </c>
      <c r="AJ363" s="13" t="str">
        <f xml:space="preserve"> IF(AD363&gt;F363,"Exceso en grasa saturada",IFERROR(IF(F363=0,"No tiene sello",IF((AD363*9)*100/F363&gt;10,"Exceso en grasa saturada","No tiene sello")),"No tiene sello"))</f>
        <v>No tiene sello</v>
      </c>
      <c r="AK363" s="13">
        <f>IF(AJ363="No tiene sello",0,1)</f>
        <v>0</v>
      </c>
      <c r="AL363" s="13" t="str">
        <f>IF(Q363&gt;=300,"Exceso en sodio",IFERROR(IF(AND(F363=0,Q363&gt;0),"No tiene sello",IF(Q363/F363&gt;1,"Exceso en sodio","No tiene sello")),"No tiene sello"))</f>
        <v>No tiene sello</v>
      </c>
      <c r="AM363" s="13" t="str">
        <f>IFERROR(IF(F363=0,"No tiene sello",IF(+(AG363/1000)*9*100/F363&gt;1,"Exceso en grasa trans", "No tiene sello")),"No tiene sello")</f>
        <v>No tiene sello</v>
      </c>
    </row>
    <row r="364" spans="1:39" ht="13.5" customHeight="1" x14ac:dyDescent="0.25">
      <c r="A364" s="20" t="s">
        <v>936</v>
      </c>
      <c r="B364" s="20" t="s">
        <v>937</v>
      </c>
      <c r="C364" s="20" t="s">
        <v>893</v>
      </c>
      <c r="D364" s="22">
        <v>100</v>
      </c>
      <c r="E364" s="23">
        <v>78</v>
      </c>
      <c r="F364" s="24">
        <v>100</v>
      </c>
      <c r="G364" s="23">
        <v>420</v>
      </c>
      <c r="H364" s="24">
        <v>17.8</v>
      </c>
      <c r="I364" s="24">
        <v>3.2</v>
      </c>
      <c r="J364" s="24">
        <v>0</v>
      </c>
      <c r="K364" s="23">
        <v>0</v>
      </c>
      <c r="L364" s="23">
        <v>0</v>
      </c>
      <c r="M364" s="24">
        <v>0</v>
      </c>
      <c r="N364" s="23">
        <v>1</v>
      </c>
      <c r="O364" s="25">
        <v>15</v>
      </c>
      <c r="P364" s="25">
        <v>0.4</v>
      </c>
      <c r="Q364" s="23">
        <v>56</v>
      </c>
      <c r="R364" s="25">
        <v>208</v>
      </c>
      <c r="S364" s="23">
        <v>0.4</v>
      </c>
      <c r="T364" s="23">
        <v>40</v>
      </c>
      <c r="U364" s="23">
        <v>345</v>
      </c>
      <c r="V364" s="23">
        <v>0.08</v>
      </c>
      <c r="W364" s="23">
        <v>0.09</v>
      </c>
      <c r="X364" s="23">
        <v>4.2</v>
      </c>
      <c r="Y364" s="23">
        <v>15</v>
      </c>
      <c r="Z364" s="23">
        <v>2.5</v>
      </c>
      <c r="AA364" s="25">
        <v>0</v>
      </c>
      <c r="AB364" s="25">
        <v>18</v>
      </c>
      <c r="AC364" s="25">
        <v>5</v>
      </c>
      <c r="AD364" s="23">
        <v>1.1000000000000001</v>
      </c>
      <c r="AE364" s="23">
        <v>1.1000000000000001</v>
      </c>
      <c r="AF364" s="23">
        <v>0.5</v>
      </c>
      <c r="AG364" s="23">
        <v>0</v>
      </c>
      <c r="AH364" s="24">
        <v>61</v>
      </c>
      <c r="AI364" s="23">
        <v>100</v>
      </c>
      <c r="AJ364" s="13" t="str">
        <f xml:space="preserve"> IF(AD364&gt;F364,"Exceso en grasa saturada",IFERROR(IF(F364=0,"No tiene sello",IF((AD364*9)*100/F364&gt;10,"Exceso en grasa saturada","No tiene sello")),"No tiene sello"))</f>
        <v>No tiene sello</v>
      </c>
      <c r="AK364" s="13">
        <f>IF(AJ364="No tiene sello",0,1)</f>
        <v>0</v>
      </c>
      <c r="AL364" s="13" t="str">
        <f>IF(Q364&gt;=300,"Exceso en sodio",IFERROR(IF(AND(F364=0,Q364&gt;0),"No tiene sello",IF(Q364/F364&gt;1,"Exceso en sodio","No tiene sello")),"No tiene sello"))</f>
        <v>No tiene sello</v>
      </c>
      <c r="AM364" s="13" t="str">
        <f>IFERROR(IF(F364=0,"No tiene sello",IF(+(AG364/1000)*9*100/F364&gt;1,"Exceso en grasa trans", "No tiene sello")),"No tiene sello")</f>
        <v>No tiene sello</v>
      </c>
    </row>
    <row r="365" spans="1:39" ht="13.5" customHeight="1" x14ac:dyDescent="0.25">
      <c r="A365" s="26" t="s">
        <v>934</v>
      </c>
      <c r="B365" s="26" t="s">
        <v>935</v>
      </c>
      <c r="C365" s="27"/>
      <c r="D365" s="16">
        <v>100</v>
      </c>
      <c r="E365" s="28">
        <v>77.900000000000006</v>
      </c>
      <c r="F365" s="24">
        <v>87</v>
      </c>
      <c r="G365" s="28">
        <v>367</v>
      </c>
      <c r="H365" s="24">
        <v>19.100000000000001</v>
      </c>
      <c r="I365" s="24">
        <v>1.1000000000000001</v>
      </c>
      <c r="J365" s="24">
        <v>0.1</v>
      </c>
      <c r="K365" s="28">
        <v>0</v>
      </c>
      <c r="L365" s="28">
        <v>0.01</v>
      </c>
      <c r="M365" s="24">
        <v>0</v>
      </c>
      <c r="N365" s="28">
        <v>1.8</v>
      </c>
      <c r="O365" s="25">
        <v>89</v>
      </c>
      <c r="P365" s="25">
        <v>0.7</v>
      </c>
      <c r="Q365" s="28">
        <v>293</v>
      </c>
      <c r="R365" s="25">
        <v>229</v>
      </c>
      <c r="S365" s="28">
        <v>3.6</v>
      </c>
      <c r="T365" s="28">
        <v>34</v>
      </c>
      <c r="U365" s="28">
        <v>329</v>
      </c>
      <c r="V365" s="28">
        <v>0.08</v>
      </c>
      <c r="W365" s="28">
        <v>0.04</v>
      </c>
      <c r="X365" s="28">
        <v>2.7</v>
      </c>
      <c r="Y365" s="28">
        <v>44</v>
      </c>
      <c r="Z365" s="28">
        <v>9</v>
      </c>
      <c r="AA365" s="25">
        <v>3</v>
      </c>
      <c r="AB365" s="25">
        <v>2</v>
      </c>
      <c r="AC365" s="25">
        <v>0</v>
      </c>
      <c r="AD365" s="28">
        <v>0.2</v>
      </c>
      <c r="AE365" s="28">
        <v>0.2</v>
      </c>
      <c r="AF365" s="28">
        <v>0.4</v>
      </c>
      <c r="AG365" s="28">
        <v>0</v>
      </c>
      <c r="AH365" s="24">
        <v>78</v>
      </c>
      <c r="AI365" s="28">
        <v>100</v>
      </c>
      <c r="AJ365" s="13" t="str">
        <f xml:space="preserve"> IF(AD365&gt;F365,"Exceso en grasa saturada",IFERROR(IF(F365=0,"No tiene sello",IF((AD365*9)*100/F365&gt;10,"Exceso en grasa saturada","No tiene sello")),"No tiene sello"))</f>
        <v>No tiene sello</v>
      </c>
      <c r="AK365" s="13">
        <f>IF(AJ365="No tiene sello",0,1)</f>
        <v>0</v>
      </c>
      <c r="AL365" s="13" t="str">
        <f>IF(Q365&gt;=300,"Exceso en sodio",IFERROR(IF(AND(F365=0,Q365&gt;0),"No tiene sello",IF(Q365/F365&gt;1,"Exceso en sodio","No tiene sello")),"No tiene sello"))</f>
        <v>Exceso en sodio</v>
      </c>
      <c r="AM365" s="13" t="str">
        <f>IFERROR(IF(F365=0,"No tiene sello",IF(+(AG365/1000)*9*100/F365&gt;1,"Exceso en grasa trans", "No tiene sello")),"No tiene sello")</f>
        <v>No tiene sello</v>
      </c>
    </row>
    <row r="366" spans="1:39" ht="13.5" customHeight="1" x14ac:dyDescent="0.25">
      <c r="A366" s="20" t="s">
        <v>932</v>
      </c>
      <c r="B366" s="20" t="s">
        <v>933</v>
      </c>
      <c r="C366" s="21"/>
      <c r="D366" s="22">
        <v>100</v>
      </c>
      <c r="E366" s="23">
        <v>79.7</v>
      </c>
      <c r="F366" s="24">
        <v>82</v>
      </c>
      <c r="G366" s="23">
        <v>346</v>
      </c>
      <c r="H366" s="24">
        <v>16.2</v>
      </c>
      <c r="I366" s="24">
        <v>1.9</v>
      </c>
      <c r="J366" s="24">
        <v>0</v>
      </c>
      <c r="K366" s="23">
        <v>0</v>
      </c>
      <c r="L366" s="23">
        <v>0</v>
      </c>
      <c r="M366" s="24">
        <v>0</v>
      </c>
      <c r="N366" s="23">
        <v>2.2000000000000002</v>
      </c>
      <c r="O366" s="25">
        <v>61</v>
      </c>
      <c r="P366" s="25">
        <v>0.6</v>
      </c>
      <c r="Q366" s="23">
        <v>423</v>
      </c>
      <c r="R366" s="25">
        <v>180</v>
      </c>
      <c r="S366" s="23">
        <v>2.8</v>
      </c>
      <c r="T366" s="23">
        <v>37</v>
      </c>
      <c r="U366" s="23">
        <v>206</v>
      </c>
      <c r="V366" s="23">
        <v>0.13</v>
      </c>
      <c r="W366" s="23">
        <v>0.06</v>
      </c>
      <c r="X366" s="23">
        <v>1.9</v>
      </c>
      <c r="Y366" s="23">
        <v>10</v>
      </c>
      <c r="Z366" s="23">
        <v>1.1299999999999999</v>
      </c>
      <c r="AA366" s="25">
        <v>0</v>
      </c>
      <c r="AB366" s="25">
        <v>1</v>
      </c>
      <c r="AC366" s="25">
        <v>0</v>
      </c>
      <c r="AD366" s="23">
        <v>0.2</v>
      </c>
      <c r="AE366" s="23">
        <v>0.3</v>
      </c>
      <c r="AF366" s="23">
        <v>0.4</v>
      </c>
      <c r="AG366" s="23">
        <v>0</v>
      </c>
      <c r="AH366" s="24">
        <v>127</v>
      </c>
      <c r="AI366" s="23">
        <v>35</v>
      </c>
      <c r="AJ366" s="13" t="str">
        <f xml:space="preserve"> IF(AD366&gt;F366,"Exceso en grasa saturada",IFERROR(IF(F366=0,"No tiene sello",IF((AD366*9)*100/F366&gt;10,"Exceso en grasa saturada","No tiene sello")),"No tiene sello"))</f>
        <v>No tiene sello</v>
      </c>
      <c r="AK366" s="13">
        <f>IF(AJ366="No tiene sello",0,1)</f>
        <v>0</v>
      </c>
      <c r="AL366" s="13" t="str">
        <f>IF(Q366&gt;=300,"Exceso en sodio",IFERROR(IF(AND(F366=0,Q366&gt;0),"No tiene sello",IF(Q366/F366&gt;1,"Exceso en sodio","No tiene sello")),"No tiene sello"))</f>
        <v>Exceso en sodio</v>
      </c>
      <c r="AM366" s="13" t="str">
        <f>IFERROR(IF(F366=0,"No tiene sello",IF(+(AG366/1000)*9*100/F366&gt;1,"Exceso en grasa trans", "No tiene sello")),"No tiene sello")</f>
        <v>No tiene sello</v>
      </c>
    </row>
    <row r="367" spans="1:39" ht="13.5" customHeight="1" x14ac:dyDescent="0.25">
      <c r="A367" s="26" t="s">
        <v>930</v>
      </c>
      <c r="B367" s="26" t="s">
        <v>931</v>
      </c>
      <c r="C367" s="27"/>
      <c r="D367" s="16">
        <v>100</v>
      </c>
      <c r="E367" s="28">
        <v>82.5</v>
      </c>
      <c r="F367" s="24">
        <v>71</v>
      </c>
      <c r="G367" s="28">
        <v>300</v>
      </c>
      <c r="H367" s="24">
        <v>14.6</v>
      </c>
      <c r="I367" s="24">
        <v>1.4</v>
      </c>
      <c r="J367" s="24">
        <v>0</v>
      </c>
      <c r="K367" s="28">
        <v>0</v>
      </c>
      <c r="L367" s="28">
        <v>0</v>
      </c>
      <c r="M367" s="24">
        <v>0</v>
      </c>
      <c r="N367" s="28">
        <v>1.5</v>
      </c>
      <c r="O367" s="25">
        <v>52</v>
      </c>
      <c r="P367" s="25">
        <v>0.9</v>
      </c>
      <c r="Q367" s="28">
        <v>531</v>
      </c>
      <c r="R367" s="25">
        <v>252</v>
      </c>
      <c r="S367" s="28">
        <v>1.2</v>
      </c>
      <c r="T367" s="28">
        <v>26</v>
      </c>
      <c r="U367" s="28">
        <v>300</v>
      </c>
      <c r="V367" s="28">
        <v>0.02</v>
      </c>
      <c r="W367" s="28">
        <v>0.02</v>
      </c>
      <c r="X367" s="28">
        <v>2</v>
      </c>
      <c r="Y367" s="28">
        <v>30</v>
      </c>
      <c r="Z367" s="28">
        <v>1.66</v>
      </c>
      <c r="AA367" s="25">
        <v>0</v>
      </c>
      <c r="AB367" s="25">
        <v>30</v>
      </c>
      <c r="AC367" s="25">
        <v>0</v>
      </c>
      <c r="AD367" s="28">
        <v>0.3</v>
      </c>
      <c r="AE367" s="28">
        <v>0.4</v>
      </c>
      <c r="AF367" s="28">
        <v>0.3</v>
      </c>
      <c r="AG367" s="28">
        <v>0</v>
      </c>
      <c r="AH367" s="24">
        <v>158</v>
      </c>
      <c r="AI367" s="28">
        <v>47</v>
      </c>
      <c r="AJ367" s="13" t="str">
        <f xml:space="preserve"> IF(AD367&gt;F367,"Exceso en grasa saturada",IFERROR(IF(F367=0,"No tiene sello",IF((AD367*9)*100/F367&gt;10,"Exceso en grasa saturada","No tiene sello")),"No tiene sello"))</f>
        <v>No tiene sello</v>
      </c>
      <c r="AK367" s="13">
        <f>IF(AJ367="No tiene sello",0,1)</f>
        <v>0</v>
      </c>
      <c r="AL367" s="13" t="str">
        <f>IF(Q367&gt;=300,"Exceso en sodio",IFERROR(IF(AND(F367=0,Q367&gt;0),"No tiene sello",IF(Q367/F367&gt;1,"Exceso en sodio","No tiene sello")),"No tiene sello"))</f>
        <v>Exceso en sodio</v>
      </c>
      <c r="AM367" s="13" t="str">
        <f>IFERROR(IF(F367=0,"No tiene sello",IF(+(AG367/1000)*9*100/F367&gt;1,"Exceso en grasa trans", "No tiene sello")),"No tiene sello")</f>
        <v>No tiene sello</v>
      </c>
    </row>
    <row r="368" spans="1:39" ht="13.5" customHeight="1" x14ac:dyDescent="0.25">
      <c r="A368" s="20" t="s">
        <v>928</v>
      </c>
      <c r="B368" s="20" t="s">
        <v>929</v>
      </c>
      <c r="C368" s="21"/>
      <c r="D368" s="22">
        <v>100</v>
      </c>
      <c r="E368" s="23">
        <v>80.2</v>
      </c>
      <c r="F368" s="24">
        <v>81</v>
      </c>
      <c r="G368" s="23">
        <v>341</v>
      </c>
      <c r="H368" s="24">
        <v>16.7</v>
      </c>
      <c r="I368" s="24">
        <v>1.4</v>
      </c>
      <c r="J368" s="24">
        <v>0.3</v>
      </c>
      <c r="K368" s="23">
        <v>0</v>
      </c>
      <c r="L368" s="23">
        <v>0.03</v>
      </c>
      <c r="M368" s="24">
        <v>0</v>
      </c>
      <c r="N368" s="23">
        <v>1.4</v>
      </c>
      <c r="O368" s="25">
        <v>19</v>
      </c>
      <c r="P368" s="25">
        <v>0.3</v>
      </c>
      <c r="Q368" s="23">
        <v>119</v>
      </c>
      <c r="R368" s="25">
        <v>181</v>
      </c>
      <c r="S368" s="23">
        <v>0.5</v>
      </c>
      <c r="T368" s="23">
        <v>22</v>
      </c>
      <c r="U368" s="23">
        <v>278</v>
      </c>
      <c r="V368" s="23">
        <v>0.09</v>
      </c>
      <c r="W368" s="23">
        <v>0.18</v>
      </c>
      <c r="X368" s="23">
        <v>3.2</v>
      </c>
      <c r="Y368" s="23">
        <v>11</v>
      </c>
      <c r="Z368" s="23">
        <v>1</v>
      </c>
      <c r="AA368" s="25">
        <v>0</v>
      </c>
      <c r="AB368" s="25">
        <v>10</v>
      </c>
      <c r="AC368" s="25">
        <v>5</v>
      </c>
      <c r="AD368" s="23">
        <v>0.3</v>
      </c>
      <c r="AE368" s="23">
        <v>0.2</v>
      </c>
      <c r="AF368" s="23">
        <v>0.3</v>
      </c>
      <c r="AG368" s="23">
        <v>0</v>
      </c>
      <c r="AH368" s="24">
        <v>48</v>
      </c>
      <c r="AI368" s="23">
        <v>80</v>
      </c>
      <c r="AJ368" s="13" t="str">
        <f xml:space="preserve"> IF(AD368&gt;F368,"Exceso en grasa saturada",IFERROR(IF(F368=0,"No tiene sello",IF((AD368*9)*100/F368&gt;10,"Exceso en grasa saturada","No tiene sello")),"No tiene sello"))</f>
        <v>No tiene sello</v>
      </c>
      <c r="AK368" s="13">
        <f>IF(AJ368="No tiene sello",0,1)</f>
        <v>0</v>
      </c>
      <c r="AL368" s="13" t="str">
        <f>IF(Q368&gt;=300,"Exceso en sodio",IFERROR(IF(AND(F368=0,Q368&gt;0),"No tiene sello",IF(Q368/F368&gt;1,"Exceso en sodio","No tiene sello")),"No tiene sello"))</f>
        <v>Exceso en sodio</v>
      </c>
      <c r="AM368" s="13" t="str">
        <f>IFERROR(IF(F368=0,"No tiene sello",IF(+(AG368/1000)*9*100/F368&gt;1,"Exceso en grasa trans", "No tiene sello")),"No tiene sello")</f>
        <v>No tiene sello</v>
      </c>
    </row>
    <row r="369" spans="1:39" ht="13.5" customHeight="1" x14ac:dyDescent="0.25">
      <c r="A369" s="26" t="s">
        <v>926</v>
      </c>
      <c r="B369" s="26" t="s">
        <v>927</v>
      </c>
      <c r="C369" s="26" t="s">
        <v>920</v>
      </c>
      <c r="D369" s="16">
        <v>100</v>
      </c>
      <c r="E369" s="28">
        <v>76.599999999999994</v>
      </c>
      <c r="F369" s="24">
        <v>105</v>
      </c>
      <c r="G369" s="28">
        <v>442</v>
      </c>
      <c r="H369" s="24">
        <v>18</v>
      </c>
      <c r="I369" s="24">
        <v>3.4</v>
      </c>
      <c r="J369" s="24">
        <v>0.6</v>
      </c>
      <c r="K369" s="28">
        <v>0</v>
      </c>
      <c r="L369" s="28">
        <v>0.06</v>
      </c>
      <c r="M369" s="24">
        <v>0</v>
      </c>
      <c r="N369" s="28">
        <v>1.4</v>
      </c>
      <c r="O369" s="25">
        <v>34</v>
      </c>
      <c r="P369" s="25">
        <v>1.2</v>
      </c>
      <c r="Q369" s="28">
        <v>65</v>
      </c>
      <c r="R369" s="25">
        <v>199</v>
      </c>
      <c r="S369" s="28">
        <v>0.7</v>
      </c>
      <c r="T369" s="28">
        <v>29</v>
      </c>
      <c r="U369" s="28">
        <v>376</v>
      </c>
      <c r="V369" s="28">
        <v>0.05</v>
      </c>
      <c r="W369" s="28">
        <v>0.11</v>
      </c>
      <c r="X369" s="28">
        <v>4.8</v>
      </c>
      <c r="Y369" s="28">
        <v>9</v>
      </c>
      <c r="Z369" s="28">
        <v>0.22</v>
      </c>
      <c r="AA369" s="25">
        <v>0</v>
      </c>
      <c r="AB369" s="25">
        <v>37</v>
      </c>
      <c r="AC369" s="25">
        <v>8</v>
      </c>
      <c r="AD369" s="28">
        <v>1.1000000000000001</v>
      </c>
      <c r="AE369" s="28">
        <v>1</v>
      </c>
      <c r="AF369" s="28">
        <v>1.1000000000000001</v>
      </c>
      <c r="AG369" s="28">
        <v>0</v>
      </c>
      <c r="AH369" s="24">
        <v>40</v>
      </c>
      <c r="AI369" s="28">
        <v>50</v>
      </c>
      <c r="AJ369" s="13" t="str">
        <f xml:space="preserve"> IF(AD369&gt;F369,"Exceso en grasa saturada",IFERROR(IF(F369=0,"No tiene sello",IF((AD369*9)*100/F369&gt;10,"Exceso en grasa saturada","No tiene sello")),"No tiene sello"))</f>
        <v>No tiene sello</v>
      </c>
      <c r="AK369" s="13">
        <f>IF(AJ369="No tiene sello",0,1)</f>
        <v>0</v>
      </c>
      <c r="AL369" s="13" t="str">
        <f>IF(Q369&gt;=300,"Exceso en sodio",IFERROR(IF(AND(F369=0,Q369&gt;0),"No tiene sello",IF(Q369/F369&gt;1,"Exceso en sodio","No tiene sello")),"No tiene sello"))</f>
        <v>No tiene sello</v>
      </c>
      <c r="AM369" s="13" t="str">
        <f>IFERROR(IF(F369=0,"No tiene sello",IF(+(AG369/1000)*9*100/F369&gt;1,"Exceso en grasa trans", "No tiene sello")),"No tiene sello")</f>
        <v>No tiene sello</v>
      </c>
    </row>
    <row r="370" spans="1:39" ht="13.5" customHeight="1" x14ac:dyDescent="0.25">
      <c r="A370" s="20" t="s">
        <v>924</v>
      </c>
      <c r="B370" s="20" t="s">
        <v>925</v>
      </c>
      <c r="C370" s="20" t="s">
        <v>920</v>
      </c>
      <c r="D370" s="22">
        <v>100</v>
      </c>
      <c r="E370" s="23">
        <v>72.3</v>
      </c>
      <c r="F370" s="24">
        <v>125</v>
      </c>
      <c r="G370" s="23">
        <v>526</v>
      </c>
      <c r="H370" s="24">
        <v>21.8</v>
      </c>
      <c r="I370" s="24">
        <v>4</v>
      </c>
      <c r="J370" s="24">
        <v>0.4</v>
      </c>
      <c r="K370" s="23">
        <v>0</v>
      </c>
      <c r="L370" s="23">
        <v>0.04</v>
      </c>
      <c r="M370" s="24">
        <v>0</v>
      </c>
      <c r="N370" s="23">
        <v>1.5</v>
      </c>
      <c r="O370" s="25">
        <v>33</v>
      </c>
      <c r="P370" s="25">
        <v>1</v>
      </c>
      <c r="Q370" s="23">
        <v>65</v>
      </c>
      <c r="R370" s="25">
        <v>202</v>
      </c>
      <c r="S370" s="23">
        <v>0.5</v>
      </c>
      <c r="T370" s="23">
        <v>29</v>
      </c>
      <c r="U370" s="23">
        <v>359</v>
      </c>
      <c r="V370" s="23">
        <v>0.01</v>
      </c>
      <c r="W370" s="23">
        <v>0.09</v>
      </c>
      <c r="X370" s="23">
        <v>4.5999999999999996</v>
      </c>
      <c r="Y370" s="23">
        <v>9</v>
      </c>
      <c r="Z370" s="23">
        <v>0.22</v>
      </c>
      <c r="AA370" s="25">
        <v>0</v>
      </c>
      <c r="AB370" s="25">
        <v>37</v>
      </c>
      <c r="AC370" s="25">
        <v>8</v>
      </c>
      <c r="AD370" s="23">
        <v>0.9</v>
      </c>
      <c r="AE370" s="23">
        <v>0.9</v>
      </c>
      <c r="AF370" s="23">
        <v>0.6</v>
      </c>
      <c r="AG370" s="23">
        <v>0</v>
      </c>
      <c r="AH370" s="24">
        <v>40</v>
      </c>
      <c r="AI370" s="23">
        <v>50</v>
      </c>
      <c r="AJ370" s="13" t="str">
        <f xml:space="preserve"> IF(AD370&gt;F370,"Exceso en grasa saturada",IFERROR(IF(F370=0,"No tiene sello",IF((AD370*9)*100/F370&gt;10,"Exceso en grasa saturada","No tiene sello")),"No tiene sello"))</f>
        <v>No tiene sello</v>
      </c>
      <c r="AK370" s="13">
        <f>IF(AJ370="No tiene sello",0,1)</f>
        <v>0</v>
      </c>
      <c r="AL370" s="13" t="str">
        <f>IF(Q370&gt;=300,"Exceso en sodio",IFERROR(IF(AND(F370=0,Q370&gt;0),"No tiene sello",IF(Q370/F370&gt;1,"Exceso en sodio","No tiene sello")),"No tiene sello"))</f>
        <v>No tiene sello</v>
      </c>
      <c r="AM370" s="13" t="str">
        <f>IFERROR(IF(F370=0,"No tiene sello",IF(+(AG370/1000)*9*100/F370&gt;1,"Exceso en grasa trans", "No tiene sello")),"No tiene sello")</f>
        <v>No tiene sello</v>
      </c>
    </row>
    <row r="371" spans="1:39" ht="13.5" customHeight="1" x14ac:dyDescent="0.25">
      <c r="A371" s="26" t="s">
        <v>922</v>
      </c>
      <c r="B371" s="26" t="s">
        <v>923</v>
      </c>
      <c r="C371" s="27"/>
      <c r="D371" s="16">
        <v>100</v>
      </c>
      <c r="E371" s="28">
        <v>72.5</v>
      </c>
      <c r="F371" s="24">
        <v>132</v>
      </c>
      <c r="G371" s="28">
        <v>555</v>
      </c>
      <c r="H371" s="24">
        <v>20.5</v>
      </c>
      <c r="I371" s="24">
        <v>5.4</v>
      </c>
      <c r="J371" s="24">
        <v>0.4</v>
      </c>
      <c r="K371" s="28">
        <v>0</v>
      </c>
      <c r="L371" s="28">
        <v>0.04</v>
      </c>
      <c r="M371" s="24">
        <v>0</v>
      </c>
      <c r="N371" s="28">
        <v>1.2</v>
      </c>
      <c r="O371" s="25">
        <v>49</v>
      </c>
      <c r="P371" s="25">
        <v>1.9</v>
      </c>
      <c r="Q371" s="28">
        <v>0</v>
      </c>
      <c r="R371" s="25">
        <v>217</v>
      </c>
      <c r="S371" s="28">
        <v>0</v>
      </c>
      <c r="T371" s="28">
        <v>0</v>
      </c>
      <c r="U371" s="28">
        <v>0</v>
      </c>
      <c r="V371" s="28">
        <v>0.01</v>
      </c>
      <c r="W371" s="28">
        <v>0.08</v>
      </c>
      <c r="X371" s="28">
        <v>4.7</v>
      </c>
      <c r="Y371" s="28">
        <v>0</v>
      </c>
      <c r="Z371" s="28">
        <v>0</v>
      </c>
      <c r="AA371" s="25">
        <v>6</v>
      </c>
      <c r="AB371" s="25">
        <v>0</v>
      </c>
      <c r="AC371" s="25">
        <v>8</v>
      </c>
      <c r="AD371" s="28">
        <v>0</v>
      </c>
      <c r="AE371" s="28">
        <v>0</v>
      </c>
      <c r="AF371" s="28">
        <v>0</v>
      </c>
      <c r="AG371" s="28">
        <v>0</v>
      </c>
      <c r="AH371" s="24">
        <v>0</v>
      </c>
      <c r="AI371" s="28">
        <v>100</v>
      </c>
      <c r="AJ371" s="13" t="str">
        <f xml:space="preserve"> IF(AD371&gt;F371,"Exceso en grasa saturada",IFERROR(IF(F371=0,"No tiene sello",IF((AD371*9)*100/F371&gt;10,"Exceso en grasa saturada","No tiene sello")),"No tiene sello"))</f>
        <v>No tiene sello</v>
      </c>
      <c r="AK371" s="13">
        <f>IF(AJ371="No tiene sello",0,1)</f>
        <v>0</v>
      </c>
      <c r="AL371" s="13" t="str">
        <f>IF(Q371&gt;=300,"Exceso en sodio",IFERROR(IF(AND(F371=0,Q371&gt;0),"No tiene sello",IF(Q371/F371&gt;1,"Exceso en sodio","No tiene sello")),"No tiene sello"))</f>
        <v>No tiene sello</v>
      </c>
      <c r="AM371" s="13" t="str">
        <f>IFERROR(IF(F371=0,"No tiene sello",IF(+(AG371/1000)*9*100/F371&gt;1,"Exceso en grasa trans", "No tiene sello")),"No tiene sello")</f>
        <v>No tiene sello</v>
      </c>
    </row>
    <row r="372" spans="1:39" ht="13.5" customHeight="1" x14ac:dyDescent="0.25">
      <c r="A372" s="20" t="s">
        <v>919</v>
      </c>
      <c r="B372" s="20" t="s">
        <v>921</v>
      </c>
      <c r="C372" s="20" t="s">
        <v>920</v>
      </c>
      <c r="D372" s="22">
        <v>100</v>
      </c>
      <c r="E372" s="23">
        <v>75.2</v>
      </c>
      <c r="F372" s="24">
        <v>118</v>
      </c>
      <c r="G372" s="23">
        <v>497</v>
      </c>
      <c r="H372" s="24">
        <v>19</v>
      </c>
      <c r="I372" s="24">
        <v>4.7</v>
      </c>
      <c r="J372" s="24">
        <v>0</v>
      </c>
      <c r="K372" s="23">
        <v>0</v>
      </c>
      <c r="L372" s="23">
        <v>0</v>
      </c>
      <c r="M372" s="24">
        <v>0</v>
      </c>
      <c r="N372" s="23">
        <v>1.1000000000000001</v>
      </c>
      <c r="O372" s="25">
        <v>7</v>
      </c>
      <c r="P372" s="25">
        <v>0.8</v>
      </c>
      <c r="Q372" s="23">
        <v>0</v>
      </c>
      <c r="R372" s="25">
        <v>0</v>
      </c>
      <c r="S372" s="23">
        <v>0</v>
      </c>
      <c r="T372" s="23">
        <v>0</v>
      </c>
      <c r="U372" s="23">
        <v>0</v>
      </c>
      <c r="V372" s="23">
        <v>0</v>
      </c>
      <c r="W372" s="23">
        <v>0</v>
      </c>
      <c r="X372" s="23">
        <v>0</v>
      </c>
      <c r="Y372" s="23">
        <v>0</v>
      </c>
      <c r="Z372" s="23">
        <v>0</v>
      </c>
      <c r="AA372" s="25">
        <v>0</v>
      </c>
      <c r="AB372" s="25">
        <v>0</v>
      </c>
      <c r="AC372" s="25">
        <v>8</v>
      </c>
      <c r="AD372" s="23">
        <v>0</v>
      </c>
      <c r="AE372" s="23">
        <v>0</v>
      </c>
      <c r="AF372" s="23">
        <v>0</v>
      </c>
      <c r="AG372" s="23">
        <v>0</v>
      </c>
      <c r="AH372" s="24">
        <v>0</v>
      </c>
      <c r="AI372" s="23"/>
      <c r="AJ372" s="13" t="str">
        <f xml:space="preserve"> IF(AD372&gt;F372,"Exceso en grasa saturada",IFERROR(IF(F372=0,"No tiene sello",IF((AD372*9)*100/F372&gt;10,"Exceso en grasa saturada","No tiene sello")),"No tiene sello"))</f>
        <v>No tiene sello</v>
      </c>
      <c r="AK372" s="13">
        <f>IF(AJ372="No tiene sello",0,1)</f>
        <v>0</v>
      </c>
      <c r="AL372" s="13" t="str">
        <f>IF(Q372&gt;=300,"Exceso en sodio",IFERROR(IF(AND(F372=0,Q372&gt;0),"No tiene sello",IF(Q372/F372&gt;1,"Exceso en sodio","No tiene sello")),"No tiene sello"))</f>
        <v>No tiene sello</v>
      </c>
      <c r="AM372" s="13" t="str">
        <f>IFERROR(IF(F372=0,"No tiene sello",IF(+(AG372/1000)*9*100/F372&gt;1,"Exceso en grasa trans", "No tiene sello")),"No tiene sello")</f>
        <v>No tiene sello</v>
      </c>
    </row>
    <row r="373" spans="1:39" ht="13.5" customHeight="1" x14ac:dyDescent="0.25">
      <c r="A373" s="26" t="s">
        <v>917</v>
      </c>
      <c r="B373" s="26" t="s">
        <v>918</v>
      </c>
      <c r="C373" s="26" t="s">
        <v>893</v>
      </c>
      <c r="D373" s="16">
        <v>100</v>
      </c>
      <c r="E373" s="28">
        <v>79</v>
      </c>
      <c r="F373" s="24">
        <v>85</v>
      </c>
      <c r="G373" s="28">
        <v>361</v>
      </c>
      <c r="H373" s="24">
        <v>18.3</v>
      </c>
      <c r="I373" s="24">
        <v>1.3</v>
      </c>
      <c r="J373" s="24">
        <v>0.1</v>
      </c>
      <c r="K373" s="28">
        <v>0</v>
      </c>
      <c r="L373" s="28">
        <v>0.01</v>
      </c>
      <c r="M373" s="24">
        <v>0</v>
      </c>
      <c r="N373" s="28">
        <v>1.3</v>
      </c>
      <c r="O373" s="25">
        <v>27</v>
      </c>
      <c r="P373" s="25">
        <v>0.8</v>
      </c>
      <c r="Q373" s="28">
        <v>75</v>
      </c>
      <c r="R373" s="25">
        <v>186</v>
      </c>
      <c r="S373" s="28">
        <v>0.3</v>
      </c>
      <c r="T373" s="28">
        <v>24</v>
      </c>
      <c r="U373" s="28">
        <v>288</v>
      </c>
      <c r="V373" s="28">
        <v>0.06</v>
      </c>
      <c r="W373" s="28">
        <v>7.0000000000000007E-2</v>
      </c>
      <c r="X373" s="28">
        <v>1.3</v>
      </c>
      <c r="Y373" s="28">
        <v>12</v>
      </c>
      <c r="Z373" s="28">
        <v>1.2</v>
      </c>
      <c r="AA373" s="25">
        <v>0</v>
      </c>
      <c r="AB373" s="25">
        <v>17</v>
      </c>
      <c r="AC373" s="25">
        <v>5</v>
      </c>
      <c r="AD373" s="28">
        <v>0.3</v>
      </c>
      <c r="AE373" s="28">
        <v>0.5</v>
      </c>
      <c r="AF373" s="28">
        <v>0.5</v>
      </c>
      <c r="AG373" s="28">
        <v>0</v>
      </c>
      <c r="AH373" s="24">
        <v>41</v>
      </c>
      <c r="AI373" s="28">
        <v>100</v>
      </c>
      <c r="AJ373" s="13" t="str">
        <f xml:space="preserve"> IF(AD373&gt;F373,"Exceso en grasa saturada",IFERROR(IF(F373=0,"No tiene sello",IF((AD373*9)*100/F373&gt;10,"Exceso en grasa saturada","No tiene sello")),"No tiene sello"))</f>
        <v>No tiene sello</v>
      </c>
      <c r="AK373" s="13">
        <f>IF(AJ373="No tiene sello",0,1)</f>
        <v>0</v>
      </c>
      <c r="AL373" s="13" t="str">
        <f>IF(Q373&gt;=300,"Exceso en sodio",IFERROR(IF(AND(F373=0,Q373&gt;0),"No tiene sello",IF(Q373/F373&gt;1,"Exceso en sodio","No tiene sello")),"No tiene sello"))</f>
        <v>No tiene sello</v>
      </c>
      <c r="AM373" s="13" t="str">
        <f>IFERROR(IF(F373=0,"No tiene sello",IF(+(AG373/1000)*9*100/F373&gt;1,"Exceso en grasa trans", "No tiene sello")),"No tiene sello")</f>
        <v>No tiene sello</v>
      </c>
    </row>
    <row r="374" spans="1:39" ht="13.5" customHeight="1" x14ac:dyDescent="0.25">
      <c r="A374" s="20" t="s">
        <v>915</v>
      </c>
      <c r="B374" s="20" t="s">
        <v>916</v>
      </c>
      <c r="C374" s="21"/>
      <c r="D374" s="22">
        <v>100</v>
      </c>
      <c r="E374" s="23">
        <v>77.900000000000006</v>
      </c>
      <c r="F374" s="24">
        <v>89</v>
      </c>
      <c r="G374" s="23">
        <v>378</v>
      </c>
      <c r="H374" s="24">
        <v>19.399999999999999</v>
      </c>
      <c r="I374" s="24">
        <v>1.2</v>
      </c>
      <c r="J374" s="24">
        <v>0.2</v>
      </c>
      <c r="K374" s="23">
        <v>0</v>
      </c>
      <c r="L374" s="23">
        <v>0.02</v>
      </c>
      <c r="M374" s="24">
        <v>0</v>
      </c>
      <c r="N374" s="23">
        <v>1.3</v>
      </c>
      <c r="O374" s="25">
        <v>14</v>
      </c>
      <c r="P374" s="25">
        <v>0.9</v>
      </c>
      <c r="Q374" s="23">
        <v>80</v>
      </c>
      <c r="R374" s="25">
        <v>210</v>
      </c>
      <c r="S374" s="23">
        <v>0.5</v>
      </c>
      <c r="T374" s="23">
        <v>20</v>
      </c>
      <c r="U374" s="23">
        <v>255</v>
      </c>
      <c r="V374" s="23">
        <v>0.8</v>
      </c>
      <c r="W374" s="23">
        <v>0.14000000000000001</v>
      </c>
      <c r="X374" s="23">
        <v>2.4</v>
      </c>
      <c r="Y374" s="23">
        <v>11</v>
      </c>
      <c r="Z374" s="23">
        <v>2</v>
      </c>
      <c r="AA374" s="25">
        <v>0</v>
      </c>
      <c r="AB374" s="25">
        <v>47</v>
      </c>
      <c r="AC374" s="25">
        <v>5</v>
      </c>
      <c r="AD374" s="23">
        <v>0.2</v>
      </c>
      <c r="AE374" s="23">
        <v>0.2</v>
      </c>
      <c r="AF374" s="23">
        <v>0.3</v>
      </c>
      <c r="AG374" s="23">
        <v>0</v>
      </c>
      <c r="AH374" s="24">
        <v>32</v>
      </c>
      <c r="AI374" s="23">
        <v>57</v>
      </c>
      <c r="AJ374" s="13" t="str">
        <f xml:space="preserve"> IF(AD374&gt;F374,"Exceso en grasa saturada",IFERROR(IF(F374=0,"No tiene sello",IF((AD374*9)*100/F374&gt;10,"Exceso en grasa saturada","No tiene sello")),"No tiene sello"))</f>
        <v>No tiene sello</v>
      </c>
      <c r="AK374" s="13">
        <f>IF(AJ374="No tiene sello",0,1)</f>
        <v>0</v>
      </c>
      <c r="AL374" s="13" t="str">
        <f>IF(Q374&gt;=300,"Exceso en sodio",IFERROR(IF(AND(F374=0,Q374&gt;0),"No tiene sello",IF(Q374/F374&gt;1,"Exceso en sodio","No tiene sello")),"No tiene sello"))</f>
        <v>No tiene sello</v>
      </c>
      <c r="AM374" s="13" t="str">
        <f>IFERROR(IF(F374=0,"No tiene sello",IF(+(AG374/1000)*9*100/F374&gt;1,"Exceso en grasa trans", "No tiene sello")),"No tiene sello")</f>
        <v>No tiene sello</v>
      </c>
    </row>
    <row r="375" spans="1:39" ht="13.5" customHeight="1" x14ac:dyDescent="0.25">
      <c r="A375" s="26" t="s">
        <v>913</v>
      </c>
      <c r="B375" s="26" t="s">
        <v>914</v>
      </c>
      <c r="C375" s="27"/>
      <c r="D375" s="16">
        <v>100</v>
      </c>
      <c r="E375" s="28">
        <v>89.9</v>
      </c>
      <c r="F375" s="24">
        <v>43</v>
      </c>
      <c r="G375" s="28">
        <v>180</v>
      </c>
      <c r="H375" s="24">
        <v>5.4</v>
      </c>
      <c r="I375" s="24">
        <v>2.2000000000000002</v>
      </c>
      <c r="J375" s="24">
        <v>0.4</v>
      </c>
      <c r="K375" s="28">
        <v>0</v>
      </c>
      <c r="L375" s="28">
        <v>0.04</v>
      </c>
      <c r="M375" s="24">
        <v>0</v>
      </c>
      <c r="N375" s="28">
        <v>2.1</v>
      </c>
      <c r="O375" s="25">
        <v>109</v>
      </c>
      <c r="P375" s="25">
        <v>5.2</v>
      </c>
      <c r="Q375" s="28">
        <v>325</v>
      </c>
      <c r="R375" s="25">
        <v>81</v>
      </c>
      <c r="S375" s="28">
        <v>59.1</v>
      </c>
      <c r="T375" s="28">
        <v>43</v>
      </c>
      <c r="U375" s="28">
        <v>239</v>
      </c>
      <c r="V375" s="28">
        <v>0.1</v>
      </c>
      <c r="W375" s="28">
        <v>0.17</v>
      </c>
      <c r="X375" s="28">
        <v>1.6</v>
      </c>
      <c r="Y375" s="28">
        <v>11</v>
      </c>
      <c r="Z375" s="28">
        <v>16.739999999999998</v>
      </c>
      <c r="AA375" s="25">
        <v>0</v>
      </c>
      <c r="AB375" s="25">
        <v>4</v>
      </c>
      <c r="AC375" s="25">
        <v>0</v>
      </c>
      <c r="AD375" s="28">
        <v>0.4</v>
      </c>
      <c r="AE375" s="28">
        <v>0.3</v>
      </c>
      <c r="AF375" s="28">
        <v>0.9</v>
      </c>
      <c r="AG375" s="28">
        <v>0</v>
      </c>
      <c r="AH375" s="24">
        <v>53</v>
      </c>
      <c r="AI375" s="28">
        <v>15</v>
      </c>
      <c r="AJ375" s="13" t="str">
        <f xml:space="preserve"> IF(AD375&gt;F375,"Exceso en grasa saturada",IFERROR(IF(F375=0,"No tiene sello",IF((AD375*9)*100/F375&gt;10,"Exceso en grasa saturada","No tiene sello")),"No tiene sello"))</f>
        <v>No tiene sello</v>
      </c>
      <c r="AK375" s="13">
        <f>IF(AJ375="No tiene sello",0,1)</f>
        <v>0</v>
      </c>
      <c r="AL375" s="13" t="str">
        <f>IF(Q375&gt;=300,"Exceso en sodio",IFERROR(IF(AND(F375=0,Q375&gt;0),"No tiene sello",IF(Q375/F375&gt;1,"Exceso en sodio","No tiene sello")),"No tiene sello"))</f>
        <v>Exceso en sodio</v>
      </c>
      <c r="AM375" s="13" t="str">
        <f>IFERROR(IF(F375=0,"No tiene sello",IF(+(AG375/1000)*9*100/F375&gt;1,"Exceso en grasa trans", "No tiene sello")),"No tiene sello")</f>
        <v>No tiene sello</v>
      </c>
    </row>
    <row r="376" spans="1:39" ht="13.5" customHeight="1" x14ac:dyDescent="0.25">
      <c r="A376" s="20" t="s">
        <v>911</v>
      </c>
      <c r="B376" s="20" t="s">
        <v>912</v>
      </c>
      <c r="C376" s="21"/>
      <c r="D376" s="22">
        <v>100</v>
      </c>
      <c r="E376" s="23">
        <v>16.100000000000001</v>
      </c>
      <c r="F376" s="24">
        <v>273</v>
      </c>
      <c r="G376" s="23">
        <v>1156</v>
      </c>
      <c r="H376" s="24">
        <v>62.8</v>
      </c>
      <c r="I376" s="24">
        <v>2.4</v>
      </c>
      <c r="J376" s="24">
        <v>0</v>
      </c>
      <c r="K376" s="23">
        <v>0</v>
      </c>
      <c r="L376" s="23">
        <v>0</v>
      </c>
      <c r="M376" s="24">
        <v>0</v>
      </c>
      <c r="N376" s="23">
        <v>18.7</v>
      </c>
      <c r="O376" s="25">
        <v>160</v>
      </c>
      <c r="P376" s="25">
        <v>3.6</v>
      </c>
      <c r="Q376" s="23">
        <v>7027</v>
      </c>
      <c r="R376" s="25">
        <v>891</v>
      </c>
      <c r="S376" s="23">
        <v>1.6</v>
      </c>
      <c r="T376" s="23">
        <v>133</v>
      </c>
      <c r="U376" s="23">
        <v>1458</v>
      </c>
      <c r="V376" s="23">
        <v>0.27</v>
      </c>
      <c r="W376" s="23">
        <v>0.24</v>
      </c>
      <c r="X376" s="23">
        <v>7.5</v>
      </c>
      <c r="Y376" s="23">
        <v>25</v>
      </c>
      <c r="Z376" s="23">
        <v>10</v>
      </c>
      <c r="AA376" s="25">
        <v>0</v>
      </c>
      <c r="AB376" s="25">
        <v>42</v>
      </c>
      <c r="AC376" s="25">
        <v>5</v>
      </c>
      <c r="AD376" s="23">
        <v>0.5</v>
      </c>
      <c r="AE376" s="23">
        <v>0.3</v>
      </c>
      <c r="AF376" s="23">
        <v>0.8</v>
      </c>
      <c r="AG376" s="23">
        <v>0</v>
      </c>
      <c r="AH376" s="24">
        <v>152</v>
      </c>
      <c r="AI376" s="23">
        <v>100</v>
      </c>
      <c r="AJ376" s="13" t="str">
        <f xml:space="preserve"> IF(AD376&gt;F376,"Exceso en grasa saturada",IFERROR(IF(F376=0,"No tiene sello",IF((AD376*9)*100/F376&gt;10,"Exceso en grasa saturada","No tiene sello")),"No tiene sello"))</f>
        <v>No tiene sello</v>
      </c>
      <c r="AK376" s="13">
        <f>IF(AJ376="No tiene sello",0,1)</f>
        <v>0</v>
      </c>
      <c r="AL376" s="13" t="str">
        <f>IF(Q376&gt;=300,"Exceso en sodio",IFERROR(IF(AND(F376=0,Q376&gt;0),"No tiene sello",IF(Q376/F376&gt;1,"Exceso en sodio","No tiene sello")),"No tiene sello"))</f>
        <v>Exceso en sodio</v>
      </c>
      <c r="AM376" s="13" t="str">
        <f>IFERROR(IF(F376=0,"No tiene sello",IF(+(AG376/1000)*9*100/F376&gt;1,"Exceso en grasa trans", "No tiene sello")),"No tiene sello")</f>
        <v>No tiene sello</v>
      </c>
    </row>
    <row r="377" spans="1:39" ht="13.5" customHeight="1" x14ac:dyDescent="0.25">
      <c r="A377" s="26" t="s">
        <v>909</v>
      </c>
      <c r="B377" s="26" t="s">
        <v>910</v>
      </c>
      <c r="C377" s="27"/>
      <c r="D377" s="16">
        <v>100</v>
      </c>
      <c r="E377" s="28">
        <v>82.4</v>
      </c>
      <c r="F377" s="24">
        <v>69</v>
      </c>
      <c r="G377" s="28">
        <v>292</v>
      </c>
      <c r="H377" s="24">
        <v>14.9</v>
      </c>
      <c r="I377" s="24">
        <v>1</v>
      </c>
      <c r="J377" s="24">
        <v>0.1</v>
      </c>
      <c r="K377" s="28">
        <v>0</v>
      </c>
      <c r="L377" s="28">
        <v>0.01</v>
      </c>
      <c r="M377" s="24">
        <v>0</v>
      </c>
      <c r="N377" s="28">
        <v>1.6</v>
      </c>
      <c r="O377" s="25">
        <v>53</v>
      </c>
      <c r="P377" s="25">
        <v>3.4</v>
      </c>
      <c r="Q377" s="28">
        <v>230</v>
      </c>
      <c r="R377" s="25">
        <v>180</v>
      </c>
      <c r="S377" s="28">
        <v>1.7</v>
      </c>
      <c r="T377" s="28">
        <v>30</v>
      </c>
      <c r="U377" s="28">
        <v>350</v>
      </c>
      <c r="V377" s="28">
        <v>0.04</v>
      </c>
      <c r="W377" s="28">
        <v>7.0000000000000007E-2</v>
      </c>
      <c r="X377" s="28">
        <v>2.1</v>
      </c>
      <c r="Y377" s="28">
        <v>16</v>
      </c>
      <c r="Z377" s="28">
        <v>20</v>
      </c>
      <c r="AA377" s="25">
        <v>0</v>
      </c>
      <c r="AB377" s="25">
        <v>45</v>
      </c>
      <c r="AC377" s="25">
        <v>0</v>
      </c>
      <c r="AD377" s="28">
        <v>0.3</v>
      </c>
      <c r="AE377" s="28">
        <v>0.1</v>
      </c>
      <c r="AF377" s="28">
        <v>0.3</v>
      </c>
      <c r="AG377" s="28">
        <v>0</v>
      </c>
      <c r="AH377" s="24">
        <v>48</v>
      </c>
      <c r="AI377" s="28">
        <v>79</v>
      </c>
      <c r="AJ377" s="13" t="str">
        <f xml:space="preserve"> IF(AD377&gt;F377,"Exceso en grasa saturada",IFERROR(IF(F377=0,"No tiene sello",IF((AD377*9)*100/F377&gt;10,"Exceso en grasa saturada","No tiene sello")),"No tiene sello"))</f>
        <v>No tiene sello</v>
      </c>
      <c r="AK377" s="13">
        <f>IF(AJ377="No tiene sello",0,1)</f>
        <v>0</v>
      </c>
      <c r="AL377" s="13" t="str">
        <f>IF(Q377&gt;=300,"Exceso en sodio",IFERROR(IF(AND(F377=0,Q377&gt;0),"No tiene sello",IF(Q377/F377&gt;1,"Exceso en sodio","No tiene sello")),"No tiene sello"))</f>
        <v>Exceso en sodio</v>
      </c>
      <c r="AM377" s="13" t="str">
        <f>IFERROR(IF(F377=0,"No tiene sello",IF(+(AG377/1000)*9*100/F377&gt;1,"Exceso en grasa trans", "No tiene sello")),"No tiene sello")</f>
        <v>No tiene sello</v>
      </c>
    </row>
    <row r="378" spans="1:39" ht="13.5" customHeight="1" x14ac:dyDescent="0.25">
      <c r="A378" s="20" t="s">
        <v>907</v>
      </c>
      <c r="B378" s="20" t="s">
        <v>908</v>
      </c>
      <c r="C378" s="20" t="s">
        <v>893</v>
      </c>
      <c r="D378" s="22">
        <v>100</v>
      </c>
      <c r="E378" s="23">
        <v>65.900000000000006</v>
      </c>
      <c r="F378" s="24">
        <v>133</v>
      </c>
      <c r="G378" s="23">
        <v>566</v>
      </c>
      <c r="H378" s="24">
        <v>31.1</v>
      </c>
      <c r="I378" s="24">
        <v>0.5</v>
      </c>
      <c r="J378" s="24">
        <v>1.1000000000000001</v>
      </c>
      <c r="K378" s="23">
        <v>0</v>
      </c>
      <c r="L378" s="23">
        <v>0.11</v>
      </c>
      <c r="M378" s="24">
        <v>0</v>
      </c>
      <c r="N378" s="23">
        <v>1.4</v>
      </c>
      <c r="O378" s="25">
        <v>15</v>
      </c>
      <c r="P378" s="25">
        <v>1.2</v>
      </c>
      <c r="Q378" s="23">
        <v>150</v>
      </c>
      <c r="R378" s="25">
        <v>215</v>
      </c>
      <c r="S378" s="23">
        <v>0</v>
      </c>
      <c r="T378" s="23">
        <v>37</v>
      </c>
      <c r="U378" s="23">
        <v>320</v>
      </c>
      <c r="V378" s="23">
        <v>0.15</v>
      </c>
      <c r="W378" s="23">
        <v>0.15</v>
      </c>
      <c r="X378" s="23">
        <v>3.8</v>
      </c>
      <c r="Y378" s="23">
        <v>0</v>
      </c>
      <c r="Z378" s="23">
        <v>8</v>
      </c>
      <c r="AA378" s="25">
        <v>0</v>
      </c>
      <c r="AB378" s="25">
        <v>0</v>
      </c>
      <c r="AC378" s="25">
        <v>5</v>
      </c>
      <c r="AD378" s="23">
        <v>0</v>
      </c>
      <c r="AE378" s="23">
        <v>0</v>
      </c>
      <c r="AF378" s="23">
        <v>0</v>
      </c>
      <c r="AG378" s="23">
        <v>0</v>
      </c>
      <c r="AH378" s="24">
        <v>0</v>
      </c>
      <c r="AI378" s="23">
        <v>100</v>
      </c>
      <c r="AJ378" s="13" t="str">
        <f xml:space="preserve"> IF(AD378&gt;F378,"Exceso en grasa saturada",IFERROR(IF(F378=0,"No tiene sello",IF((AD378*9)*100/F378&gt;10,"Exceso en grasa saturada","No tiene sello")),"No tiene sello"))</f>
        <v>No tiene sello</v>
      </c>
      <c r="AK378" s="13">
        <f>IF(AJ378="No tiene sello",0,1)</f>
        <v>0</v>
      </c>
      <c r="AL378" s="13" t="str">
        <f>IF(Q378&gt;=300,"Exceso en sodio",IFERROR(IF(AND(F378=0,Q378&gt;0),"No tiene sello",IF(Q378/F378&gt;1,"Exceso en sodio","No tiene sello")),"No tiene sello"))</f>
        <v>Exceso en sodio</v>
      </c>
      <c r="AM378" s="13" t="str">
        <f>IFERROR(IF(F378=0,"No tiene sello",IF(+(AG378/1000)*9*100/F378&gt;1,"Exceso en grasa trans", "No tiene sello")),"No tiene sello")</f>
        <v>No tiene sello</v>
      </c>
    </row>
    <row r="379" spans="1:39" ht="13.5" customHeight="1" x14ac:dyDescent="0.25">
      <c r="A379" s="26" t="s">
        <v>905</v>
      </c>
      <c r="B379" s="26" t="s">
        <v>906</v>
      </c>
      <c r="C379" s="27"/>
      <c r="D379" s="16">
        <v>100</v>
      </c>
      <c r="E379" s="28">
        <v>78.599999999999994</v>
      </c>
      <c r="F379" s="24">
        <v>92</v>
      </c>
      <c r="G379" s="28">
        <v>387</v>
      </c>
      <c r="H379" s="24">
        <v>18.399999999999999</v>
      </c>
      <c r="I379" s="24">
        <v>2</v>
      </c>
      <c r="J379" s="24">
        <v>0</v>
      </c>
      <c r="K379" s="28">
        <v>0</v>
      </c>
      <c r="L379" s="28">
        <v>0</v>
      </c>
      <c r="M379" s="24">
        <v>0</v>
      </c>
      <c r="N379" s="28">
        <v>1</v>
      </c>
      <c r="O379" s="25">
        <v>55</v>
      </c>
      <c r="P379" s="25">
        <v>1.2</v>
      </c>
      <c r="Q379" s="28">
        <v>69</v>
      </c>
      <c r="R379" s="25">
        <v>208</v>
      </c>
      <c r="S379" s="28">
        <v>0.5</v>
      </c>
      <c r="T379" s="28">
        <v>29</v>
      </c>
      <c r="U379" s="28">
        <v>350</v>
      </c>
      <c r="V379" s="28">
        <v>0.09</v>
      </c>
      <c r="W379" s="28">
        <v>7.0000000000000007E-2</v>
      </c>
      <c r="X379" s="28">
        <v>1.4</v>
      </c>
      <c r="Y379" s="28">
        <v>9</v>
      </c>
      <c r="Z379" s="28">
        <v>3.07</v>
      </c>
      <c r="AA379" s="25">
        <v>0</v>
      </c>
      <c r="AB379" s="25">
        <v>44</v>
      </c>
      <c r="AC379" s="25">
        <v>5</v>
      </c>
      <c r="AD379" s="28">
        <v>0.5</v>
      </c>
      <c r="AE379" s="28">
        <v>0.4</v>
      </c>
      <c r="AF379" s="28">
        <v>0.7</v>
      </c>
      <c r="AG379" s="28">
        <v>0</v>
      </c>
      <c r="AH379" s="24">
        <v>68</v>
      </c>
      <c r="AI379" s="28">
        <v>67</v>
      </c>
      <c r="AJ379" s="13" t="str">
        <f xml:space="preserve"> IF(AD379&gt;F379,"Exceso en grasa saturada",IFERROR(IF(F379=0,"No tiene sello",IF((AD379*9)*100/F379&gt;10,"Exceso en grasa saturada","No tiene sello")),"No tiene sello"))</f>
        <v>No tiene sello</v>
      </c>
      <c r="AK379" s="13">
        <f>IF(AJ379="No tiene sello",0,1)</f>
        <v>0</v>
      </c>
      <c r="AL379" s="13" t="str">
        <f>IF(Q379&gt;=300,"Exceso en sodio",IFERROR(IF(AND(F379=0,Q379&gt;0),"No tiene sello",IF(Q379/F379&gt;1,"Exceso en sodio","No tiene sello")),"No tiene sello"))</f>
        <v>No tiene sello</v>
      </c>
      <c r="AM379" s="13" t="str">
        <f>IFERROR(IF(F379=0,"No tiene sello",IF(+(AG379/1000)*9*100/F379&gt;1,"Exceso en grasa trans", "No tiene sello")),"No tiene sello")</f>
        <v>No tiene sello</v>
      </c>
    </row>
    <row r="380" spans="1:39" ht="13.5" customHeight="1" x14ac:dyDescent="0.25">
      <c r="A380" s="20" t="s">
        <v>903</v>
      </c>
      <c r="B380" s="20" t="s">
        <v>904</v>
      </c>
      <c r="C380" s="21"/>
      <c r="D380" s="22">
        <v>100</v>
      </c>
      <c r="E380" s="23">
        <v>61.6</v>
      </c>
      <c r="F380" s="24">
        <v>2122</v>
      </c>
      <c r="G380" s="23">
        <v>885</v>
      </c>
      <c r="H380" s="24">
        <v>21.7</v>
      </c>
      <c r="I380" s="24">
        <v>13.9</v>
      </c>
      <c r="J380" s="24">
        <v>0.1</v>
      </c>
      <c r="K380" s="23">
        <v>0</v>
      </c>
      <c r="L380" s="23">
        <v>0.01</v>
      </c>
      <c r="M380" s="24">
        <v>0</v>
      </c>
      <c r="N380" s="23">
        <v>2.7</v>
      </c>
      <c r="O380" s="25">
        <v>200</v>
      </c>
      <c r="P380" s="25">
        <v>1</v>
      </c>
      <c r="Q380" s="23">
        <v>484</v>
      </c>
      <c r="R380" s="25">
        <v>300</v>
      </c>
      <c r="S380" s="23">
        <v>1</v>
      </c>
      <c r="T380" s="23">
        <v>30</v>
      </c>
      <c r="U380" s="23">
        <v>350</v>
      </c>
      <c r="V380" s="23">
        <v>0.02</v>
      </c>
      <c r="W380" s="23">
        <v>0.16</v>
      </c>
      <c r="X380" s="23">
        <v>5.7</v>
      </c>
      <c r="Y380" s="23">
        <v>11</v>
      </c>
      <c r="Z380" s="23">
        <v>4</v>
      </c>
      <c r="AA380" s="25">
        <v>0</v>
      </c>
      <c r="AB380" s="25">
        <v>28</v>
      </c>
      <c r="AC380" s="25">
        <v>12.5</v>
      </c>
      <c r="AD380" s="23">
        <v>1.9</v>
      </c>
      <c r="AE380" s="23">
        <v>3</v>
      </c>
      <c r="AF380" s="23">
        <v>2.4</v>
      </c>
      <c r="AG380" s="23">
        <v>0</v>
      </c>
      <c r="AH380" s="24">
        <v>46</v>
      </c>
      <c r="AI380" s="23">
        <v>100</v>
      </c>
      <c r="AJ380" s="13" t="str">
        <f xml:space="preserve"> IF(AD380&gt;F380,"Exceso en grasa saturada",IFERROR(IF(F380=0,"No tiene sello",IF((AD380*9)*100/F380&gt;10,"Exceso en grasa saturada","No tiene sello")),"No tiene sello"))</f>
        <v>No tiene sello</v>
      </c>
      <c r="AK380" s="13">
        <f>IF(AJ380="No tiene sello",0,1)</f>
        <v>0</v>
      </c>
      <c r="AL380" s="13" t="str">
        <f>IF(Q380&gt;=300,"Exceso en sodio",IFERROR(IF(AND(F380=0,Q380&gt;0),"No tiene sello",IF(Q380/F380&gt;1,"Exceso en sodio","No tiene sello")),"No tiene sello"))</f>
        <v>Exceso en sodio</v>
      </c>
      <c r="AM380" s="13" t="str">
        <f>IFERROR(IF(F380=0,"No tiene sello",IF(+(AG380/1000)*9*100/F380&gt;1,"Exceso en grasa trans", "No tiene sello")),"No tiene sello")</f>
        <v>No tiene sello</v>
      </c>
    </row>
    <row r="381" spans="1:39" ht="13.5" customHeight="1" x14ac:dyDescent="0.25">
      <c r="A381" s="26" t="s">
        <v>901</v>
      </c>
      <c r="B381" s="26" t="s">
        <v>902</v>
      </c>
      <c r="C381" s="26" t="s">
        <v>893</v>
      </c>
      <c r="D381" s="16">
        <v>100</v>
      </c>
      <c r="E381" s="28">
        <v>67.2</v>
      </c>
      <c r="F381" s="24">
        <v>181</v>
      </c>
      <c r="G381" s="28">
        <v>755</v>
      </c>
      <c r="H381" s="24">
        <v>20.2</v>
      </c>
      <c r="I381" s="24">
        <v>11</v>
      </c>
      <c r="J381" s="24">
        <v>0.3</v>
      </c>
      <c r="K381" s="28">
        <v>0</v>
      </c>
      <c r="L381" s="28">
        <v>0.03</v>
      </c>
      <c r="M381" s="24">
        <v>0</v>
      </c>
      <c r="N381" s="28">
        <v>1.3</v>
      </c>
      <c r="O381" s="25">
        <v>17</v>
      </c>
      <c r="P381" s="25">
        <v>0.4</v>
      </c>
      <c r="Q381" s="28">
        <v>49</v>
      </c>
      <c r="R381" s="25">
        <v>250</v>
      </c>
      <c r="S381" s="28">
        <v>0.5</v>
      </c>
      <c r="T381" s="28">
        <v>27</v>
      </c>
      <c r="U381" s="28">
        <v>362</v>
      </c>
      <c r="V381" s="28">
        <v>0.21</v>
      </c>
      <c r="W381" s="28">
        <v>0.13</v>
      </c>
      <c r="X381" s="28">
        <v>7.6</v>
      </c>
      <c r="Y381" s="28">
        <v>26</v>
      </c>
      <c r="Z381" s="28">
        <v>3.84</v>
      </c>
      <c r="AA381" s="25">
        <v>0</v>
      </c>
      <c r="AB381" s="25">
        <v>13</v>
      </c>
      <c r="AC381" s="25">
        <v>10</v>
      </c>
      <c r="AD381" s="28">
        <v>2.2000000000000002</v>
      </c>
      <c r="AE381" s="28">
        <v>4.2</v>
      </c>
      <c r="AF381" s="28">
        <v>3.2</v>
      </c>
      <c r="AG381" s="28">
        <v>0</v>
      </c>
      <c r="AH381" s="24">
        <v>51</v>
      </c>
      <c r="AI381" s="28">
        <v>100</v>
      </c>
      <c r="AJ381" s="13" t="str">
        <f xml:space="preserve"> IF(AD381&gt;F381,"Exceso en grasa saturada",IFERROR(IF(F381=0,"No tiene sello",IF((AD381*9)*100/F381&gt;10,"Exceso en grasa saturada","No tiene sello")),"No tiene sello"))</f>
        <v>Exceso en grasa saturada</v>
      </c>
      <c r="AK381" s="13">
        <f>IF(AJ381="No tiene sello",0,1)</f>
        <v>1</v>
      </c>
      <c r="AL381" s="13" t="str">
        <f>IF(Q381&gt;=300,"Exceso en sodio",IFERROR(IF(AND(F381=0,Q381&gt;0),"No tiene sello",IF(Q381/F381&gt;1,"Exceso en sodio","No tiene sello")),"No tiene sello"))</f>
        <v>No tiene sello</v>
      </c>
      <c r="AM381" s="13" t="str">
        <f>IFERROR(IF(F381=0,"No tiene sello",IF(+(AG381/1000)*9*100/F381&gt;1,"Exceso en grasa trans", "No tiene sello")),"No tiene sello")</f>
        <v>No tiene sello</v>
      </c>
    </row>
    <row r="382" spans="1:39" ht="13.5" customHeight="1" x14ac:dyDescent="0.25">
      <c r="A382" s="20" t="s">
        <v>899</v>
      </c>
      <c r="B382" s="20" t="s">
        <v>900</v>
      </c>
      <c r="C382" s="21"/>
      <c r="D382" s="22">
        <v>100</v>
      </c>
      <c r="E382" s="23">
        <v>58.6</v>
      </c>
      <c r="F382" s="24">
        <v>225</v>
      </c>
      <c r="G382" s="23">
        <v>940</v>
      </c>
      <c r="H382" s="24">
        <v>24.6</v>
      </c>
      <c r="I382" s="24">
        <v>14.1</v>
      </c>
      <c r="J382" s="24">
        <v>0</v>
      </c>
      <c r="K382" s="23">
        <v>0</v>
      </c>
      <c r="L382" s="23">
        <v>0</v>
      </c>
      <c r="M382" s="24">
        <v>0</v>
      </c>
      <c r="N382" s="23">
        <v>2.9</v>
      </c>
      <c r="O382" s="25">
        <v>350</v>
      </c>
      <c r="P382" s="25">
        <v>2.9</v>
      </c>
      <c r="Q382" s="23">
        <v>450</v>
      </c>
      <c r="R382" s="25">
        <v>430</v>
      </c>
      <c r="S382" s="23">
        <v>1.6</v>
      </c>
      <c r="T382" s="23">
        <v>40</v>
      </c>
      <c r="U382" s="23">
        <v>389</v>
      </c>
      <c r="V382" s="23">
        <v>0.08</v>
      </c>
      <c r="W382" s="23">
        <v>0.28999999999999998</v>
      </c>
      <c r="X382" s="23">
        <v>6.7</v>
      </c>
      <c r="Y382" s="23">
        <v>8</v>
      </c>
      <c r="Z382" s="23">
        <v>8.94</v>
      </c>
      <c r="AA382" s="25">
        <v>0</v>
      </c>
      <c r="AB382" s="25">
        <v>28</v>
      </c>
      <c r="AC382" s="25">
        <v>8.5</v>
      </c>
      <c r="AD382" s="23">
        <v>2.9</v>
      </c>
      <c r="AE382" s="23">
        <v>3.9</v>
      </c>
      <c r="AF382" s="23">
        <v>5.0999999999999996</v>
      </c>
      <c r="AG382" s="23">
        <v>0</v>
      </c>
      <c r="AH382" s="24">
        <v>142</v>
      </c>
      <c r="AI382" s="23">
        <v>100</v>
      </c>
      <c r="AJ382" s="13" t="str">
        <f xml:space="preserve"> IF(AD382&gt;F382,"Exceso en grasa saturada",IFERROR(IF(F382=0,"No tiene sello",IF((AD382*9)*100/F382&gt;10,"Exceso en grasa saturada","No tiene sello")),"No tiene sello"))</f>
        <v>Exceso en grasa saturada</v>
      </c>
      <c r="AK382" s="13">
        <f>IF(AJ382="No tiene sello",0,1)</f>
        <v>1</v>
      </c>
      <c r="AL382" s="13" t="str">
        <f>IF(Q382&gt;=300,"Exceso en sodio",IFERROR(IF(AND(F382=0,Q382&gt;0),"No tiene sello",IF(Q382/F382&gt;1,"Exceso en sodio","No tiene sello")),"No tiene sello"))</f>
        <v>Exceso en sodio</v>
      </c>
      <c r="AM382" s="13" t="str">
        <f>IFERROR(IF(F382=0,"No tiene sello",IF(+(AG382/1000)*9*100/F382&gt;1,"Exceso en grasa trans", "No tiene sello")),"No tiene sello")</f>
        <v>No tiene sello</v>
      </c>
    </row>
    <row r="383" spans="1:39" ht="13.5" customHeight="1" x14ac:dyDescent="0.25">
      <c r="A383" s="26" t="s">
        <v>897</v>
      </c>
      <c r="B383" s="26" t="s">
        <v>898</v>
      </c>
      <c r="C383" s="27"/>
      <c r="D383" s="16">
        <v>100</v>
      </c>
      <c r="E383" s="28">
        <v>66.900000000000006</v>
      </c>
      <c r="F383" s="24">
        <v>177</v>
      </c>
      <c r="G383" s="28">
        <v>738</v>
      </c>
      <c r="H383" s="24">
        <v>20.9</v>
      </c>
      <c r="I383" s="24">
        <v>10.3</v>
      </c>
      <c r="J383" s="24">
        <v>0.1</v>
      </c>
      <c r="K383" s="28">
        <v>0</v>
      </c>
      <c r="L383" s="28">
        <v>0.01</v>
      </c>
      <c r="M383" s="24">
        <v>0</v>
      </c>
      <c r="N383" s="28">
        <v>1.9</v>
      </c>
      <c r="O383" s="25">
        <v>380</v>
      </c>
      <c r="P383" s="25">
        <v>2.2999999999999998</v>
      </c>
      <c r="Q383" s="28">
        <v>414</v>
      </c>
      <c r="R383" s="25">
        <v>400</v>
      </c>
      <c r="S383" s="28">
        <v>1.4</v>
      </c>
      <c r="T383" s="28">
        <v>33</v>
      </c>
      <c r="U383" s="28">
        <v>341</v>
      </c>
      <c r="V383" s="28">
        <v>0.04</v>
      </c>
      <c r="W383" s="28">
        <v>0.23</v>
      </c>
      <c r="X383" s="28">
        <v>5.3</v>
      </c>
      <c r="Y383" s="28">
        <v>24</v>
      </c>
      <c r="Z383" s="28">
        <v>9</v>
      </c>
      <c r="AA383" s="25">
        <v>0</v>
      </c>
      <c r="AB383" s="25">
        <v>46</v>
      </c>
      <c r="AC383" s="25">
        <v>8</v>
      </c>
      <c r="AD383" s="28">
        <v>2.7</v>
      </c>
      <c r="AE383" s="28">
        <v>3.8</v>
      </c>
      <c r="AF383" s="28">
        <v>2.4</v>
      </c>
      <c r="AG383" s="28">
        <v>0</v>
      </c>
      <c r="AH383" s="24">
        <v>61</v>
      </c>
      <c r="AI383" s="28">
        <v>100</v>
      </c>
      <c r="AJ383" s="13" t="str">
        <f xml:space="preserve"> IF(AD383&gt;F383,"Exceso en grasa saturada",IFERROR(IF(F383=0,"No tiene sello",IF((AD383*9)*100/F383&gt;10,"Exceso en grasa saturada","No tiene sello")),"No tiene sello"))</f>
        <v>Exceso en grasa saturada</v>
      </c>
      <c r="AK383" s="13">
        <f>IF(AJ383="No tiene sello",0,1)</f>
        <v>1</v>
      </c>
      <c r="AL383" s="13" t="str">
        <f>IF(Q383&gt;=300,"Exceso en sodio",IFERROR(IF(AND(F383=0,Q383&gt;0),"No tiene sello",IF(Q383/F383&gt;1,"Exceso en sodio","No tiene sello")),"No tiene sello"))</f>
        <v>Exceso en sodio</v>
      </c>
      <c r="AM383" s="13" t="str">
        <f>IFERROR(IF(F383=0,"No tiene sello",IF(+(AG383/1000)*9*100/F383&gt;1,"Exceso en grasa trans", "No tiene sello")),"No tiene sello")</f>
        <v>No tiene sello</v>
      </c>
    </row>
    <row r="384" spans="1:39" ht="13.5" customHeight="1" x14ac:dyDescent="0.25">
      <c r="A384" s="20" t="s">
        <v>895</v>
      </c>
      <c r="B384" s="20" t="s">
        <v>896</v>
      </c>
      <c r="C384" s="21"/>
      <c r="D384" s="22">
        <v>100</v>
      </c>
      <c r="E384" s="23">
        <v>72.3</v>
      </c>
      <c r="F384" s="24">
        <v>129</v>
      </c>
      <c r="G384" s="23">
        <v>541</v>
      </c>
      <c r="H384" s="24">
        <v>21.8</v>
      </c>
      <c r="I384" s="24">
        <v>4.5999999999999996</v>
      </c>
      <c r="J384" s="24">
        <v>0</v>
      </c>
      <c r="K384" s="23">
        <v>0</v>
      </c>
      <c r="L384" s="23">
        <v>0</v>
      </c>
      <c r="M384" s="24">
        <v>0</v>
      </c>
      <c r="N384" s="23">
        <v>1.3</v>
      </c>
      <c r="O384" s="25">
        <v>54</v>
      </c>
      <c r="P384" s="25">
        <v>1.2</v>
      </c>
      <c r="Q384" s="23">
        <v>54</v>
      </c>
      <c r="R384" s="25">
        <v>238</v>
      </c>
      <c r="S384" s="23">
        <v>0.4</v>
      </c>
      <c r="T384" s="23">
        <v>0</v>
      </c>
      <c r="U384" s="23">
        <v>413</v>
      </c>
      <c r="V384" s="23">
        <v>0.14000000000000001</v>
      </c>
      <c r="W384" s="23">
        <v>0.19</v>
      </c>
      <c r="X384" s="23">
        <v>4.0999999999999996</v>
      </c>
      <c r="Y384" s="23">
        <v>7</v>
      </c>
      <c r="Z384" s="23">
        <v>0.91</v>
      </c>
      <c r="AA384" s="25">
        <v>0</v>
      </c>
      <c r="AB384" s="25">
        <v>12</v>
      </c>
      <c r="AC384" s="25">
        <v>8</v>
      </c>
      <c r="AD384" s="23">
        <v>0.1</v>
      </c>
      <c r="AE384" s="23">
        <v>0.1</v>
      </c>
      <c r="AF384" s="23">
        <v>0.2</v>
      </c>
      <c r="AG384" s="23">
        <v>0</v>
      </c>
      <c r="AH384" s="24">
        <v>43</v>
      </c>
      <c r="AI384" s="23">
        <v>82</v>
      </c>
      <c r="AJ384" s="13" t="str">
        <f xml:space="preserve"> IF(AD384&gt;F384,"Exceso en grasa saturada",IFERROR(IF(F384=0,"No tiene sello",IF((AD384*9)*100/F384&gt;10,"Exceso en grasa saturada","No tiene sello")),"No tiene sello"))</f>
        <v>No tiene sello</v>
      </c>
      <c r="AK384" s="13">
        <f>IF(AJ384="No tiene sello",0,1)</f>
        <v>0</v>
      </c>
      <c r="AL384" s="13" t="str">
        <f>IF(Q384&gt;=300,"Exceso en sodio",IFERROR(IF(AND(F384=0,Q384&gt;0),"No tiene sello",IF(Q384/F384&gt;1,"Exceso en sodio","No tiene sello")),"No tiene sello"))</f>
        <v>No tiene sello</v>
      </c>
      <c r="AM384" s="13" t="str">
        <f>IFERROR(IF(F384=0,"No tiene sello",IF(+(AG384/1000)*9*100/F384&gt;1,"Exceso en grasa trans", "No tiene sello")),"No tiene sello")</f>
        <v>No tiene sello</v>
      </c>
    </row>
    <row r="385" spans="1:39" ht="13.5" customHeight="1" x14ac:dyDescent="0.25">
      <c r="A385" s="26" t="s">
        <v>892</v>
      </c>
      <c r="B385" s="26" t="s">
        <v>894</v>
      </c>
      <c r="C385" s="26" t="s">
        <v>893</v>
      </c>
      <c r="D385" s="16">
        <v>100</v>
      </c>
      <c r="E385" s="28">
        <v>73.599999999999994</v>
      </c>
      <c r="F385" s="24">
        <v>122</v>
      </c>
      <c r="G385" s="28">
        <v>515</v>
      </c>
      <c r="H385" s="24">
        <v>20.5</v>
      </c>
      <c r="I385" s="24">
        <v>4.5</v>
      </c>
      <c r="J385" s="24">
        <v>0</v>
      </c>
      <c r="K385" s="28">
        <v>0</v>
      </c>
      <c r="L385" s="28">
        <v>0</v>
      </c>
      <c r="M385" s="24">
        <v>0</v>
      </c>
      <c r="N385" s="28">
        <v>1.4</v>
      </c>
      <c r="O385" s="25">
        <v>34</v>
      </c>
      <c r="P385" s="25">
        <v>0.8</v>
      </c>
      <c r="Q385" s="28">
        <v>79</v>
      </c>
      <c r="R385" s="25">
        <v>210</v>
      </c>
      <c r="S385" s="28">
        <v>0.4</v>
      </c>
      <c r="T385" s="28">
        <v>49</v>
      </c>
      <c r="U385" s="28">
        <v>160</v>
      </c>
      <c r="V385" s="28">
        <v>0.05</v>
      </c>
      <c r="W385" s="28">
        <v>7.0000000000000007E-2</v>
      </c>
      <c r="X385" s="28">
        <v>3</v>
      </c>
      <c r="Y385" s="28">
        <v>3</v>
      </c>
      <c r="Z385" s="28">
        <v>1.49</v>
      </c>
      <c r="AA385" s="25">
        <v>0</v>
      </c>
      <c r="AB385" s="25">
        <v>70</v>
      </c>
      <c r="AC385" s="25">
        <v>5</v>
      </c>
      <c r="AD385" s="28">
        <v>0.9</v>
      </c>
      <c r="AE385" s="28">
        <v>1.8</v>
      </c>
      <c r="AF385" s="28">
        <v>1.2</v>
      </c>
      <c r="AG385" s="28">
        <v>0</v>
      </c>
      <c r="AH385" s="24">
        <v>51</v>
      </c>
      <c r="AI385" s="28">
        <v>100</v>
      </c>
      <c r="AJ385" s="13" t="str">
        <f xml:space="preserve"> IF(AD385&gt;F385,"Exceso en grasa saturada",IFERROR(IF(F385=0,"No tiene sello",IF((AD385*9)*100/F385&gt;10,"Exceso en grasa saturada","No tiene sello")),"No tiene sello"))</f>
        <v>No tiene sello</v>
      </c>
      <c r="AK385" s="13">
        <f>IF(AJ385="No tiene sello",0,1)</f>
        <v>0</v>
      </c>
      <c r="AL385" s="13" t="str">
        <f>IF(Q385&gt;=300,"Exceso en sodio",IFERROR(IF(AND(F385=0,Q385&gt;0),"No tiene sello",IF(Q385/F385&gt;1,"Exceso en sodio","No tiene sello")),"No tiene sello"))</f>
        <v>No tiene sello</v>
      </c>
      <c r="AM385" s="13" t="str">
        <f>IFERROR(IF(F385=0,"No tiene sello",IF(+(AG385/1000)*9*100/F385&gt;1,"Exceso en grasa trans", "No tiene sello")),"No tiene sello")</f>
        <v>No tiene sello</v>
      </c>
    </row>
    <row r="386" spans="1:39" ht="13.5" customHeight="1" x14ac:dyDescent="0.25">
      <c r="A386" s="32" t="s">
        <v>890</v>
      </c>
      <c r="B386" s="32" t="s">
        <v>891</v>
      </c>
      <c r="C386" s="21"/>
      <c r="D386" s="22">
        <v>100</v>
      </c>
      <c r="E386" s="23">
        <v>77.3</v>
      </c>
      <c r="F386" s="24">
        <v>96</v>
      </c>
      <c r="G386" s="23">
        <v>405</v>
      </c>
      <c r="H386" s="24">
        <v>20.100000000000001</v>
      </c>
      <c r="I386" s="24">
        <v>1.7</v>
      </c>
      <c r="J386" s="24">
        <v>0</v>
      </c>
      <c r="K386" s="23">
        <v>0</v>
      </c>
      <c r="L386" s="23">
        <v>0</v>
      </c>
      <c r="M386" s="24">
        <v>0</v>
      </c>
      <c r="N386" s="23">
        <v>0.9</v>
      </c>
      <c r="O386" s="25">
        <v>10</v>
      </c>
      <c r="P386" s="25">
        <v>0.6</v>
      </c>
      <c r="Q386" s="23">
        <v>52</v>
      </c>
      <c r="R386" s="25">
        <v>170</v>
      </c>
      <c r="S386" s="23">
        <v>0.3</v>
      </c>
      <c r="T386" s="23">
        <v>27</v>
      </c>
      <c r="U386" s="23">
        <v>302</v>
      </c>
      <c r="V386" s="23">
        <v>0.04</v>
      </c>
      <c r="W386" s="23">
        <v>0.06</v>
      </c>
      <c r="X386" s="23">
        <v>3.9</v>
      </c>
      <c r="Y386" s="23">
        <v>24</v>
      </c>
      <c r="Z386" s="23">
        <v>1.59</v>
      </c>
      <c r="AA386" s="25">
        <v>0</v>
      </c>
      <c r="AB386" s="25">
        <v>0</v>
      </c>
      <c r="AC386" s="25">
        <v>3</v>
      </c>
      <c r="AD386" s="23">
        <v>0.6</v>
      </c>
      <c r="AE386" s="23">
        <v>0.5</v>
      </c>
      <c r="AF386" s="23">
        <v>0.4</v>
      </c>
      <c r="AG386" s="23">
        <v>0</v>
      </c>
      <c r="AH386" s="24">
        <v>50</v>
      </c>
      <c r="AI386" s="23">
        <v>62</v>
      </c>
      <c r="AJ386" s="13" t="str">
        <f xml:space="preserve"> IF(AD386&gt;F386,"Exceso en grasa saturada",IFERROR(IF(F386=0,"No tiene sello",IF((AD386*9)*100/F386&gt;10,"Exceso en grasa saturada","No tiene sello")),"No tiene sello"))</f>
        <v>No tiene sello</v>
      </c>
      <c r="AK386" s="13">
        <f>IF(AJ386="No tiene sello",0,1)</f>
        <v>0</v>
      </c>
      <c r="AL386" s="13" t="str">
        <f>IF(Q386&gt;=300,"Exceso en sodio",IFERROR(IF(AND(F386=0,Q386&gt;0),"No tiene sello",IF(Q386/F386&gt;1,"Exceso en sodio","No tiene sello")),"No tiene sello"))</f>
        <v>No tiene sello</v>
      </c>
      <c r="AM386" s="13" t="str">
        <f>IFERROR(IF(F386=0,"No tiene sello",IF(+(AG386/1000)*9*100/F386&gt;1,"Exceso en grasa trans", "No tiene sello")),"No tiene sello")</f>
        <v>No tiene sello</v>
      </c>
    </row>
    <row r="387" spans="1:39" ht="13.5" customHeight="1" x14ac:dyDescent="0.25">
      <c r="A387" s="26" t="s">
        <v>888</v>
      </c>
      <c r="B387" s="26" t="s">
        <v>889</v>
      </c>
      <c r="C387" s="27"/>
      <c r="D387" s="16">
        <v>100</v>
      </c>
      <c r="E387" s="28">
        <v>62.4</v>
      </c>
      <c r="F387" s="24">
        <v>227</v>
      </c>
      <c r="G387" s="28">
        <v>947</v>
      </c>
      <c r="H387" s="24">
        <v>26.3</v>
      </c>
      <c r="I387" s="24">
        <v>13.5</v>
      </c>
      <c r="J387" s="24">
        <v>0</v>
      </c>
      <c r="K387" s="28">
        <v>0</v>
      </c>
      <c r="L387" s="28">
        <v>0</v>
      </c>
      <c r="M387" s="24">
        <v>0</v>
      </c>
      <c r="N387" s="28">
        <v>3.1</v>
      </c>
      <c r="O387" s="25">
        <v>72</v>
      </c>
      <c r="P387" s="25">
        <v>1.9</v>
      </c>
      <c r="Q387" s="28">
        <v>250</v>
      </c>
      <c r="R387" s="25">
        <v>199</v>
      </c>
      <c r="S387" s="28">
        <v>0.9</v>
      </c>
      <c r="T387" s="28">
        <v>27</v>
      </c>
      <c r="U387" s="28">
        <v>388</v>
      </c>
      <c r="V387" s="28">
        <v>0.04</v>
      </c>
      <c r="W387" s="28">
        <v>0.12</v>
      </c>
      <c r="X387" s="28">
        <v>1.5</v>
      </c>
      <c r="Y387" s="28">
        <v>0</v>
      </c>
      <c r="Z387" s="28">
        <v>0</v>
      </c>
      <c r="AA387" s="25">
        <v>0</v>
      </c>
      <c r="AB387" s="25">
        <v>9</v>
      </c>
      <c r="AC387" s="25">
        <v>0</v>
      </c>
      <c r="AD387" s="28">
        <v>0</v>
      </c>
      <c r="AE387" s="28">
        <v>0</v>
      </c>
      <c r="AF387" s="28">
        <v>0</v>
      </c>
      <c r="AG387" s="28">
        <v>80</v>
      </c>
      <c r="AH387" s="24">
        <v>141</v>
      </c>
      <c r="AI387" s="28">
        <v>44</v>
      </c>
      <c r="AJ387" s="13" t="str">
        <f xml:space="preserve"> IF(AD387&gt;F387,"Exceso en grasa saturada",IFERROR(IF(F387=0,"No tiene sello",IF((AD387*9)*100/F387&gt;10,"Exceso en grasa saturada","No tiene sello")),"No tiene sello"))</f>
        <v>No tiene sello</v>
      </c>
      <c r="AK387" s="13">
        <f>IF(AJ387="No tiene sello",0,1)</f>
        <v>0</v>
      </c>
      <c r="AL387" s="13" t="str">
        <f>IF(Q387&gt;=300,"Exceso en sodio",IFERROR(IF(AND(F387=0,Q387&gt;0),"No tiene sello",IF(Q387/F387&gt;1,"Exceso en sodio","No tiene sello")),"No tiene sello"))</f>
        <v>Exceso en sodio</v>
      </c>
      <c r="AM387" s="13" t="str">
        <f>IFERROR(IF(F387=0,"No tiene sello",IF(+(AG387/1000)*9*100/F387&gt;1,"Exceso en grasa trans", "No tiene sello")),"No tiene sello")</f>
        <v>No tiene sello</v>
      </c>
    </row>
    <row r="388" spans="1:39" ht="13.5" customHeight="1" x14ac:dyDescent="0.25">
      <c r="A388" s="20" t="s">
        <v>886</v>
      </c>
      <c r="B388" s="20" t="s">
        <v>887</v>
      </c>
      <c r="C388" s="20" t="s">
        <v>880</v>
      </c>
      <c r="D388" s="22">
        <v>100</v>
      </c>
      <c r="E388" s="23">
        <v>55.6</v>
      </c>
      <c r="F388" s="24">
        <v>312</v>
      </c>
      <c r="G388" s="23">
        <v>1293</v>
      </c>
      <c r="H388" s="24">
        <v>16.2</v>
      </c>
      <c r="I388" s="24">
        <v>27.5</v>
      </c>
      <c r="J388" s="24">
        <v>0</v>
      </c>
      <c r="K388" s="23">
        <v>0</v>
      </c>
      <c r="L388" s="23">
        <v>0</v>
      </c>
      <c r="M388" s="24">
        <v>0</v>
      </c>
      <c r="N388" s="23">
        <v>1</v>
      </c>
      <c r="O388" s="25">
        <v>70</v>
      </c>
      <c r="P388" s="25">
        <v>0</v>
      </c>
      <c r="Q388" s="23">
        <v>0</v>
      </c>
      <c r="R388" s="25">
        <v>110</v>
      </c>
      <c r="S388" s="23">
        <v>0</v>
      </c>
      <c r="T388" s="23">
        <v>0</v>
      </c>
      <c r="U388" s="23">
        <v>0</v>
      </c>
      <c r="V388" s="23">
        <v>0</v>
      </c>
      <c r="W388" s="23">
        <v>0</v>
      </c>
      <c r="X388" s="23">
        <v>0</v>
      </c>
      <c r="Y388" s="23">
        <v>0</v>
      </c>
      <c r="Z388" s="23">
        <v>0</v>
      </c>
      <c r="AA388" s="25">
        <v>0</v>
      </c>
      <c r="AB388" s="25">
        <v>0</v>
      </c>
      <c r="AC388" s="25">
        <v>3</v>
      </c>
      <c r="AD388" s="23">
        <v>0</v>
      </c>
      <c r="AE388" s="23">
        <v>0</v>
      </c>
      <c r="AF388" s="23">
        <v>0</v>
      </c>
      <c r="AG388" s="23">
        <v>0</v>
      </c>
      <c r="AH388" s="24">
        <v>0</v>
      </c>
      <c r="AI388" s="23"/>
      <c r="AJ388" s="13" t="str">
        <f xml:space="preserve"> IF(AD388&gt;F388,"Exceso en grasa saturada",IFERROR(IF(F388=0,"No tiene sello",IF((AD388*9)*100/F388&gt;10,"Exceso en grasa saturada","No tiene sello")),"No tiene sello"))</f>
        <v>No tiene sello</v>
      </c>
      <c r="AK388" s="13">
        <f>IF(AJ388="No tiene sello",0,1)</f>
        <v>0</v>
      </c>
      <c r="AL388" s="13" t="str">
        <f>IF(Q388&gt;=300,"Exceso en sodio",IFERROR(IF(AND(F388=0,Q388&gt;0),"No tiene sello",IF(Q388/F388&gt;1,"Exceso en sodio","No tiene sello")),"No tiene sello"))</f>
        <v>No tiene sello</v>
      </c>
      <c r="AM388" s="13" t="str">
        <f>IFERROR(IF(F388=0,"No tiene sello",IF(+(AG388/1000)*9*100/F388&gt;1,"Exceso en grasa trans", "No tiene sello")),"No tiene sello")</f>
        <v>No tiene sello</v>
      </c>
    </row>
    <row r="389" spans="1:39" ht="13.5" customHeight="1" x14ac:dyDescent="0.25">
      <c r="A389" s="26" t="s">
        <v>884</v>
      </c>
      <c r="B389" s="26" t="s">
        <v>885</v>
      </c>
      <c r="C389" s="27"/>
      <c r="D389" s="16">
        <v>100</v>
      </c>
      <c r="E389" s="28">
        <v>71.400000000000006</v>
      </c>
      <c r="F389" s="24">
        <v>142</v>
      </c>
      <c r="G389" s="28">
        <v>597</v>
      </c>
      <c r="H389" s="24">
        <v>20.8</v>
      </c>
      <c r="I389" s="24">
        <v>6.6</v>
      </c>
      <c r="J389" s="24">
        <v>0</v>
      </c>
      <c r="K389" s="28">
        <v>0</v>
      </c>
      <c r="L389" s="28">
        <v>0</v>
      </c>
      <c r="M389" s="24">
        <v>0</v>
      </c>
      <c r="N389" s="28">
        <v>1.2</v>
      </c>
      <c r="O389" s="25">
        <v>16</v>
      </c>
      <c r="P389" s="25">
        <v>1.3</v>
      </c>
      <c r="Q389" s="28">
        <v>58</v>
      </c>
      <c r="R389" s="25">
        <v>251</v>
      </c>
      <c r="S389" s="28">
        <v>0.6</v>
      </c>
      <c r="T389" s="28">
        <v>30</v>
      </c>
      <c r="U389" s="28">
        <v>346</v>
      </c>
      <c r="V389" s="28">
        <v>0.06</v>
      </c>
      <c r="W389" s="28">
        <v>0.19</v>
      </c>
      <c r="X389" s="28">
        <v>3.2</v>
      </c>
      <c r="Y389" s="28">
        <v>5</v>
      </c>
      <c r="Z389" s="28">
        <v>4.32</v>
      </c>
      <c r="AA389" s="25">
        <v>0</v>
      </c>
      <c r="AB389" s="25">
        <v>16</v>
      </c>
      <c r="AC389" s="25">
        <v>8</v>
      </c>
      <c r="AD389" s="28">
        <v>0.9</v>
      </c>
      <c r="AE389" s="28">
        <v>1.3</v>
      </c>
      <c r="AF389" s="28">
        <v>1.1000000000000001</v>
      </c>
      <c r="AG389" s="28">
        <v>0</v>
      </c>
      <c r="AH389" s="24">
        <v>82</v>
      </c>
      <c r="AI389" s="28">
        <v>52</v>
      </c>
      <c r="AJ389" s="13" t="str">
        <f xml:space="preserve"> IF(AD389&gt;F389,"Exceso en grasa saturada",IFERROR(IF(F389=0,"No tiene sello",IF((AD389*9)*100/F389&gt;10,"Exceso en grasa saturada","No tiene sello")),"No tiene sello"))</f>
        <v>No tiene sello</v>
      </c>
      <c r="AK389" s="13">
        <f>IF(AJ389="No tiene sello",0,1)</f>
        <v>0</v>
      </c>
      <c r="AL389" s="13" t="str">
        <f>IF(Q389&gt;=300,"Exceso en sodio",IFERROR(IF(AND(F389=0,Q389&gt;0),"No tiene sello",IF(Q389/F389&gt;1,"Exceso en sodio","No tiene sello")),"No tiene sello"))</f>
        <v>No tiene sello</v>
      </c>
      <c r="AM389" s="13" t="str">
        <f>IFERROR(IF(F389=0,"No tiene sello",IF(+(AG389/1000)*9*100/F389&gt;1,"Exceso en grasa trans", "No tiene sello")),"No tiene sello")</f>
        <v>No tiene sello</v>
      </c>
    </row>
    <row r="390" spans="1:39" ht="13.5" customHeight="1" x14ac:dyDescent="0.25">
      <c r="A390" s="20" t="s">
        <v>882</v>
      </c>
      <c r="B390" s="20" t="s">
        <v>883</v>
      </c>
      <c r="C390" s="21"/>
      <c r="D390" s="22">
        <v>100</v>
      </c>
      <c r="E390" s="23">
        <v>72.7</v>
      </c>
      <c r="F390" s="24">
        <v>135</v>
      </c>
      <c r="G390" s="23">
        <v>567</v>
      </c>
      <c r="H390" s="24">
        <v>19.899999999999999</v>
      </c>
      <c r="I390" s="24">
        <v>6.2</v>
      </c>
      <c r="J390" s="24">
        <v>0</v>
      </c>
      <c r="K390" s="23">
        <v>0</v>
      </c>
      <c r="L390" s="23">
        <v>0</v>
      </c>
      <c r="M390" s="24">
        <v>0</v>
      </c>
      <c r="N390" s="23">
        <v>1.2</v>
      </c>
      <c r="O390" s="25">
        <v>34</v>
      </c>
      <c r="P390" s="25">
        <v>0.3</v>
      </c>
      <c r="Q390" s="23">
        <v>52</v>
      </c>
      <c r="R390" s="25">
        <v>227</v>
      </c>
      <c r="S390" s="23">
        <v>0.7</v>
      </c>
      <c r="T390" s="23">
        <v>25</v>
      </c>
      <c r="U390" s="23">
        <v>306</v>
      </c>
      <c r="V390" s="23">
        <v>0.17</v>
      </c>
      <c r="W390" s="23">
        <v>0.1</v>
      </c>
      <c r="X390" s="23">
        <v>4.8</v>
      </c>
      <c r="Y390" s="23">
        <v>9</v>
      </c>
      <c r="Z390" s="23">
        <v>5.2</v>
      </c>
      <c r="AA390" s="25">
        <v>0</v>
      </c>
      <c r="AB390" s="25">
        <v>14</v>
      </c>
      <c r="AC390" s="25">
        <v>8</v>
      </c>
      <c r="AD390" s="23">
        <v>0.8</v>
      </c>
      <c r="AE390" s="23">
        <v>2</v>
      </c>
      <c r="AF390" s="23">
        <v>1.7</v>
      </c>
      <c r="AG390" s="23">
        <v>0</v>
      </c>
      <c r="AH390" s="24">
        <v>58</v>
      </c>
      <c r="AI390" s="23">
        <v>52</v>
      </c>
      <c r="AJ390" s="13" t="str">
        <f xml:space="preserve"> IF(AD390&gt;F390,"Exceso en grasa saturada",IFERROR(IF(F390=0,"No tiene sello",IF((AD390*9)*100/F390&gt;10,"Exceso en grasa saturada","No tiene sello")),"No tiene sello"))</f>
        <v>No tiene sello</v>
      </c>
      <c r="AK390" s="13">
        <f>IF(AJ390="No tiene sello",0,1)</f>
        <v>0</v>
      </c>
      <c r="AL390" s="13" t="str">
        <f>IF(Q390&gt;=300,"Exceso en sodio",IFERROR(IF(AND(F390=0,Q390&gt;0),"No tiene sello",IF(Q390/F390&gt;1,"Exceso en sodio","No tiene sello")),"No tiene sello"))</f>
        <v>No tiene sello</v>
      </c>
      <c r="AM390" s="13" t="str">
        <f>IFERROR(IF(F390=0,"No tiene sello",IF(+(AG390/1000)*9*100/F390&gt;1,"Exceso en grasa trans", "No tiene sello")),"No tiene sello")</f>
        <v>No tiene sello</v>
      </c>
    </row>
    <row r="391" spans="1:39" ht="13.5" customHeight="1" x14ac:dyDescent="0.25">
      <c r="A391" s="26" t="s">
        <v>879</v>
      </c>
      <c r="B391" s="26" t="s">
        <v>881</v>
      </c>
      <c r="C391" s="26" t="s">
        <v>880</v>
      </c>
      <c r="D391" s="16">
        <v>100</v>
      </c>
      <c r="E391" s="28">
        <v>63.8</v>
      </c>
      <c r="F391" s="24">
        <v>211</v>
      </c>
      <c r="G391" s="28">
        <v>876</v>
      </c>
      <c r="H391" s="24">
        <v>16.3</v>
      </c>
      <c r="I391" s="24">
        <v>16.100000000000001</v>
      </c>
      <c r="J391" s="24">
        <v>0.2</v>
      </c>
      <c r="K391" s="28">
        <v>0</v>
      </c>
      <c r="L391" s="28">
        <v>0.02</v>
      </c>
      <c r="M391" s="24">
        <v>0</v>
      </c>
      <c r="N391" s="28">
        <v>3.7</v>
      </c>
      <c r="O391" s="25">
        <v>865</v>
      </c>
      <c r="P391" s="25">
        <v>0</v>
      </c>
      <c r="Q391" s="28">
        <v>0</v>
      </c>
      <c r="R391" s="25">
        <v>480</v>
      </c>
      <c r="S391" s="28">
        <v>0</v>
      </c>
      <c r="T391" s="28">
        <v>0</v>
      </c>
      <c r="U391" s="28">
        <v>0</v>
      </c>
      <c r="V391" s="28">
        <v>0</v>
      </c>
      <c r="W391" s="28">
        <v>0</v>
      </c>
      <c r="X391" s="28">
        <v>0</v>
      </c>
      <c r="Y391" s="28">
        <v>0</v>
      </c>
      <c r="Z391" s="28">
        <v>0</v>
      </c>
      <c r="AA391" s="25">
        <v>0</v>
      </c>
      <c r="AB391" s="25">
        <v>0</v>
      </c>
      <c r="AC391" s="25">
        <v>8</v>
      </c>
      <c r="AD391" s="28">
        <v>0</v>
      </c>
      <c r="AE391" s="28">
        <v>0</v>
      </c>
      <c r="AF391" s="28">
        <v>0</v>
      </c>
      <c r="AG391" s="28">
        <v>0</v>
      </c>
      <c r="AH391" s="24">
        <v>0</v>
      </c>
      <c r="AI391" s="28"/>
      <c r="AJ391" s="13" t="str">
        <f xml:space="preserve"> IF(AD391&gt;F391,"Exceso en grasa saturada",IFERROR(IF(F391=0,"No tiene sello",IF((AD391*9)*100/F391&gt;10,"Exceso en grasa saturada","No tiene sello")),"No tiene sello"))</f>
        <v>No tiene sello</v>
      </c>
      <c r="AK391" s="13">
        <f>IF(AJ391="No tiene sello",0,1)</f>
        <v>0</v>
      </c>
      <c r="AL391" s="13" t="str">
        <f>IF(Q391&gt;=300,"Exceso en sodio",IFERROR(IF(AND(F391=0,Q391&gt;0),"No tiene sello",IF(Q391/F391&gt;1,"Exceso en sodio","No tiene sello")),"No tiene sello"))</f>
        <v>No tiene sello</v>
      </c>
      <c r="AM391" s="13" t="str">
        <f>IFERROR(IF(F391=0,"No tiene sello",IF(+(AG391/1000)*9*100/F391&gt;1,"Exceso en grasa trans", "No tiene sello")),"No tiene sello")</f>
        <v>No tiene sello</v>
      </c>
    </row>
    <row r="392" spans="1:39" ht="13.5" customHeight="1" x14ac:dyDescent="0.25">
      <c r="A392" s="20" t="s">
        <v>877</v>
      </c>
      <c r="B392" s="20" t="s">
        <v>878</v>
      </c>
      <c r="C392" s="21"/>
      <c r="D392" s="22">
        <v>100</v>
      </c>
      <c r="E392" s="23">
        <v>64.5</v>
      </c>
      <c r="F392" s="24">
        <v>165</v>
      </c>
      <c r="G392" s="23">
        <v>693</v>
      </c>
      <c r="H392" s="24">
        <v>29</v>
      </c>
      <c r="I392" s="24">
        <v>5.4</v>
      </c>
      <c r="J392" s="24">
        <v>0</v>
      </c>
      <c r="K392" s="23">
        <v>0</v>
      </c>
      <c r="L392" s="23">
        <v>0</v>
      </c>
      <c r="M392" s="24">
        <v>0</v>
      </c>
      <c r="N392" s="23">
        <v>1.1000000000000001</v>
      </c>
      <c r="O392" s="25">
        <v>30</v>
      </c>
      <c r="P392" s="25">
        <v>10.9</v>
      </c>
      <c r="Q392" s="23">
        <v>0</v>
      </c>
      <c r="R392" s="25">
        <v>208</v>
      </c>
      <c r="S392" s="23">
        <v>0</v>
      </c>
      <c r="T392" s="23">
        <v>0</v>
      </c>
      <c r="U392" s="23">
        <v>385</v>
      </c>
      <c r="V392" s="23">
        <v>0.1</v>
      </c>
      <c r="W392" s="23">
        <v>0.4</v>
      </c>
      <c r="X392" s="23">
        <v>6</v>
      </c>
      <c r="Y392" s="23">
        <v>0</v>
      </c>
      <c r="Z392" s="23">
        <v>0</v>
      </c>
      <c r="AA392" s="25">
        <v>0</v>
      </c>
      <c r="AB392" s="25">
        <v>0</v>
      </c>
      <c r="AC392" s="25">
        <v>0</v>
      </c>
      <c r="AD392" s="23">
        <v>0</v>
      </c>
      <c r="AE392" s="23">
        <v>0</v>
      </c>
      <c r="AF392" s="23">
        <v>0</v>
      </c>
      <c r="AG392" s="23">
        <v>0</v>
      </c>
      <c r="AH392" s="24">
        <v>0</v>
      </c>
      <c r="AI392" s="23">
        <v>100</v>
      </c>
      <c r="AJ392" s="13" t="str">
        <f xml:space="preserve"> IF(AD392&gt;F392,"Exceso en grasa saturada",IFERROR(IF(F392=0,"No tiene sello",IF((AD392*9)*100/F392&gt;10,"Exceso en grasa saturada","No tiene sello")),"No tiene sello"))</f>
        <v>No tiene sello</v>
      </c>
      <c r="AK392" s="13">
        <f>IF(AJ392="No tiene sello",0,1)</f>
        <v>0</v>
      </c>
      <c r="AL392" s="13" t="str">
        <f>IF(Q392&gt;=300,"Exceso en sodio",IFERROR(IF(AND(F392=0,Q392&gt;0),"No tiene sello",IF(Q392/F392&gt;1,"Exceso en sodio","No tiene sello")),"No tiene sello"))</f>
        <v>No tiene sello</v>
      </c>
      <c r="AM392" s="13" t="str">
        <f>IFERROR(IF(F392=0,"No tiene sello",IF(+(AG392/1000)*9*100/F392&gt;1,"Exceso en grasa trans", "No tiene sello")),"No tiene sello")</f>
        <v>No tiene sello</v>
      </c>
    </row>
    <row r="393" spans="1:39" ht="13.5" customHeight="1" x14ac:dyDescent="0.25">
      <c r="A393" s="26" t="s">
        <v>875</v>
      </c>
      <c r="B393" s="26" t="s">
        <v>876</v>
      </c>
      <c r="C393" s="27"/>
      <c r="D393" s="47">
        <v>100</v>
      </c>
      <c r="E393" s="28">
        <v>67.7</v>
      </c>
      <c r="F393" s="24">
        <v>126</v>
      </c>
      <c r="G393" s="28">
        <v>537</v>
      </c>
      <c r="H393" s="24">
        <v>30.8</v>
      </c>
      <c r="I393" s="24">
        <v>0.4</v>
      </c>
      <c r="J393" s="24">
        <v>0</v>
      </c>
      <c r="K393" s="28">
        <v>0</v>
      </c>
      <c r="L393" s="28">
        <v>0</v>
      </c>
      <c r="M393" s="24">
        <v>0</v>
      </c>
      <c r="N393" s="28">
        <v>1.2</v>
      </c>
      <c r="O393" s="25">
        <v>0</v>
      </c>
      <c r="P393" s="25">
        <v>0</v>
      </c>
      <c r="Q393" s="28">
        <v>0</v>
      </c>
      <c r="R393" s="25">
        <v>0</v>
      </c>
      <c r="S393" s="28">
        <v>0</v>
      </c>
      <c r="T393" s="28">
        <v>0</v>
      </c>
      <c r="U393" s="28">
        <v>0</v>
      </c>
      <c r="V393" s="28">
        <v>0</v>
      </c>
      <c r="W393" s="28">
        <v>0</v>
      </c>
      <c r="X393" s="28">
        <v>0</v>
      </c>
      <c r="Y393" s="28">
        <v>0</v>
      </c>
      <c r="Z393" s="28">
        <v>0</v>
      </c>
      <c r="AA393" s="25">
        <v>0</v>
      </c>
      <c r="AB393" s="25">
        <v>0</v>
      </c>
      <c r="AC393" s="25">
        <v>0</v>
      </c>
      <c r="AD393" s="28">
        <v>0</v>
      </c>
      <c r="AE393" s="28">
        <v>0</v>
      </c>
      <c r="AF393" s="28">
        <v>0</v>
      </c>
      <c r="AG393" s="28">
        <v>0</v>
      </c>
      <c r="AH393" s="24">
        <v>0</v>
      </c>
      <c r="AI393" s="28"/>
      <c r="AJ393" s="13" t="str">
        <f xml:space="preserve"> IF(AD393&gt;F393,"Exceso en grasa saturada",IFERROR(IF(F393=0,"No tiene sello",IF((AD393*9)*100/F393&gt;10,"Exceso en grasa saturada","No tiene sello")),"No tiene sello"))</f>
        <v>No tiene sello</v>
      </c>
      <c r="AK393" s="13">
        <f>IF(AJ393="No tiene sello",0,1)</f>
        <v>0</v>
      </c>
      <c r="AL393" s="13" t="str">
        <f>IF(Q393&gt;=300,"Exceso en sodio",IFERROR(IF(AND(F393=0,Q393&gt;0),"No tiene sello",IF(Q393/F393&gt;1,"Exceso en sodio","No tiene sello")),"No tiene sello"))</f>
        <v>No tiene sello</v>
      </c>
      <c r="AM393" s="13" t="str">
        <f>IFERROR(IF(F393=0,"No tiene sello",IF(+(AG393/1000)*9*100/F393&gt;1,"Exceso en grasa trans", "No tiene sello")),"No tiene sello")</f>
        <v>No tiene sello</v>
      </c>
    </row>
    <row r="394" spans="1:39" ht="13.5" customHeight="1" x14ac:dyDescent="0.25">
      <c r="A394" s="20" t="s">
        <v>873</v>
      </c>
      <c r="B394" s="20" t="s">
        <v>874</v>
      </c>
      <c r="C394" s="21"/>
      <c r="D394" s="46">
        <v>100</v>
      </c>
      <c r="E394" s="23">
        <v>57.8</v>
      </c>
      <c r="F394" s="24">
        <v>256</v>
      </c>
      <c r="G394" s="23">
        <v>1062</v>
      </c>
      <c r="H394" s="24">
        <v>15.2</v>
      </c>
      <c r="I394" s="24">
        <v>20.2</v>
      </c>
      <c r="J394" s="24">
        <v>3.3</v>
      </c>
      <c r="K394" s="23">
        <v>0</v>
      </c>
      <c r="L394" s="23">
        <v>0.33</v>
      </c>
      <c r="M394" s="24">
        <v>0</v>
      </c>
      <c r="N394" s="23">
        <v>3.5</v>
      </c>
      <c r="O394" s="25">
        <v>51</v>
      </c>
      <c r="P394" s="25">
        <v>1.9</v>
      </c>
      <c r="Q394" s="23">
        <v>703</v>
      </c>
      <c r="R394" s="25">
        <v>51</v>
      </c>
      <c r="S394" s="23">
        <v>0</v>
      </c>
      <c r="T394" s="23">
        <v>15</v>
      </c>
      <c r="U394" s="23">
        <v>140</v>
      </c>
      <c r="V394" s="23">
        <v>0.04</v>
      </c>
      <c r="W394" s="23">
        <v>0.13</v>
      </c>
      <c r="X394" s="23">
        <v>2.4</v>
      </c>
      <c r="Y394" s="23">
        <v>2</v>
      </c>
      <c r="Z394" s="23">
        <v>0</v>
      </c>
      <c r="AA394" s="25">
        <v>0</v>
      </c>
      <c r="AB394" s="25">
        <v>0</v>
      </c>
      <c r="AC394" s="25">
        <v>0</v>
      </c>
      <c r="AD394" s="23">
        <v>6.8</v>
      </c>
      <c r="AE394" s="23">
        <v>8.9</v>
      </c>
      <c r="AF394" s="23">
        <v>3</v>
      </c>
      <c r="AG394" s="23">
        <v>50</v>
      </c>
      <c r="AH394" s="24">
        <v>50</v>
      </c>
      <c r="AI394" s="23">
        <v>100</v>
      </c>
      <c r="AJ394" s="13" t="str">
        <f xml:space="preserve"> IF(AD394&gt;F394,"Exceso en grasa saturada",IFERROR(IF(F394=0,"No tiene sello",IF((AD394*9)*100/F394&gt;10,"Exceso en grasa saturada","No tiene sello")),"No tiene sello"))</f>
        <v>Exceso en grasa saturada</v>
      </c>
      <c r="AK394" s="13">
        <f>IF(AJ394="No tiene sello",0,1)</f>
        <v>1</v>
      </c>
      <c r="AL394" s="13" t="str">
        <f>IF(Q394&gt;=300,"Exceso en sodio",IFERROR(IF(AND(F394=0,Q394&gt;0),"No tiene sello",IF(Q394/F394&gt;1,"Exceso en sodio","No tiene sello")),"No tiene sello"))</f>
        <v>Exceso en sodio</v>
      </c>
      <c r="AM394" s="13" t="str">
        <f>IFERROR(IF(F394=0,"No tiene sello",IF(+(AG394/1000)*9*100/F394&gt;1,"Exceso en grasa trans", "No tiene sello")),"No tiene sello")</f>
        <v>No tiene sello</v>
      </c>
    </row>
    <row r="395" spans="1:39" ht="13.5" customHeight="1" x14ac:dyDescent="0.25">
      <c r="A395" s="26" t="s">
        <v>871</v>
      </c>
      <c r="B395" s="26" t="s">
        <v>872</v>
      </c>
      <c r="C395" s="27"/>
      <c r="D395" s="47">
        <v>100</v>
      </c>
      <c r="E395" s="28">
        <v>68.400000000000006</v>
      </c>
      <c r="F395" s="24">
        <v>137</v>
      </c>
      <c r="G395" s="28">
        <v>579</v>
      </c>
      <c r="H395" s="24">
        <v>27.1</v>
      </c>
      <c r="I395" s="24">
        <v>3</v>
      </c>
      <c r="J395" s="24">
        <v>0.4</v>
      </c>
      <c r="K395" s="28">
        <v>0</v>
      </c>
      <c r="L395" s="28">
        <v>0.04</v>
      </c>
      <c r="M395" s="24">
        <v>0</v>
      </c>
      <c r="N395" s="28">
        <v>1.1000000000000001</v>
      </c>
      <c r="O395" s="25">
        <v>17</v>
      </c>
      <c r="P395" s="25">
        <v>3.7</v>
      </c>
      <c r="Q395" s="28">
        <v>80</v>
      </c>
      <c r="R395" s="25">
        <v>201</v>
      </c>
      <c r="S395" s="28">
        <v>5.3</v>
      </c>
      <c r="T395" s="28">
        <v>0</v>
      </c>
      <c r="U395" s="28">
        <v>360</v>
      </c>
      <c r="V395" s="28">
        <v>0.09</v>
      </c>
      <c r="W395" s="28">
        <v>0.61</v>
      </c>
      <c r="X395" s="28">
        <v>4</v>
      </c>
      <c r="Y395" s="28">
        <v>5</v>
      </c>
      <c r="Z395" s="28">
        <v>1.19</v>
      </c>
      <c r="AA395" s="25">
        <v>0</v>
      </c>
      <c r="AB395" s="25">
        <v>0</v>
      </c>
      <c r="AC395" s="25">
        <v>0</v>
      </c>
      <c r="AD395" s="28">
        <v>0.9</v>
      </c>
      <c r="AE395" s="28">
        <v>1.4</v>
      </c>
      <c r="AF395" s="28">
        <v>0.2</v>
      </c>
      <c r="AG395" s="28">
        <v>5</v>
      </c>
      <c r="AH395" s="24">
        <v>71</v>
      </c>
      <c r="AI395" s="28">
        <v>100</v>
      </c>
      <c r="AJ395" s="13" t="str">
        <f xml:space="preserve"> IF(AD395&gt;F395,"Exceso en grasa saturada",IFERROR(IF(F395=0,"No tiene sello",IF((AD395*9)*100/F395&gt;10,"Exceso en grasa saturada","No tiene sello")),"No tiene sello"))</f>
        <v>No tiene sello</v>
      </c>
      <c r="AK395" s="13">
        <f>IF(AJ395="No tiene sello",0,1)</f>
        <v>0</v>
      </c>
      <c r="AL395" s="13" t="str">
        <f>IF(Q395&gt;=300,"Exceso en sodio",IFERROR(IF(AND(F395=0,Q395&gt;0),"No tiene sello",IF(Q395/F395&gt;1,"Exceso en sodio","No tiene sello")),"No tiene sello"))</f>
        <v>No tiene sello</v>
      </c>
      <c r="AM395" s="13" t="str">
        <f>IFERROR(IF(F395=0,"No tiene sello",IF(+(AG395/1000)*9*100/F395&gt;1,"Exceso en grasa trans", "No tiene sello")),"No tiene sello")</f>
        <v>No tiene sello</v>
      </c>
    </row>
    <row r="396" spans="1:39" ht="13.5" customHeight="1" x14ac:dyDescent="0.25">
      <c r="A396" s="20" t="s">
        <v>869</v>
      </c>
      <c r="B396" s="20" t="s">
        <v>870</v>
      </c>
      <c r="C396" s="21"/>
      <c r="D396" s="46">
        <v>100</v>
      </c>
      <c r="E396" s="23">
        <v>75.8</v>
      </c>
      <c r="F396" s="24">
        <v>104</v>
      </c>
      <c r="G396" s="23">
        <v>439</v>
      </c>
      <c r="H396" s="24">
        <v>20.6</v>
      </c>
      <c r="I396" s="24">
        <v>2.2999999999999998</v>
      </c>
      <c r="J396" s="24">
        <v>0.2</v>
      </c>
      <c r="K396" s="23">
        <v>0</v>
      </c>
      <c r="L396" s="23">
        <v>0.02</v>
      </c>
      <c r="M396" s="24">
        <v>0</v>
      </c>
      <c r="N396" s="23">
        <v>1.1000000000000001</v>
      </c>
      <c r="O396" s="25">
        <v>13</v>
      </c>
      <c r="P396" s="25">
        <v>2.8</v>
      </c>
      <c r="Q396" s="23">
        <v>82</v>
      </c>
      <c r="R396" s="25">
        <v>180</v>
      </c>
      <c r="S396" s="23">
        <v>4</v>
      </c>
      <c r="T396" s="23">
        <v>15</v>
      </c>
      <c r="U396" s="23">
        <v>385</v>
      </c>
      <c r="V396" s="23">
        <v>0.11</v>
      </c>
      <c r="W396" s="23">
        <v>0.49</v>
      </c>
      <c r="X396" s="23">
        <v>3.8</v>
      </c>
      <c r="Y396" s="23">
        <v>5</v>
      </c>
      <c r="Z396" s="23">
        <v>1.1299999999999999</v>
      </c>
      <c r="AA396" s="25">
        <v>0</v>
      </c>
      <c r="AB396" s="25">
        <v>0</v>
      </c>
      <c r="AC396" s="25">
        <v>0</v>
      </c>
      <c r="AD396" s="23">
        <v>0.7</v>
      </c>
      <c r="AE396" s="23">
        <v>1</v>
      </c>
      <c r="AF396" s="23">
        <v>0.2</v>
      </c>
      <c r="AG396" s="23">
        <v>5</v>
      </c>
      <c r="AH396" s="24">
        <v>57</v>
      </c>
      <c r="AI396" s="23">
        <v>100</v>
      </c>
      <c r="AJ396" s="13" t="str">
        <f xml:space="preserve"> IF(AD396&gt;F396,"Exceso en grasa saturada",IFERROR(IF(F396=0,"No tiene sello",IF((AD396*9)*100/F396&gt;10,"Exceso en grasa saturada","No tiene sello")),"No tiene sello"))</f>
        <v>No tiene sello</v>
      </c>
      <c r="AK396" s="13">
        <f>IF(AJ396="No tiene sello",0,1)</f>
        <v>0</v>
      </c>
      <c r="AL396" s="13" t="str">
        <f>IF(Q396&gt;=300,"Exceso en sodio",IFERROR(IF(AND(F396=0,Q396&gt;0),"No tiene sello",IF(Q396/F396&gt;1,"Exceso en sodio","No tiene sello")),"No tiene sello"))</f>
        <v>No tiene sello</v>
      </c>
      <c r="AM396" s="13" t="str">
        <f>IFERROR(IF(F396=0,"No tiene sello",IF(+(AG396/1000)*9*100/F396&gt;1,"Exceso en grasa trans", "No tiene sello")),"No tiene sello")</f>
        <v>No tiene sello</v>
      </c>
    </row>
    <row r="397" spans="1:39" ht="13.5" customHeight="1" x14ac:dyDescent="0.25">
      <c r="A397" s="26" t="s">
        <v>867</v>
      </c>
      <c r="B397" s="26" t="s">
        <v>868</v>
      </c>
      <c r="C397" s="27"/>
      <c r="D397" s="47">
        <v>100</v>
      </c>
      <c r="E397" s="28">
        <v>81.900000000000006</v>
      </c>
      <c r="F397" s="24">
        <v>66</v>
      </c>
      <c r="G397" s="28">
        <v>280</v>
      </c>
      <c r="H397" s="24">
        <v>11.8</v>
      </c>
      <c r="I397" s="24">
        <v>0.1</v>
      </c>
      <c r="J397" s="24">
        <v>4.5</v>
      </c>
      <c r="K397" s="28">
        <v>0</v>
      </c>
      <c r="L397" s="28">
        <v>0.45</v>
      </c>
      <c r="M397" s="24">
        <v>0</v>
      </c>
      <c r="N397" s="28">
        <v>1.8</v>
      </c>
      <c r="O397" s="25">
        <v>53</v>
      </c>
      <c r="P397" s="25">
        <v>2.2000000000000002</v>
      </c>
      <c r="Q397" s="28">
        <v>0</v>
      </c>
      <c r="R397" s="25">
        <v>75</v>
      </c>
      <c r="S397" s="28">
        <v>0</v>
      </c>
      <c r="T397" s="28">
        <v>0</v>
      </c>
      <c r="U397" s="28">
        <v>0</v>
      </c>
      <c r="V397" s="28">
        <v>0.11</v>
      </c>
      <c r="W397" s="28">
        <v>0.11</v>
      </c>
      <c r="X397" s="28">
        <v>0.4</v>
      </c>
      <c r="Y397" s="28">
        <v>0</v>
      </c>
      <c r="Z397" s="28">
        <v>0</v>
      </c>
      <c r="AA397" s="25">
        <v>2</v>
      </c>
      <c r="AB397" s="25">
        <v>0</v>
      </c>
      <c r="AC397" s="25">
        <v>0</v>
      </c>
      <c r="AD397" s="28">
        <v>0</v>
      </c>
      <c r="AE397" s="28">
        <v>0</v>
      </c>
      <c r="AF397" s="28">
        <v>0</v>
      </c>
      <c r="AG397" s="28">
        <v>0</v>
      </c>
      <c r="AH397" s="24">
        <v>0</v>
      </c>
      <c r="AI397" s="28">
        <v>100</v>
      </c>
      <c r="AJ397" s="13" t="str">
        <f xml:space="preserve"> IF(AD397&gt;F397,"Exceso en grasa saturada",IFERROR(IF(F397=0,"No tiene sello",IF((AD397*9)*100/F397&gt;10,"Exceso en grasa saturada","No tiene sello")),"No tiene sello"))</f>
        <v>No tiene sello</v>
      </c>
      <c r="AK397" s="13">
        <f>IF(AJ397="No tiene sello",0,1)</f>
        <v>0</v>
      </c>
      <c r="AL397" s="13" t="str">
        <f>IF(Q397&gt;=300,"Exceso en sodio",IFERROR(IF(AND(F397=0,Q397&gt;0),"No tiene sello",IF(Q397/F397&gt;1,"Exceso en sodio","No tiene sello")),"No tiene sello"))</f>
        <v>No tiene sello</v>
      </c>
      <c r="AM397" s="13" t="str">
        <f>IFERROR(IF(F397=0,"No tiene sello",IF(+(AG397/1000)*9*100/F397&gt;1,"Exceso en grasa trans", "No tiene sello")),"No tiene sello")</f>
        <v>No tiene sello</v>
      </c>
    </row>
    <row r="398" spans="1:39" ht="13.5" customHeight="1" x14ac:dyDescent="0.25">
      <c r="A398" s="20" t="s">
        <v>865</v>
      </c>
      <c r="B398" s="20" t="s">
        <v>866</v>
      </c>
      <c r="C398" s="20" t="s">
        <v>861</v>
      </c>
      <c r="D398" s="46">
        <v>100</v>
      </c>
      <c r="E398" s="23">
        <v>63.5</v>
      </c>
      <c r="F398" s="24">
        <v>184</v>
      </c>
      <c r="G398" s="23">
        <v>769</v>
      </c>
      <c r="H398" s="24">
        <v>26.8</v>
      </c>
      <c r="I398" s="24">
        <v>8.5</v>
      </c>
      <c r="J398" s="24">
        <v>0</v>
      </c>
      <c r="K398" s="23">
        <v>0</v>
      </c>
      <c r="L398" s="23">
        <v>0</v>
      </c>
      <c r="M398" s="24">
        <v>0</v>
      </c>
      <c r="N398" s="23">
        <v>1.2</v>
      </c>
      <c r="O398" s="25">
        <v>14</v>
      </c>
      <c r="P398" s="25">
        <v>0.9</v>
      </c>
      <c r="Q398" s="23">
        <v>86</v>
      </c>
      <c r="R398" s="25">
        <v>213</v>
      </c>
      <c r="S398" s="23">
        <v>3.4</v>
      </c>
      <c r="T398" s="23">
        <v>23</v>
      </c>
      <c r="U398" s="23">
        <v>366</v>
      </c>
      <c r="V398" s="23">
        <v>0.63</v>
      </c>
      <c r="W398" s="23">
        <v>0.39</v>
      </c>
      <c r="X398" s="23">
        <v>5.4</v>
      </c>
      <c r="Y398" s="23">
        <v>5</v>
      </c>
      <c r="Z398" s="23">
        <v>0.76</v>
      </c>
      <c r="AA398" s="25">
        <v>0</v>
      </c>
      <c r="AB398" s="25">
        <v>2</v>
      </c>
      <c r="AC398" s="25">
        <v>0</v>
      </c>
      <c r="AD398" s="23">
        <v>3.7</v>
      </c>
      <c r="AE398" s="23">
        <v>3.8</v>
      </c>
      <c r="AF398" s="23">
        <v>1.1000000000000001</v>
      </c>
      <c r="AG398" s="23">
        <v>10</v>
      </c>
      <c r="AH398" s="24">
        <v>89</v>
      </c>
      <c r="AI398" s="23">
        <v>100</v>
      </c>
      <c r="AJ398" s="13" t="str">
        <f xml:space="preserve"> IF(AD398&gt;F398,"Exceso en grasa saturada",IFERROR(IF(F398=0,"No tiene sello",IF((AD398*9)*100/F398&gt;10,"Exceso en grasa saturada","No tiene sello")),"No tiene sello"))</f>
        <v>Exceso en grasa saturada</v>
      </c>
      <c r="AK398" s="13">
        <f>IF(AJ398="No tiene sello",0,1)</f>
        <v>1</v>
      </c>
      <c r="AL398" s="13" t="str">
        <f>IF(Q398&gt;=300,"Exceso en sodio",IFERROR(IF(AND(F398=0,Q398&gt;0),"No tiene sello",IF(Q398/F398&gt;1,"Exceso en sodio","No tiene sello")),"No tiene sello"))</f>
        <v>No tiene sello</v>
      </c>
      <c r="AM398" s="13" t="str">
        <f>IFERROR(IF(F398=0,"No tiene sello",IF(+(AG398/1000)*9*100/F398&gt;1,"Exceso en grasa trans", "No tiene sello")),"No tiene sello")</f>
        <v>No tiene sello</v>
      </c>
    </row>
    <row r="399" spans="1:39" s="4" customFormat="1" ht="13.5" customHeight="1" x14ac:dyDescent="0.25">
      <c r="A399" s="26" t="s">
        <v>863</v>
      </c>
      <c r="B399" s="26" t="s">
        <v>864</v>
      </c>
      <c r="C399" s="26" t="s">
        <v>861</v>
      </c>
      <c r="D399" s="47">
        <v>100</v>
      </c>
      <c r="E399" s="28">
        <v>74.400000000000006</v>
      </c>
      <c r="F399" s="24">
        <v>115</v>
      </c>
      <c r="G399" s="28">
        <v>486</v>
      </c>
      <c r="H399" s="24">
        <v>20.3</v>
      </c>
      <c r="I399" s="24">
        <v>3.8</v>
      </c>
      <c r="J399" s="24">
        <v>0</v>
      </c>
      <c r="K399" s="28">
        <v>0</v>
      </c>
      <c r="L399" s="28">
        <v>0</v>
      </c>
      <c r="M399" s="24">
        <v>0</v>
      </c>
      <c r="N399" s="28">
        <v>1.5</v>
      </c>
      <c r="O399" s="25">
        <v>10</v>
      </c>
      <c r="P399" s="25">
        <v>0.5</v>
      </c>
      <c r="Q399" s="28">
        <v>87</v>
      </c>
      <c r="R399" s="25">
        <v>203</v>
      </c>
      <c r="S399" s="28">
        <v>2.4</v>
      </c>
      <c r="T399" s="28">
        <v>20</v>
      </c>
      <c r="U399" s="28">
        <v>420</v>
      </c>
      <c r="V399" s="28">
        <v>0.92</v>
      </c>
      <c r="W399" s="28">
        <v>0.28999999999999998</v>
      </c>
      <c r="X399" s="28">
        <v>6.9</v>
      </c>
      <c r="Y399" s="28">
        <v>3</v>
      </c>
      <c r="Z399" s="28">
        <v>0.61</v>
      </c>
      <c r="AA399" s="25">
        <v>0</v>
      </c>
      <c r="AB399" s="25">
        <v>2</v>
      </c>
      <c r="AC399" s="25">
        <v>0</v>
      </c>
      <c r="AD399" s="28">
        <v>1.2</v>
      </c>
      <c r="AE399" s="28">
        <v>1.6</v>
      </c>
      <c r="AF399" s="28">
        <v>0.7</v>
      </c>
      <c r="AG399" s="28">
        <v>10</v>
      </c>
      <c r="AH399" s="24">
        <v>67</v>
      </c>
      <c r="AI399" s="28">
        <v>100</v>
      </c>
      <c r="AJ399" s="13" t="str">
        <f xml:space="preserve"> IF(AD399&gt;F399,"Exceso en grasa saturada",IFERROR(IF(F399=0,"No tiene sello",IF((AD399*9)*100/F399&gt;10,"Exceso en grasa saturada","No tiene sello")),"No tiene sello"))</f>
        <v>No tiene sello</v>
      </c>
      <c r="AK399" s="13">
        <f>IF(AJ399="No tiene sello",0,1)</f>
        <v>0</v>
      </c>
      <c r="AL399" s="13" t="str">
        <f>IF(Q399&gt;=300,"Exceso en sodio",IFERROR(IF(AND(F399=0,Q399&gt;0),"No tiene sello",IF(Q399/F399&gt;1,"Exceso en sodio","No tiene sello")),"No tiene sello"))</f>
        <v>No tiene sello</v>
      </c>
      <c r="AM399" s="13" t="str">
        <f>IFERROR(IF(F399=0,"No tiene sello",IF(+(AG399/1000)*9*100/F399&gt;1,"Exceso en grasa trans", "No tiene sello")),"No tiene sello")</f>
        <v>No tiene sello</v>
      </c>
    </row>
    <row r="400" spans="1:39" ht="13.5" customHeight="1" x14ac:dyDescent="0.25">
      <c r="A400" s="20" t="s">
        <v>860</v>
      </c>
      <c r="B400" s="20" t="s">
        <v>862</v>
      </c>
      <c r="C400" s="20" t="s">
        <v>861</v>
      </c>
      <c r="D400" s="46">
        <v>100</v>
      </c>
      <c r="E400" s="23">
        <v>60.2</v>
      </c>
      <c r="F400" s="24">
        <v>220</v>
      </c>
      <c r="G400" s="23">
        <v>920</v>
      </c>
      <c r="H400" s="24">
        <v>26.7</v>
      </c>
      <c r="I400" s="24">
        <v>12.6</v>
      </c>
      <c r="J400" s="24">
        <v>0</v>
      </c>
      <c r="K400" s="23">
        <v>0</v>
      </c>
      <c r="L400" s="23">
        <v>0</v>
      </c>
      <c r="M400" s="24">
        <v>0</v>
      </c>
      <c r="N400" s="23">
        <v>1.1000000000000001</v>
      </c>
      <c r="O400" s="25">
        <v>9</v>
      </c>
      <c r="P400" s="25">
        <v>1.4</v>
      </c>
      <c r="Q400" s="23">
        <v>80</v>
      </c>
      <c r="R400" s="25">
        <v>258</v>
      </c>
      <c r="S400" s="23">
        <v>4.0999999999999996</v>
      </c>
      <c r="T400" s="23">
        <v>20</v>
      </c>
      <c r="U400" s="23">
        <v>357</v>
      </c>
      <c r="V400" s="23">
        <v>0.56999999999999995</v>
      </c>
      <c r="W400" s="23">
        <v>0.39</v>
      </c>
      <c r="X400" s="23">
        <v>4.3</v>
      </c>
      <c r="Y400" s="23">
        <v>5</v>
      </c>
      <c r="Z400" s="23">
        <v>0.78</v>
      </c>
      <c r="AA400" s="25">
        <v>0</v>
      </c>
      <c r="AB400" s="25">
        <v>0</v>
      </c>
      <c r="AC400" s="25">
        <v>0</v>
      </c>
      <c r="AD400" s="23">
        <v>3.6</v>
      </c>
      <c r="AE400" s="23">
        <v>3.7</v>
      </c>
      <c r="AF400" s="23">
        <v>1.2</v>
      </c>
      <c r="AG400" s="23">
        <v>10</v>
      </c>
      <c r="AH400" s="24">
        <v>95</v>
      </c>
      <c r="AI400" s="23">
        <v>100</v>
      </c>
      <c r="AJ400" s="13" t="str">
        <f xml:space="preserve"> IF(AD400&gt;F400,"Exceso en grasa saturada",IFERROR(IF(F400=0,"No tiene sello",IF((AD400*9)*100/F400&gt;10,"Exceso en grasa saturada","No tiene sello")),"No tiene sello"))</f>
        <v>Exceso en grasa saturada</v>
      </c>
      <c r="AK400" s="13">
        <f>IF(AJ400="No tiene sello",0,1)</f>
        <v>1</v>
      </c>
      <c r="AL400" s="13" t="str">
        <f>IF(Q400&gt;=300,"Exceso en sodio",IFERROR(IF(AND(F400=0,Q400&gt;0),"No tiene sello",IF(Q400/F400&gt;1,"Exceso en sodio","No tiene sello")),"No tiene sello"))</f>
        <v>No tiene sello</v>
      </c>
      <c r="AM400" s="13" t="str">
        <f>IFERROR(IF(F400=0,"No tiene sello",IF(+(AG400/1000)*9*100/F400&gt;1,"Exceso en grasa trans", "No tiene sello")),"No tiene sello")</f>
        <v>No tiene sello</v>
      </c>
    </row>
    <row r="401" spans="1:39" ht="13.5" customHeight="1" x14ac:dyDescent="0.25">
      <c r="A401" s="26" t="s">
        <v>858</v>
      </c>
      <c r="B401" s="26" t="s">
        <v>859</v>
      </c>
      <c r="C401" s="27"/>
      <c r="D401" s="47">
        <v>100</v>
      </c>
      <c r="E401" s="28">
        <v>58.2</v>
      </c>
      <c r="F401" s="24">
        <v>278</v>
      </c>
      <c r="G401" s="28">
        <v>1154</v>
      </c>
      <c r="H401" s="24">
        <v>17.100000000000001</v>
      </c>
      <c r="I401" s="24">
        <v>23</v>
      </c>
      <c r="J401" s="24">
        <v>0.7</v>
      </c>
      <c r="K401" s="28">
        <v>0</v>
      </c>
      <c r="L401" s="28">
        <v>7.0000000000000007E-2</v>
      </c>
      <c r="M401" s="24">
        <v>0</v>
      </c>
      <c r="N401" s="28">
        <v>1</v>
      </c>
      <c r="O401" s="25">
        <v>8</v>
      </c>
      <c r="P401" s="25">
        <v>0.8</v>
      </c>
      <c r="Q401" s="28">
        <v>57</v>
      </c>
      <c r="R401" s="25">
        <v>166</v>
      </c>
      <c r="S401" s="28">
        <v>2.1</v>
      </c>
      <c r="T401" s="28">
        <v>18</v>
      </c>
      <c r="U401" s="28">
        <v>385</v>
      </c>
      <c r="V401" s="28">
        <v>0.79</v>
      </c>
      <c r="W401" s="28">
        <v>0.19</v>
      </c>
      <c r="X401" s="28">
        <v>5.5</v>
      </c>
      <c r="Y401" s="28">
        <v>4</v>
      </c>
      <c r="Z401" s="28">
        <v>0.55000000000000004</v>
      </c>
      <c r="AA401" s="25">
        <v>0</v>
      </c>
      <c r="AB401" s="25">
        <v>2</v>
      </c>
      <c r="AC401" s="25">
        <v>0</v>
      </c>
      <c r="AD401" s="28">
        <v>8</v>
      </c>
      <c r="AE401" s="28">
        <v>9.9</v>
      </c>
      <c r="AF401" s="28">
        <v>2.8</v>
      </c>
      <c r="AG401" s="28">
        <v>20</v>
      </c>
      <c r="AH401" s="24">
        <v>72</v>
      </c>
      <c r="AI401" s="28">
        <v>100</v>
      </c>
      <c r="AJ401" s="13" t="str">
        <f xml:space="preserve"> IF(AD401&gt;F401,"Exceso en grasa saturada",IFERROR(IF(F401=0,"No tiene sello",IF((AD401*9)*100/F401&gt;10,"Exceso en grasa saturada","No tiene sello")),"No tiene sello"))</f>
        <v>Exceso en grasa saturada</v>
      </c>
      <c r="AK401" s="13">
        <f>IF(AJ401="No tiene sello",0,1)</f>
        <v>1</v>
      </c>
      <c r="AL401" s="13" t="str">
        <f>IF(Q401&gt;=300,"Exceso en sodio",IFERROR(IF(AND(F401=0,Q401&gt;0),"No tiene sello",IF(Q401/F401&gt;1,"Exceso en sodio","No tiene sello")),"No tiene sello"))</f>
        <v>No tiene sello</v>
      </c>
      <c r="AM401" s="13" t="str">
        <f>IFERROR(IF(F401=0,"No tiene sello",IF(+(AG401/1000)*9*100/F401&gt;1,"Exceso en grasa trans", "No tiene sello")),"No tiene sello")</f>
        <v>No tiene sello</v>
      </c>
    </row>
    <row r="402" spans="1:39" ht="13.5" customHeight="1" x14ac:dyDescent="0.25">
      <c r="A402" s="20" t="s">
        <v>856</v>
      </c>
      <c r="B402" s="20" t="s">
        <v>857</v>
      </c>
      <c r="C402" s="21">
        <v>250</v>
      </c>
      <c r="D402" s="46">
        <v>100</v>
      </c>
      <c r="E402" s="23">
        <v>71.3</v>
      </c>
      <c r="F402" s="24">
        <v>140</v>
      </c>
      <c r="G402" s="23">
        <v>590</v>
      </c>
      <c r="H402" s="24">
        <v>21.4</v>
      </c>
      <c r="I402" s="24">
        <v>6</v>
      </c>
      <c r="J402" s="24">
        <v>0.2</v>
      </c>
      <c r="K402" s="23">
        <v>0</v>
      </c>
      <c r="L402" s="23">
        <v>0.02</v>
      </c>
      <c r="M402" s="24">
        <v>0</v>
      </c>
      <c r="N402" s="23">
        <v>1.1000000000000001</v>
      </c>
      <c r="O402" s="25">
        <v>17</v>
      </c>
      <c r="P402" s="25">
        <v>0.8</v>
      </c>
      <c r="Q402" s="23">
        <v>52</v>
      </c>
      <c r="R402" s="25">
        <v>220</v>
      </c>
      <c r="S402" s="23">
        <v>1.8</v>
      </c>
      <c r="T402" s="23">
        <v>23</v>
      </c>
      <c r="U402" s="23">
        <v>389</v>
      </c>
      <c r="V402" s="23">
        <v>0.98</v>
      </c>
      <c r="W402" s="23">
        <v>0.25</v>
      </c>
      <c r="X402" s="23">
        <v>4.8</v>
      </c>
      <c r="Y402" s="23">
        <v>5</v>
      </c>
      <c r="Z402" s="23">
        <v>0.63</v>
      </c>
      <c r="AA402" s="25">
        <v>0</v>
      </c>
      <c r="AB402" s="25">
        <v>2</v>
      </c>
      <c r="AC402" s="25">
        <v>0</v>
      </c>
      <c r="AD402" s="23">
        <v>2</v>
      </c>
      <c r="AE402" s="23">
        <v>2.6</v>
      </c>
      <c r="AF402" s="23">
        <v>0.7</v>
      </c>
      <c r="AG402" s="23">
        <v>5</v>
      </c>
      <c r="AH402" s="24">
        <v>60</v>
      </c>
      <c r="AI402" s="23">
        <v>100</v>
      </c>
      <c r="AJ402" s="13" t="str">
        <f xml:space="preserve"> IF(AD402&gt;F402,"Exceso en grasa saturada",IFERROR(IF(F402=0,"No tiene sello",IF((AD402*9)*100/F402&gt;10,"Exceso en grasa saturada","No tiene sello")),"No tiene sello"))</f>
        <v>Exceso en grasa saturada</v>
      </c>
      <c r="AK402" s="13">
        <f>IF(AJ402="No tiene sello",0,1)</f>
        <v>1</v>
      </c>
      <c r="AL402" s="13" t="str">
        <f>IF(Q402&gt;=300,"Exceso en sodio",IFERROR(IF(AND(F402=0,Q402&gt;0),"No tiene sello",IF(Q402/F402&gt;1,"Exceso en sodio","No tiene sello")),"No tiene sello"))</f>
        <v>No tiene sello</v>
      </c>
      <c r="AM402" s="13" t="str">
        <f>IFERROR(IF(F402=0,"No tiene sello",IF(+(AG402/1000)*9*100/F402&gt;1,"Exceso en grasa trans", "No tiene sello")),"No tiene sello")</f>
        <v>No tiene sello</v>
      </c>
    </row>
    <row r="403" spans="1:39" ht="13.5" customHeight="1" x14ac:dyDescent="0.25">
      <c r="A403" s="26" t="s">
        <v>854</v>
      </c>
      <c r="B403" s="26" t="s">
        <v>855</v>
      </c>
      <c r="C403" s="27"/>
      <c r="D403" s="47">
        <v>100</v>
      </c>
      <c r="E403" s="28">
        <v>35.700000000000003</v>
      </c>
      <c r="F403" s="24">
        <v>522</v>
      </c>
      <c r="G403" s="28">
        <v>2153</v>
      </c>
      <c r="H403" s="24">
        <v>9.3000000000000007</v>
      </c>
      <c r="I403" s="24">
        <v>53.7</v>
      </c>
      <c r="J403" s="24">
        <v>0.5</v>
      </c>
      <c r="K403" s="28">
        <v>0</v>
      </c>
      <c r="L403" s="28">
        <v>0.05</v>
      </c>
      <c r="M403" s="24">
        <v>0</v>
      </c>
      <c r="N403" s="28">
        <v>0.8</v>
      </c>
      <c r="O403" s="25">
        <v>6</v>
      </c>
      <c r="P403" s="25">
        <v>0.5</v>
      </c>
      <c r="Q403" s="28">
        <v>32</v>
      </c>
      <c r="R403" s="25">
        <v>108</v>
      </c>
      <c r="S403" s="28">
        <v>1</v>
      </c>
      <c r="T403" s="28">
        <v>4</v>
      </c>
      <c r="U403" s="28">
        <v>185</v>
      </c>
      <c r="V403" s="28">
        <v>0.42</v>
      </c>
      <c r="W403" s="28">
        <v>0.24</v>
      </c>
      <c r="X403" s="28">
        <v>4.5999999999999996</v>
      </c>
      <c r="Y403" s="28">
        <v>1</v>
      </c>
      <c r="Z403" s="28">
        <v>0.84</v>
      </c>
      <c r="AA403" s="25">
        <v>0</v>
      </c>
      <c r="AB403" s="25">
        <v>2</v>
      </c>
      <c r="AC403" s="25">
        <v>0</v>
      </c>
      <c r="AD403" s="28">
        <v>19.5</v>
      </c>
      <c r="AE403" s="28">
        <v>24.5</v>
      </c>
      <c r="AF403" s="28">
        <v>6.4</v>
      </c>
      <c r="AG403" s="28">
        <v>30</v>
      </c>
      <c r="AH403" s="24">
        <v>72</v>
      </c>
      <c r="AI403" s="28">
        <v>100</v>
      </c>
      <c r="AJ403" s="13" t="str">
        <f xml:space="preserve"> IF(AD403&gt;F403,"Exceso en grasa saturada",IFERROR(IF(F403=0,"No tiene sello",IF((AD403*9)*100/F403&gt;10,"Exceso en grasa saturada","No tiene sello")),"No tiene sello"))</f>
        <v>Exceso en grasa saturada</v>
      </c>
      <c r="AK403" s="13">
        <f>IF(AJ403="No tiene sello",0,1)</f>
        <v>1</v>
      </c>
      <c r="AL403" s="13" t="str">
        <f>IF(Q403&gt;=300,"Exceso en sodio",IFERROR(IF(AND(F403=0,Q403&gt;0),"No tiene sello",IF(Q403/F403&gt;1,"Exceso en sodio","No tiene sello")),"No tiene sello"))</f>
        <v>No tiene sello</v>
      </c>
      <c r="AM403" s="13" t="str">
        <f>IFERROR(IF(F403=0,"No tiene sello",IF(+(AG403/1000)*9*100/F403&gt;1,"Exceso en grasa trans", "No tiene sello")),"No tiene sello")</f>
        <v>No tiene sello</v>
      </c>
    </row>
    <row r="404" spans="1:39" ht="13.5" customHeight="1" x14ac:dyDescent="0.25">
      <c r="A404" s="20" t="s">
        <v>852</v>
      </c>
      <c r="B404" s="20" t="s">
        <v>853</v>
      </c>
      <c r="C404" s="21"/>
      <c r="D404" s="46">
        <v>100</v>
      </c>
      <c r="E404" s="23">
        <v>62.1</v>
      </c>
      <c r="F404" s="24">
        <v>245</v>
      </c>
      <c r="G404" s="23">
        <v>1015</v>
      </c>
      <c r="H404" s="24">
        <v>17.2</v>
      </c>
      <c r="I404" s="24">
        <v>19.399999999999999</v>
      </c>
      <c r="J404" s="24">
        <v>0.3</v>
      </c>
      <c r="K404" s="23">
        <v>0</v>
      </c>
      <c r="L404" s="23">
        <v>0.03</v>
      </c>
      <c r="M404" s="24">
        <v>0</v>
      </c>
      <c r="N404" s="23">
        <v>1</v>
      </c>
      <c r="O404" s="25">
        <v>13</v>
      </c>
      <c r="P404" s="25">
        <v>1.4</v>
      </c>
      <c r="Q404" s="23">
        <v>65</v>
      </c>
      <c r="R404" s="25">
        <v>180</v>
      </c>
      <c r="S404" s="23">
        <v>2.1</v>
      </c>
      <c r="T404" s="23">
        <v>20</v>
      </c>
      <c r="U404" s="23">
        <v>339</v>
      </c>
      <c r="V404" s="23">
        <v>0.76</v>
      </c>
      <c r="W404" s="23">
        <v>0.22</v>
      </c>
      <c r="X404" s="23">
        <v>4.9000000000000004</v>
      </c>
      <c r="Y404" s="23">
        <v>5</v>
      </c>
      <c r="Z404" s="23">
        <v>0.73</v>
      </c>
      <c r="AA404" s="25">
        <v>0</v>
      </c>
      <c r="AB404" s="25">
        <v>2</v>
      </c>
      <c r="AC404" s="25">
        <v>0</v>
      </c>
      <c r="AD404" s="23">
        <v>5.7</v>
      </c>
      <c r="AE404" s="23">
        <v>7.2</v>
      </c>
      <c r="AF404" s="23">
        <v>2.1</v>
      </c>
      <c r="AG404" s="23">
        <v>15</v>
      </c>
      <c r="AH404" s="24">
        <v>70</v>
      </c>
      <c r="AI404" s="23">
        <v>100</v>
      </c>
      <c r="AJ404" s="13" t="str">
        <f xml:space="preserve"> IF(AD404&gt;F404,"Exceso en grasa saturada",IFERROR(IF(F404=0,"No tiene sello",IF((AD404*9)*100/F404&gt;10,"Exceso en grasa saturada","No tiene sello")),"No tiene sello"))</f>
        <v>Exceso en grasa saturada</v>
      </c>
      <c r="AK404" s="13">
        <f>IF(AJ404="No tiene sello",0,1)</f>
        <v>1</v>
      </c>
      <c r="AL404" s="13" t="str">
        <f>IF(Q404&gt;=300,"Exceso en sodio",IFERROR(IF(AND(F404=0,Q404&gt;0),"No tiene sello",IF(Q404/F404&gt;1,"Exceso en sodio","No tiene sello")),"No tiene sello"))</f>
        <v>No tiene sello</v>
      </c>
      <c r="AM404" s="13" t="str">
        <f>IFERROR(IF(F404=0,"No tiene sello",IF(+(AG404/1000)*9*100/F404&gt;1,"Exceso en grasa trans", "No tiene sello")),"No tiene sello")</f>
        <v>No tiene sello</v>
      </c>
    </row>
    <row r="405" spans="1:39" ht="13.5" customHeight="1" x14ac:dyDescent="0.25">
      <c r="A405" s="26" t="s">
        <v>850</v>
      </c>
      <c r="B405" s="26" t="s">
        <v>851</v>
      </c>
      <c r="C405" s="26" t="s">
        <v>642</v>
      </c>
      <c r="D405" s="47">
        <v>100</v>
      </c>
      <c r="E405" s="28">
        <v>53.9</v>
      </c>
      <c r="F405" s="24">
        <v>258</v>
      </c>
      <c r="G405" s="28">
        <v>1079</v>
      </c>
      <c r="H405" s="24">
        <v>29.5</v>
      </c>
      <c r="I405" s="24">
        <v>15.6</v>
      </c>
      <c r="J405" s="24">
        <v>0</v>
      </c>
      <c r="K405" s="28">
        <v>0</v>
      </c>
      <c r="L405" s="28">
        <v>0</v>
      </c>
      <c r="M405" s="24">
        <v>0</v>
      </c>
      <c r="N405" s="28">
        <v>1.1000000000000001</v>
      </c>
      <c r="O405" s="25">
        <v>12</v>
      </c>
      <c r="P405" s="25">
        <v>1</v>
      </c>
      <c r="Q405" s="28">
        <v>77</v>
      </c>
      <c r="R405" s="25">
        <v>174</v>
      </c>
      <c r="S405" s="28">
        <v>0</v>
      </c>
      <c r="T405" s="28">
        <v>0</v>
      </c>
      <c r="U405" s="28">
        <v>362</v>
      </c>
      <c r="V405" s="28">
        <v>0.46</v>
      </c>
      <c r="W405" s="28">
        <v>0.3</v>
      </c>
      <c r="X405" s="28">
        <v>3.8</v>
      </c>
      <c r="Y405" s="28">
        <v>0</v>
      </c>
      <c r="Z405" s="28">
        <v>0</v>
      </c>
      <c r="AA405" s="25">
        <v>0</v>
      </c>
      <c r="AB405" s="25">
        <v>0</v>
      </c>
      <c r="AC405" s="25">
        <v>0</v>
      </c>
      <c r="AD405" s="28">
        <v>7</v>
      </c>
      <c r="AE405" s="28">
        <v>6.3</v>
      </c>
      <c r="AF405" s="28">
        <v>2.2000000000000002</v>
      </c>
      <c r="AG405" s="28">
        <v>15</v>
      </c>
      <c r="AH405" s="24">
        <v>31</v>
      </c>
      <c r="AI405" s="28">
        <v>54</v>
      </c>
      <c r="AJ405" s="13" t="str">
        <f xml:space="preserve"> IF(AD405&gt;F405,"Exceso en grasa saturada",IFERROR(IF(F405=0,"No tiene sello",IF((AD405*9)*100/F405&gt;10,"Exceso en grasa saturada","No tiene sello")),"No tiene sello"))</f>
        <v>Exceso en grasa saturada</v>
      </c>
      <c r="AK405" s="13">
        <f>IF(AJ405="No tiene sello",0,1)</f>
        <v>1</v>
      </c>
      <c r="AL405" s="13" t="str">
        <f>IF(Q405&gt;=300,"Exceso en sodio",IFERROR(IF(AND(F405=0,Q405&gt;0),"No tiene sello",IF(Q405/F405&gt;1,"Exceso en sodio","No tiene sello")),"No tiene sello"))</f>
        <v>No tiene sello</v>
      </c>
      <c r="AM405" s="13" t="str">
        <f>IFERROR(IF(F405=0,"No tiene sello",IF(+(AG405/1000)*9*100/F405&gt;1,"Exceso en grasa trans", "No tiene sello")),"No tiene sello")</f>
        <v>No tiene sello</v>
      </c>
    </row>
    <row r="406" spans="1:39" ht="13.5" customHeight="1" x14ac:dyDescent="0.25">
      <c r="A406" s="20" t="s">
        <v>848</v>
      </c>
      <c r="B406" s="20" t="s">
        <v>849</v>
      </c>
      <c r="C406" s="20" t="s">
        <v>642</v>
      </c>
      <c r="D406" s="46">
        <v>100</v>
      </c>
      <c r="E406" s="23">
        <v>59.4</v>
      </c>
      <c r="F406" s="24">
        <v>277</v>
      </c>
      <c r="G406" s="23">
        <v>1150</v>
      </c>
      <c r="H406" s="24">
        <v>18.7</v>
      </c>
      <c r="I406" s="24">
        <v>22.5</v>
      </c>
      <c r="J406" s="24">
        <v>0</v>
      </c>
      <c r="K406" s="23">
        <v>0</v>
      </c>
      <c r="L406" s="23">
        <v>0</v>
      </c>
      <c r="M406" s="24">
        <v>0</v>
      </c>
      <c r="N406" s="23">
        <v>0.9</v>
      </c>
      <c r="O406" s="25">
        <v>11</v>
      </c>
      <c r="P406" s="25">
        <v>1</v>
      </c>
      <c r="Q406" s="23">
        <v>93</v>
      </c>
      <c r="R406" s="25">
        <v>180</v>
      </c>
      <c r="S406" s="23">
        <v>1.8</v>
      </c>
      <c r="T406" s="23">
        <v>20</v>
      </c>
      <c r="U406" s="23">
        <v>255</v>
      </c>
      <c r="V406" s="23">
        <v>0.62</v>
      </c>
      <c r="W406" s="23">
        <v>0.26</v>
      </c>
      <c r="X406" s="23">
        <v>5.0999999999999996</v>
      </c>
      <c r="Y406" s="23">
        <v>4</v>
      </c>
      <c r="Z406" s="23">
        <v>0.87</v>
      </c>
      <c r="AA406" s="25">
        <v>0</v>
      </c>
      <c r="AB406" s="25">
        <v>5</v>
      </c>
      <c r="AC406" s="25">
        <v>0</v>
      </c>
      <c r="AD406" s="23">
        <v>7.4</v>
      </c>
      <c r="AE406" s="23">
        <v>6.9</v>
      </c>
      <c r="AF406" s="23">
        <v>2.5</v>
      </c>
      <c r="AG406" s="23">
        <v>15</v>
      </c>
      <c r="AH406" s="24">
        <v>75</v>
      </c>
      <c r="AI406" s="23">
        <v>77</v>
      </c>
      <c r="AJ406" s="13" t="str">
        <f xml:space="preserve"> IF(AD406&gt;F406,"Exceso en grasa saturada",IFERROR(IF(F406=0,"No tiene sello",IF((AD406*9)*100/F406&gt;10,"Exceso en grasa saturada","No tiene sello")),"No tiene sello"))</f>
        <v>Exceso en grasa saturada</v>
      </c>
      <c r="AK406" s="13">
        <f>IF(AJ406="No tiene sello",0,1)</f>
        <v>1</v>
      </c>
      <c r="AL406" s="13" t="str">
        <f>IF(Q406&gt;=300,"Exceso en sodio",IFERROR(IF(AND(F406=0,Q406&gt;0),"No tiene sello",IF(Q406/F406&gt;1,"Exceso en sodio","No tiene sello")),"No tiene sello"))</f>
        <v>No tiene sello</v>
      </c>
      <c r="AM406" s="13" t="str">
        <f>IFERROR(IF(F406=0,"No tiene sello",IF(+(AG406/1000)*9*100/F406&gt;1,"Exceso en grasa trans", "No tiene sello")),"No tiene sello")</f>
        <v>No tiene sello</v>
      </c>
    </row>
    <row r="407" spans="1:39" ht="13.5" customHeight="1" x14ac:dyDescent="0.25">
      <c r="A407" s="26" t="s">
        <v>846</v>
      </c>
      <c r="B407" s="26" t="s">
        <v>847</v>
      </c>
      <c r="C407" s="26" t="s">
        <v>642</v>
      </c>
      <c r="D407" s="47">
        <v>100</v>
      </c>
      <c r="E407" s="28">
        <v>48.1</v>
      </c>
      <c r="F407" s="24">
        <v>341</v>
      </c>
      <c r="G407" s="28">
        <v>1414</v>
      </c>
      <c r="H407" s="24">
        <v>24.4</v>
      </c>
      <c r="I407" s="24">
        <v>27</v>
      </c>
      <c r="J407" s="24">
        <v>0</v>
      </c>
      <c r="K407" s="28">
        <v>0</v>
      </c>
      <c r="L407" s="28">
        <v>0</v>
      </c>
      <c r="M407" s="24">
        <v>0</v>
      </c>
      <c r="N407" s="28">
        <v>1</v>
      </c>
      <c r="O407" s="25">
        <v>45</v>
      </c>
      <c r="P407" s="25">
        <v>1.3</v>
      </c>
      <c r="Q407" s="28">
        <v>111</v>
      </c>
      <c r="R407" s="25">
        <v>178</v>
      </c>
      <c r="S407" s="28">
        <v>3.3</v>
      </c>
      <c r="T407" s="28">
        <v>21</v>
      </c>
      <c r="U407" s="28">
        <v>314</v>
      </c>
      <c r="V407" s="28">
        <v>0.48</v>
      </c>
      <c r="W407" s="28">
        <v>0.36</v>
      </c>
      <c r="X407" s="28">
        <v>4.5999999999999996</v>
      </c>
      <c r="Y407" s="28">
        <v>0</v>
      </c>
      <c r="Z407" s="28">
        <v>0.77</v>
      </c>
      <c r="AA407" s="25">
        <v>0</v>
      </c>
      <c r="AB407" s="25">
        <v>6</v>
      </c>
      <c r="AC407" s="25">
        <v>0</v>
      </c>
      <c r="AD407" s="28">
        <v>11</v>
      </c>
      <c r="AE407" s="28">
        <v>13.5</v>
      </c>
      <c r="AF407" s="28">
        <v>2.2999999999999998</v>
      </c>
      <c r="AG407" s="28">
        <v>15</v>
      </c>
      <c r="AH407" s="24">
        <v>118</v>
      </c>
      <c r="AI407" s="28">
        <v>50</v>
      </c>
      <c r="AJ407" s="13" t="str">
        <f xml:space="preserve"> IF(AD407&gt;F407,"Exceso en grasa saturada",IFERROR(IF(F407=0,"No tiene sello",IF((AD407*9)*100/F407&gt;10,"Exceso en grasa saturada","No tiene sello")),"No tiene sello"))</f>
        <v>Exceso en grasa saturada</v>
      </c>
      <c r="AK407" s="13">
        <f>IF(AJ407="No tiene sello",0,1)</f>
        <v>1</v>
      </c>
      <c r="AL407" s="13" t="str">
        <f>IF(Q407&gt;=300,"Exceso en sodio",IFERROR(IF(AND(F407=0,Q407&gt;0),"No tiene sello",IF(Q407/F407&gt;1,"Exceso en sodio","No tiene sello")),"No tiene sello"))</f>
        <v>No tiene sello</v>
      </c>
      <c r="AM407" s="13" t="str">
        <f>IFERROR(IF(F407=0,"No tiene sello",IF(+(AG407/1000)*9*100/F407&gt;1,"Exceso en grasa trans", "No tiene sello")),"No tiene sello")</f>
        <v>No tiene sello</v>
      </c>
    </row>
    <row r="408" spans="1:39" ht="13.5" customHeight="1" x14ac:dyDescent="0.25">
      <c r="A408" s="20" t="s">
        <v>843</v>
      </c>
      <c r="B408" s="20" t="s">
        <v>845</v>
      </c>
      <c r="C408" s="20" t="s">
        <v>844</v>
      </c>
      <c r="D408" s="46">
        <v>100</v>
      </c>
      <c r="E408" s="23">
        <v>72.3</v>
      </c>
      <c r="F408" s="24">
        <v>123</v>
      </c>
      <c r="G408" s="23">
        <v>519</v>
      </c>
      <c r="H408" s="24">
        <v>21.4</v>
      </c>
      <c r="I408" s="24">
        <v>3.7</v>
      </c>
      <c r="J408" s="24">
        <v>1.1000000000000001</v>
      </c>
      <c r="K408" s="23">
        <v>0</v>
      </c>
      <c r="L408" s="23">
        <v>0.11</v>
      </c>
      <c r="M408" s="24">
        <v>0</v>
      </c>
      <c r="N408" s="23">
        <v>1.5</v>
      </c>
      <c r="O408" s="25">
        <v>10</v>
      </c>
      <c r="P408" s="25">
        <v>23.3</v>
      </c>
      <c r="Q408" s="23">
        <v>87</v>
      </c>
      <c r="R408" s="25">
        <v>360</v>
      </c>
      <c r="S408" s="23">
        <v>6.4</v>
      </c>
      <c r="T408" s="23">
        <v>19</v>
      </c>
      <c r="U408" s="23">
        <v>296</v>
      </c>
      <c r="V408" s="23">
        <v>0.4</v>
      </c>
      <c r="W408" s="23">
        <v>3</v>
      </c>
      <c r="X408" s="23">
        <v>15.1</v>
      </c>
      <c r="Y408" s="23">
        <v>212</v>
      </c>
      <c r="Z408" s="23">
        <v>25.63</v>
      </c>
      <c r="AA408" s="25">
        <v>25</v>
      </c>
      <c r="AB408" s="25">
        <v>6499</v>
      </c>
      <c r="AC408" s="25">
        <v>0.5</v>
      </c>
      <c r="AD408" s="23">
        <v>1.1000000000000001</v>
      </c>
      <c r="AE408" s="23">
        <v>0.5</v>
      </c>
      <c r="AF408" s="23">
        <v>0.9</v>
      </c>
      <c r="AG408" s="23">
        <v>8</v>
      </c>
      <c r="AH408" s="24">
        <v>301</v>
      </c>
      <c r="AI408" s="23">
        <v>100</v>
      </c>
      <c r="AJ408" s="13" t="str">
        <f xml:space="preserve"> IF(AD408&gt;F408,"Exceso en grasa saturada",IFERROR(IF(F408=0,"No tiene sello",IF((AD408*9)*100/F408&gt;10,"Exceso en grasa saturada","No tiene sello")),"No tiene sello"))</f>
        <v>No tiene sello</v>
      </c>
      <c r="AK408" s="13">
        <f>IF(AJ408="No tiene sello",0,1)</f>
        <v>0</v>
      </c>
      <c r="AL408" s="13" t="str">
        <f>IF(Q408&gt;=300,"Exceso en sodio",IFERROR(IF(AND(F408=0,Q408&gt;0),"No tiene sello",IF(Q408/F408&gt;1,"Exceso en sodio","No tiene sello")),"No tiene sello"))</f>
        <v>No tiene sello</v>
      </c>
      <c r="AM408" s="13" t="str">
        <f>IFERROR(IF(F408=0,"No tiene sello",IF(+(AG408/1000)*9*100/F408&gt;1,"Exceso en grasa trans", "No tiene sello")),"No tiene sello")</f>
        <v>No tiene sello</v>
      </c>
    </row>
    <row r="409" spans="1:39" ht="13.5" customHeight="1" x14ac:dyDescent="0.25">
      <c r="A409" s="26" t="s">
        <v>841</v>
      </c>
      <c r="B409" s="26" t="s">
        <v>842</v>
      </c>
      <c r="C409" s="26" t="s">
        <v>624</v>
      </c>
      <c r="D409" s="47">
        <v>100</v>
      </c>
      <c r="E409" s="28">
        <v>60.2</v>
      </c>
      <c r="F409" s="24">
        <v>170</v>
      </c>
      <c r="G409" s="28">
        <v>718</v>
      </c>
      <c r="H409" s="24">
        <v>35.1</v>
      </c>
      <c r="I409" s="24">
        <v>3.2</v>
      </c>
      <c r="J409" s="24">
        <v>0</v>
      </c>
      <c r="K409" s="28">
        <v>0</v>
      </c>
      <c r="L409" s="28">
        <v>0</v>
      </c>
      <c r="M409" s="24">
        <v>0</v>
      </c>
      <c r="N409" s="28">
        <v>1.4</v>
      </c>
      <c r="O409" s="25">
        <v>18</v>
      </c>
      <c r="P409" s="25">
        <v>1.2</v>
      </c>
      <c r="Q409" s="28">
        <v>34</v>
      </c>
      <c r="R409" s="25">
        <v>232</v>
      </c>
      <c r="S409" s="28">
        <v>2.5</v>
      </c>
      <c r="T409" s="28">
        <v>28</v>
      </c>
      <c r="U409" s="28">
        <v>375</v>
      </c>
      <c r="V409" s="28">
        <v>1.02</v>
      </c>
      <c r="W409" s="28">
        <v>0.33</v>
      </c>
      <c r="X409" s="28">
        <v>4.8</v>
      </c>
      <c r="Y409" s="28">
        <v>1</v>
      </c>
      <c r="Z409" s="28">
        <v>0.73</v>
      </c>
      <c r="AA409" s="25">
        <v>0</v>
      </c>
      <c r="AB409" s="25">
        <v>2</v>
      </c>
      <c r="AC409" s="25">
        <v>0</v>
      </c>
      <c r="AD409" s="28">
        <v>1.4</v>
      </c>
      <c r="AE409" s="28">
        <v>1.5</v>
      </c>
      <c r="AF409" s="28">
        <v>0.4</v>
      </c>
      <c r="AG409" s="28">
        <v>5</v>
      </c>
      <c r="AH409" s="24">
        <v>41</v>
      </c>
      <c r="AI409" s="28">
        <v>100</v>
      </c>
      <c r="AJ409" s="13" t="str">
        <f xml:space="preserve"> IF(AD409&gt;F409,"Exceso en grasa saturada",IFERROR(IF(F409=0,"No tiene sello",IF((AD409*9)*100/F409&gt;10,"Exceso en grasa saturada","No tiene sello")),"No tiene sello"))</f>
        <v>No tiene sello</v>
      </c>
      <c r="AK409" s="13">
        <f>IF(AJ409="No tiene sello",0,1)</f>
        <v>0</v>
      </c>
      <c r="AL409" s="13" t="str">
        <f>IF(Q409&gt;=300,"Exceso en sodio",IFERROR(IF(AND(F409=0,Q409&gt;0),"No tiene sello",IF(Q409/F409&gt;1,"Exceso en sodio","No tiene sello")),"No tiene sello"))</f>
        <v>No tiene sello</v>
      </c>
      <c r="AM409" s="13" t="str">
        <f>IFERROR(IF(F409=0,"No tiene sello",IF(+(AG409/1000)*9*100/F409&gt;1,"Exceso en grasa trans", "No tiene sello")),"No tiene sello")</f>
        <v>No tiene sello</v>
      </c>
    </row>
    <row r="410" spans="1:39" ht="13.5" customHeight="1" x14ac:dyDescent="0.25">
      <c r="A410" s="20" t="s">
        <v>839</v>
      </c>
      <c r="B410" s="20" t="s">
        <v>840</v>
      </c>
      <c r="C410" s="20" t="s">
        <v>624</v>
      </c>
      <c r="D410" s="46">
        <v>100</v>
      </c>
      <c r="E410" s="23">
        <v>74.3</v>
      </c>
      <c r="F410" s="24">
        <v>110</v>
      </c>
      <c r="G410" s="23">
        <v>465</v>
      </c>
      <c r="H410" s="24">
        <v>21.6</v>
      </c>
      <c r="I410" s="24">
        <v>2.5</v>
      </c>
      <c r="J410" s="24">
        <v>0.3</v>
      </c>
      <c r="K410" s="23">
        <v>0</v>
      </c>
      <c r="L410" s="23">
        <v>0.03</v>
      </c>
      <c r="M410" s="24">
        <v>0</v>
      </c>
      <c r="N410" s="23">
        <v>1.3</v>
      </c>
      <c r="O410" s="25">
        <v>10</v>
      </c>
      <c r="P410" s="25">
        <v>0.9</v>
      </c>
      <c r="Q410" s="23">
        <v>53</v>
      </c>
      <c r="R410" s="25">
        <v>216</v>
      </c>
      <c r="S410" s="23">
        <v>1.9</v>
      </c>
      <c r="T410" s="23">
        <v>27</v>
      </c>
      <c r="U410" s="23">
        <v>368</v>
      </c>
      <c r="V410" s="23">
        <v>0.95</v>
      </c>
      <c r="W410" s="23">
        <v>0.34</v>
      </c>
      <c r="X410" s="23">
        <v>7.1</v>
      </c>
      <c r="Y410" s="23">
        <v>0</v>
      </c>
      <c r="Z410" s="23">
        <v>0.51</v>
      </c>
      <c r="AA410" s="25">
        <v>0</v>
      </c>
      <c r="AB410" s="25">
        <v>0</v>
      </c>
      <c r="AC410" s="25">
        <v>0</v>
      </c>
      <c r="AD410" s="23">
        <v>0.8</v>
      </c>
      <c r="AE410" s="23">
        <v>1</v>
      </c>
      <c r="AF410" s="23">
        <v>0.2</v>
      </c>
      <c r="AG410" s="23">
        <v>5</v>
      </c>
      <c r="AH410" s="24">
        <v>44</v>
      </c>
      <c r="AI410" s="23">
        <v>100</v>
      </c>
      <c r="AJ410" s="13" t="str">
        <f xml:space="preserve"> IF(AD410&gt;F410,"Exceso en grasa saturada",IFERROR(IF(F410=0,"No tiene sello",IF((AD410*9)*100/F410&gt;10,"Exceso en grasa saturada","No tiene sello")),"No tiene sello"))</f>
        <v>No tiene sello</v>
      </c>
      <c r="AK410" s="13">
        <f>IF(AJ410="No tiene sello",0,1)</f>
        <v>0</v>
      </c>
      <c r="AL410" s="13" t="str">
        <f>IF(Q410&gt;=300,"Exceso en sodio",IFERROR(IF(AND(F410=0,Q410&gt;0),"No tiene sello",IF(Q410/F410&gt;1,"Exceso en sodio","No tiene sello")),"No tiene sello"))</f>
        <v>No tiene sello</v>
      </c>
      <c r="AM410" s="13" t="str">
        <f>IFERROR(IF(F410=0,"No tiene sello",IF(+(AG410/1000)*9*100/F410&gt;1,"Exceso en grasa trans", "No tiene sello")),"No tiene sello")</f>
        <v>No tiene sello</v>
      </c>
    </row>
    <row r="411" spans="1:39" ht="13.5" customHeight="1" x14ac:dyDescent="0.25">
      <c r="A411" s="26" t="s">
        <v>837</v>
      </c>
      <c r="B411" s="26" t="s">
        <v>838</v>
      </c>
      <c r="C411" s="26" t="s">
        <v>624</v>
      </c>
      <c r="D411" s="47">
        <v>100</v>
      </c>
      <c r="E411" s="28">
        <v>60.1</v>
      </c>
      <c r="F411" s="24">
        <v>170</v>
      </c>
      <c r="G411" s="28">
        <v>719</v>
      </c>
      <c r="H411" s="24">
        <v>35.1</v>
      </c>
      <c r="I411" s="24">
        <v>3.2</v>
      </c>
      <c r="J411" s="24">
        <v>0.2</v>
      </c>
      <c r="K411" s="28">
        <v>0</v>
      </c>
      <c r="L411" s="28">
        <v>0.02</v>
      </c>
      <c r="M411" s="24">
        <v>0</v>
      </c>
      <c r="N411" s="28">
        <v>1.4</v>
      </c>
      <c r="O411" s="25">
        <v>16</v>
      </c>
      <c r="P411" s="25">
        <v>1.2</v>
      </c>
      <c r="Q411" s="28">
        <v>55</v>
      </c>
      <c r="R411" s="25">
        <v>259</v>
      </c>
      <c r="S411" s="28">
        <v>2.5</v>
      </c>
      <c r="T411" s="28">
        <v>31</v>
      </c>
      <c r="U411" s="28">
        <v>401</v>
      </c>
      <c r="V411" s="28">
        <v>0.7</v>
      </c>
      <c r="W411" s="28">
        <v>0.34</v>
      </c>
      <c r="X411" s="28">
        <v>6.6</v>
      </c>
      <c r="Y411" s="28">
        <v>0</v>
      </c>
      <c r="Z411" s="28">
        <v>0.56000000000000005</v>
      </c>
      <c r="AA411" s="25">
        <v>0</v>
      </c>
      <c r="AB411" s="25">
        <v>0</v>
      </c>
      <c r="AC411" s="25">
        <v>0</v>
      </c>
      <c r="AD411" s="28">
        <v>1.3</v>
      </c>
      <c r="AE411" s="28">
        <v>1.6</v>
      </c>
      <c r="AF411" s="28">
        <v>0.4</v>
      </c>
      <c r="AG411" s="28">
        <v>5</v>
      </c>
      <c r="AH411" s="24">
        <v>42</v>
      </c>
      <c r="AI411" s="28">
        <v>100</v>
      </c>
      <c r="AJ411" s="13" t="str">
        <f xml:space="preserve"> IF(AD411&gt;F411,"Exceso en grasa saturada",IFERROR(IF(F411=0,"No tiene sello",IF((AD411*9)*100/F411&gt;10,"Exceso en grasa saturada","No tiene sello")),"No tiene sello"))</f>
        <v>No tiene sello</v>
      </c>
      <c r="AK411" s="13">
        <f>IF(AJ411="No tiene sello",0,1)</f>
        <v>0</v>
      </c>
      <c r="AL411" s="13" t="str">
        <f>IF(Q411&gt;=300,"Exceso en sodio",IFERROR(IF(AND(F411=0,Q411&gt;0),"No tiene sello",IF(Q411/F411&gt;1,"Exceso en sodio","No tiene sello")),"No tiene sello"))</f>
        <v>No tiene sello</v>
      </c>
      <c r="AM411" s="13" t="str">
        <f>IFERROR(IF(F411=0,"No tiene sello",IF(+(AG411/1000)*9*100/F411&gt;1,"Exceso en grasa trans", "No tiene sello")),"No tiene sello")</f>
        <v>No tiene sello</v>
      </c>
    </row>
    <row r="412" spans="1:39" ht="13.5" customHeight="1" x14ac:dyDescent="0.25">
      <c r="A412" s="20" t="s">
        <v>835</v>
      </c>
      <c r="B412" s="20" t="s">
        <v>836</v>
      </c>
      <c r="C412" s="20" t="s">
        <v>831</v>
      </c>
      <c r="D412" s="46">
        <v>100</v>
      </c>
      <c r="E412" s="23">
        <v>20.399999999999999</v>
      </c>
      <c r="F412" s="24">
        <v>465</v>
      </c>
      <c r="G412" s="23">
        <v>1934</v>
      </c>
      <c r="H412" s="24">
        <v>39</v>
      </c>
      <c r="I412" s="24">
        <v>34.1</v>
      </c>
      <c r="J412" s="24">
        <v>0.5</v>
      </c>
      <c r="K412" s="23">
        <v>0</v>
      </c>
      <c r="L412" s="23">
        <v>7.0000000000000007E-2</v>
      </c>
      <c r="M412" s="24">
        <v>0</v>
      </c>
      <c r="N412" s="23">
        <v>6</v>
      </c>
      <c r="O412" s="25">
        <v>23</v>
      </c>
      <c r="P412" s="25">
        <v>0.8</v>
      </c>
      <c r="Q412" s="23">
        <v>87</v>
      </c>
      <c r="R412" s="25">
        <v>184</v>
      </c>
      <c r="S412" s="23">
        <v>3.5</v>
      </c>
      <c r="T412" s="23">
        <v>34</v>
      </c>
      <c r="U412" s="23">
        <v>252</v>
      </c>
      <c r="V412" s="23">
        <v>0.55000000000000004</v>
      </c>
      <c r="W412" s="23">
        <v>0.17</v>
      </c>
      <c r="X412" s="23">
        <v>5.6</v>
      </c>
      <c r="Y412" s="23">
        <v>0</v>
      </c>
      <c r="Z412" s="23">
        <v>1</v>
      </c>
      <c r="AA412" s="25">
        <v>0</v>
      </c>
      <c r="AB412" s="25">
        <v>0</v>
      </c>
      <c r="AC412" s="25">
        <v>0</v>
      </c>
      <c r="AD412" s="23">
        <v>11.6</v>
      </c>
      <c r="AE412" s="23">
        <v>15.2</v>
      </c>
      <c r="AF412" s="23">
        <v>5.6</v>
      </c>
      <c r="AG412" s="23">
        <v>30</v>
      </c>
      <c r="AH412" s="24">
        <v>111</v>
      </c>
      <c r="AI412" s="23">
        <v>100</v>
      </c>
      <c r="AJ412" s="13" t="str">
        <f xml:space="preserve"> IF(AD412&gt;F412,"Exceso en grasa saturada",IFERROR(IF(F412=0,"No tiene sello",IF((AD412*9)*100/F412&gt;10,"Exceso en grasa saturada","No tiene sello")),"No tiene sello"))</f>
        <v>Exceso en grasa saturada</v>
      </c>
      <c r="AK412" s="13">
        <f>IF(AJ412="No tiene sello",0,1)</f>
        <v>1</v>
      </c>
      <c r="AL412" s="13" t="str">
        <f>IF(Q412&gt;=300,"Exceso en sodio",IFERROR(IF(AND(F412=0,Q412&gt;0),"No tiene sello",IF(Q412/F412&gt;1,"Exceso en sodio","No tiene sello")),"No tiene sello"))</f>
        <v>No tiene sello</v>
      </c>
      <c r="AM412" s="13" t="str">
        <f>IFERROR(IF(F412=0,"No tiene sello",IF(+(AG412/1000)*9*100/F412&gt;1,"Exceso en grasa trans", "No tiene sello")),"No tiene sello")</f>
        <v>No tiene sello</v>
      </c>
    </row>
    <row r="413" spans="1:39" ht="13.5" customHeight="1" x14ac:dyDescent="0.25">
      <c r="A413" s="26" t="s">
        <v>833</v>
      </c>
      <c r="B413" s="26" t="s">
        <v>834</v>
      </c>
      <c r="C413" s="26" t="s">
        <v>831</v>
      </c>
      <c r="D413" s="47">
        <v>100</v>
      </c>
      <c r="E413" s="28">
        <v>44.2</v>
      </c>
      <c r="F413" s="24">
        <v>413</v>
      </c>
      <c r="G413" s="28">
        <v>1705</v>
      </c>
      <c r="H413" s="24">
        <v>13.1</v>
      </c>
      <c r="I413" s="24">
        <v>39.700000000000003</v>
      </c>
      <c r="J413" s="24">
        <v>0.8</v>
      </c>
      <c r="K413" s="28">
        <v>0</v>
      </c>
      <c r="L413" s="28">
        <v>0.12</v>
      </c>
      <c r="M413" s="24">
        <v>0</v>
      </c>
      <c r="N413" s="28">
        <v>2.2000000000000002</v>
      </c>
      <c r="O413" s="25">
        <v>5</v>
      </c>
      <c r="P413" s="25">
        <v>0.7</v>
      </c>
      <c r="Q413" s="28">
        <v>1118</v>
      </c>
      <c r="R413" s="25">
        <v>127</v>
      </c>
      <c r="S413" s="28">
        <v>1.3</v>
      </c>
      <c r="T413" s="28">
        <v>12</v>
      </c>
      <c r="U413" s="28">
        <v>210</v>
      </c>
      <c r="V413" s="28">
        <v>0.41</v>
      </c>
      <c r="W413" s="28">
        <v>0.1</v>
      </c>
      <c r="X413" s="28">
        <v>4.2</v>
      </c>
      <c r="Y413" s="28">
        <v>2</v>
      </c>
      <c r="Z413" s="28">
        <v>0.5</v>
      </c>
      <c r="AA413" s="25">
        <v>0</v>
      </c>
      <c r="AB413" s="25">
        <v>8</v>
      </c>
      <c r="AC413" s="25">
        <v>0</v>
      </c>
      <c r="AD413" s="28">
        <v>13.3</v>
      </c>
      <c r="AE413" s="28">
        <v>17.399999999999999</v>
      </c>
      <c r="AF413" s="28">
        <v>6.5</v>
      </c>
      <c r="AG413" s="28">
        <v>30</v>
      </c>
      <c r="AH413" s="24">
        <v>66</v>
      </c>
      <c r="AI413" s="28">
        <v>100</v>
      </c>
      <c r="AJ413" s="13" t="str">
        <f xml:space="preserve"> IF(AD413&gt;F413,"Exceso en grasa saturada",IFERROR(IF(F413=0,"No tiene sello",IF((AD413*9)*100/F413&gt;10,"Exceso en grasa saturada","No tiene sello")),"No tiene sello"))</f>
        <v>Exceso en grasa saturada</v>
      </c>
      <c r="AK413" s="13">
        <f>IF(AJ413="No tiene sello",0,1)</f>
        <v>1</v>
      </c>
      <c r="AL413" s="13" t="str">
        <f>IF(Q413&gt;=300,"Exceso en sodio",IFERROR(IF(AND(F413=0,Q413&gt;0),"No tiene sello",IF(Q413/F413&gt;1,"Exceso en sodio","No tiene sello")),"No tiene sello"))</f>
        <v>Exceso en sodio</v>
      </c>
      <c r="AM413" s="13" t="str">
        <f>IFERROR(IF(F413=0,"No tiene sello",IF(+(AG413/1000)*9*100/F413&gt;1,"Exceso en grasa trans", "No tiene sello")),"No tiene sello")</f>
        <v>No tiene sello</v>
      </c>
    </row>
    <row r="414" spans="1:39" ht="13.5" customHeight="1" x14ac:dyDescent="0.25">
      <c r="A414" s="20" t="s">
        <v>830</v>
      </c>
      <c r="B414" s="20" t="s">
        <v>832</v>
      </c>
      <c r="C414" s="20" t="s">
        <v>831</v>
      </c>
      <c r="D414" s="46">
        <v>100</v>
      </c>
      <c r="E414" s="23">
        <v>47</v>
      </c>
      <c r="F414" s="24">
        <v>354</v>
      </c>
      <c r="G414" s="23">
        <v>1467</v>
      </c>
      <c r="H414" s="24">
        <v>22.4</v>
      </c>
      <c r="I414" s="24">
        <v>29.4</v>
      </c>
      <c r="J414" s="24">
        <v>0</v>
      </c>
      <c r="K414" s="23">
        <v>0</v>
      </c>
      <c r="L414" s="23">
        <v>0</v>
      </c>
      <c r="M414" s="24">
        <v>0</v>
      </c>
      <c r="N414" s="23">
        <v>1.2</v>
      </c>
      <c r="O414" s="25">
        <v>9</v>
      </c>
      <c r="P414" s="25">
        <v>0.8</v>
      </c>
      <c r="Q414" s="23">
        <v>77</v>
      </c>
      <c r="R414" s="25">
        <v>180</v>
      </c>
      <c r="S414" s="23">
        <v>2.5</v>
      </c>
      <c r="T414" s="23">
        <v>21</v>
      </c>
      <c r="U414" s="23">
        <v>379</v>
      </c>
      <c r="V414" s="23">
        <v>0.8</v>
      </c>
      <c r="W414" s="23">
        <v>0.2</v>
      </c>
      <c r="X414" s="23">
        <v>6.7</v>
      </c>
      <c r="Y414" s="23">
        <v>3</v>
      </c>
      <c r="Z414" s="23">
        <v>1</v>
      </c>
      <c r="AA414" s="25">
        <v>0</v>
      </c>
      <c r="AB414" s="25">
        <v>0</v>
      </c>
      <c r="AC414" s="25">
        <v>0</v>
      </c>
      <c r="AD414" s="23">
        <v>8.6999999999999993</v>
      </c>
      <c r="AE414" s="23">
        <v>14.2</v>
      </c>
      <c r="AF414" s="23">
        <v>6.4</v>
      </c>
      <c r="AG414" s="23">
        <v>30</v>
      </c>
      <c r="AH414" s="24">
        <v>79</v>
      </c>
      <c r="AI414" s="23">
        <v>100</v>
      </c>
      <c r="AJ414" s="13" t="str">
        <f xml:space="preserve"> IF(AD414&gt;F414,"Exceso en grasa saturada",IFERROR(IF(F414=0,"No tiene sello",IF((AD414*9)*100/F414&gt;10,"Exceso en grasa saturada","No tiene sello")),"No tiene sello"))</f>
        <v>Exceso en grasa saturada</v>
      </c>
      <c r="AK414" s="13">
        <f>IF(AJ414="No tiene sello",0,1)</f>
        <v>1</v>
      </c>
      <c r="AL414" s="13" t="str">
        <f>IF(Q414&gt;=300,"Exceso en sodio",IFERROR(IF(AND(F414=0,Q414&gt;0),"No tiene sello",IF(Q414/F414&gt;1,"Exceso en sodio","No tiene sello")),"No tiene sello"))</f>
        <v>No tiene sello</v>
      </c>
      <c r="AM414" s="13" t="str">
        <f>IFERROR(IF(F414=0,"No tiene sello",IF(+(AG414/1000)*9*100/F414&gt;1,"Exceso en grasa trans", "No tiene sello")),"No tiene sello")</f>
        <v>No tiene sello</v>
      </c>
    </row>
    <row r="415" spans="1:39" ht="13.5" customHeight="1" x14ac:dyDescent="0.25">
      <c r="A415" s="26" t="s">
        <v>828</v>
      </c>
      <c r="B415" s="26" t="s">
        <v>829</v>
      </c>
      <c r="C415" s="26" t="s">
        <v>613</v>
      </c>
      <c r="D415" s="47">
        <v>100</v>
      </c>
      <c r="E415" s="28">
        <v>67.2</v>
      </c>
      <c r="F415" s="24">
        <v>148</v>
      </c>
      <c r="G415" s="28">
        <v>623</v>
      </c>
      <c r="H415" s="24">
        <v>27.1</v>
      </c>
      <c r="I415" s="24">
        <v>4.3</v>
      </c>
      <c r="J415" s="24">
        <v>0</v>
      </c>
      <c r="K415" s="28">
        <v>0</v>
      </c>
      <c r="L415" s="28">
        <v>0</v>
      </c>
      <c r="M415" s="24">
        <v>0</v>
      </c>
      <c r="N415" s="28">
        <v>1.3</v>
      </c>
      <c r="O415" s="25">
        <v>17</v>
      </c>
      <c r="P415" s="25">
        <v>1.1000000000000001</v>
      </c>
      <c r="Q415" s="28">
        <v>24</v>
      </c>
      <c r="R415" s="25">
        <v>210</v>
      </c>
      <c r="S415" s="28">
        <v>3.1</v>
      </c>
      <c r="T415" s="28">
        <v>27</v>
      </c>
      <c r="U415" s="28">
        <v>360</v>
      </c>
      <c r="V415" s="28">
        <v>0.74</v>
      </c>
      <c r="W415" s="28">
        <v>0.3</v>
      </c>
      <c r="X415" s="28">
        <v>5.9</v>
      </c>
      <c r="Y415" s="28">
        <v>1</v>
      </c>
      <c r="Z415" s="28">
        <v>1</v>
      </c>
      <c r="AA415" s="25">
        <v>0</v>
      </c>
      <c r="AB415" s="25">
        <v>0</v>
      </c>
      <c r="AC415" s="25">
        <v>0</v>
      </c>
      <c r="AD415" s="28">
        <v>1.7</v>
      </c>
      <c r="AE415" s="28">
        <v>2</v>
      </c>
      <c r="AF415" s="28">
        <v>0.7</v>
      </c>
      <c r="AG415" s="28">
        <v>5</v>
      </c>
      <c r="AH415" s="24">
        <v>105</v>
      </c>
      <c r="AI415" s="28">
        <v>100</v>
      </c>
      <c r="AJ415" s="13" t="str">
        <f xml:space="preserve"> IF(AD415&gt;F415,"Exceso en grasa saturada",IFERROR(IF(F415=0,"No tiene sello",IF((AD415*9)*100/F415&gt;10,"Exceso en grasa saturada","No tiene sello")),"No tiene sello"))</f>
        <v>Exceso en grasa saturada</v>
      </c>
      <c r="AK415" s="13">
        <f>IF(AJ415="No tiene sello",0,1)</f>
        <v>1</v>
      </c>
      <c r="AL415" s="13" t="str">
        <f>IF(Q415&gt;=300,"Exceso en sodio",IFERROR(IF(AND(F415=0,Q415&gt;0),"No tiene sello",IF(Q415/F415&gt;1,"Exceso en sodio","No tiene sello")),"No tiene sello"))</f>
        <v>No tiene sello</v>
      </c>
      <c r="AM415" s="13" t="str">
        <f>IFERROR(IF(F415=0,"No tiene sello",IF(+(AG415/1000)*9*100/F415&gt;1,"Exceso en grasa trans", "No tiene sello")),"No tiene sello")</f>
        <v>No tiene sello</v>
      </c>
    </row>
    <row r="416" spans="1:39" ht="13.5" customHeight="1" x14ac:dyDescent="0.25">
      <c r="A416" s="20" t="s">
        <v>826</v>
      </c>
      <c r="B416" s="20" t="s">
        <v>827</v>
      </c>
      <c r="C416" s="20" t="s">
        <v>613</v>
      </c>
      <c r="D416" s="46">
        <v>100</v>
      </c>
      <c r="E416" s="23">
        <v>72.900000000000006</v>
      </c>
      <c r="F416" s="24">
        <v>131</v>
      </c>
      <c r="G416" s="23">
        <v>551</v>
      </c>
      <c r="H416" s="24">
        <v>20.5</v>
      </c>
      <c r="I416" s="24">
        <v>5.4</v>
      </c>
      <c r="J416" s="24">
        <v>0.2</v>
      </c>
      <c r="K416" s="23">
        <v>0</v>
      </c>
      <c r="L416" s="23">
        <v>0.02</v>
      </c>
      <c r="M416" s="24">
        <v>0</v>
      </c>
      <c r="N416" s="23">
        <v>1.1000000000000001</v>
      </c>
      <c r="O416" s="25">
        <v>8</v>
      </c>
      <c r="P416" s="25">
        <v>1.2</v>
      </c>
      <c r="Q416" s="23">
        <v>57</v>
      </c>
      <c r="R416" s="25">
        <v>217</v>
      </c>
      <c r="S416" s="23">
        <v>2.5</v>
      </c>
      <c r="T416" s="23">
        <v>23</v>
      </c>
      <c r="U416" s="23">
        <v>370</v>
      </c>
      <c r="V416" s="23">
        <v>0.8</v>
      </c>
      <c r="W416" s="23">
        <v>0.24</v>
      </c>
      <c r="X416" s="23">
        <v>5.7</v>
      </c>
      <c r="Y416" s="23">
        <v>5</v>
      </c>
      <c r="Z416" s="23">
        <v>1</v>
      </c>
      <c r="AA416" s="25">
        <v>0</v>
      </c>
      <c r="AB416" s="25">
        <v>0</v>
      </c>
      <c r="AC416" s="25">
        <v>0</v>
      </c>
      <c r="AD416" s="23">
        <v>1.9</v>
      </c>
      <c r="AE416" s="23">
        <v>2.4</v>
      </c>
      <c r="AF416" s="23">
        <v>0.6</v>
      </c>
      <c r="AG416" s="23">
        <v>5</v>
      </c>
      <c r="AH416" s="24">
        <v>68</v>
      </c>
      <c r="AI416" s="23">
        <v>100</v>
      </c>
      <c r="AJ416" s="13" t="str">
        <f xml:space="preserve"> IF(AD416&gt;F416,"Exceso en grasa saturada",IFERROR(IF(F416=0,"No tiene sello",IF((AD416*9)*100/F416&gt;10,"Exceso en grasa saturada","No tiene sello")),"No tiene sello"))</f>
        <v>Exceso en grasa saturada</v>
      </c>
      <c r="AK416" s="13">
        <f>IF(AJ416="No tiene sello",0,1)</f>
        <v>1</v>
      </c>
      <c r="AL416" s="13" t="str">
        <f>IF(Q416&gt;=300,"Exceso en sodio",IFERROR(IF(AND(F416=0,Q416&gt;0),"No tiene sello",IF(Q416/F416&gt;1,"Exceso en sodio","No tiene sello")),"No tiene sello"))</f>
        <v>No tiene sello</v>
      </c>
      <c r="AM416" s="13" t="str">
        <f>IFERROR(IF(F416=0,"No tiene sello",IF(+(AG416/1000)*9*100/F416&gt;1,"Exceso en grasa trans", "No tiene sello")),"No tiene sello")</f>
        <v>No tiene sello</v>
      </c>
    </row>
    <row r="417" spans="1:39" ht="13.5" customHeight="1" x14ac:dyDescent="0.25">
      <c r="A417" s="26" t="s">
        <v>824</v>
      </c>
      <c r="B417" s="26" t="s">
        <v>825</v>
      </c>
      <c r="C417" s="26" t="s">
        <v>613</v>
      </c>
      <c r="D417" s="47">
        <v>100</v>
      </c>
      <c r="E417" s="28">
        <v>60</v>
      </c>
      <c r="F417" s="24">
        <v>202</v>
      </c>
      <c r="G417" s="28">
        <v>848</v>
      </c>
      <c r="H417" s="24">
        <v>29.4</v>
      </c>
      <c r="I417" s="24">
        <v>9.4</v>
      </c>
      <c r="J417" s="24">
        <v>0</v>
      </c>
      <c r="K417" s="28">
        <v>0</v>
      </c>
      <c r="L417" s="28">
        <v>0</v>
      </c>
      <c r="M417" s="24">
        <v>0</v>
      </c>
      <c r="N417" s="28">
        <v>1.2</v>
      </c>
      <c r="O417" s="25">
        <v>18</v>
      </c>
      <c r="P417" s="25">
        <v>1.1000000000000001</v>
      </c>
      <c r="Q417" s="28">
        <v>27</v>
      </c>
      <c r="R417" s="25">
        <v>277</v>
      </c>
      <c r="S417" s="28">
        <v>3.1</v>
      </c>
      <c r="T417" s="28">
        <v>26</v>
      </c>
      <c r="U417" s="28">
        <v>384</v>
      </c>
      <c r="V417" s="28">
        <v>0.8</v>
      </c>
      <c r="W417" s="28">
        <v>0.32</v>
      </c>
      <c r="X417" s="28">
        <v>5.9</v>
      </c>
      <c r="Y417" s="28">
        <v>12</v>
      </c>
      <c r="Z417" s="28">
        <v>0.8</v>
      </c>
      <c r="AA417" s="25">
        <v>0</v>
      </c>
      <c r="AB417" s="25">
        <v>3</v>
      </c>
      <c r="AC417" s="25">
        <v>0</v>
      </c>
      <c r="AD417" s="28">
        <v>3.3</v>
      </c>
      <c r="AE417" s="28">
        <v>4.5</v>
      </c>
      <c r="AF417" s="28">
        <v>0.8</v>
      </c>
      <c r="AG417" s="28">
        <v>5</v>
      </c>
      <c r="AH417" s="24">
        <v>94</v>
      </c>
      <c r="AI417" s="28">
        <v>100</v>
      </c>
      <c r="AJ417" s="13" t="str">
        <f xml:space="preserve"> IF(AD417&gt;F417,"Exceso en grasa saturada",IFERROR(IF(F417=0,"No tiene sello",IF((AD417*9)*100/F417&gt;10,"Exceso en grasa saturada","No tiene sello")),"No tiene sello"))</f>
        <v>Exceso en grasa saturada</v>
      </c>
      <c r="AK417" s="13">
        <f>IF(AJ417="No tiene sello",0,1)</f>
        <v>1</v>
      </c>
      <c r="AL417" s="13" t="str">
        <f>IF(Q417&gt;=300,"Exceso en sodio",IFERROR(IF(AND(F417=0,Q417&gt;0),"No tiene sello",IF(Q417/F417&gt;1,"Exceso en sodio","No tiene sello")),"No tiene sello"))</f>
        <v>No tiene sello</v>
      </c>
      <c r="AM417" s="13" t="str">
        <f>IFERROR(IF(F417=0,"No tiene sello",IF(+(AG417/1000)*9*100/F417&gt;1,"Exceso en grasa trans", "No tiene sello")),"No tiene sello")</f>
        <v>No tiene sello</v>
      </c>
    </row>
    <row r="418" spans="1:39" ht="13.5" customHeight="1" x14ac:dyDescent="0.25">
      <c r="A418" s="20" t="s">
        <v>821</v>
      </c>
      <c r="B418" s="20" t="s">
        <v>823</v>
      </c>
      <c r="C418" s="20" t="s">
        <v>822</v>
      </c>
      <c r="D418" s="46">
        <v>100</v>
      </c>
      <c r="E418" s="23">
        <v>80</v>
      </c>
      <c r="F418" s="24">
        <v>89</v>
      </c>
      <c r="G418" s="23">
        <v>375</v>
      </c>
      <c r="H418" s="24">
        <v>16.2</v>
      </c>
      <c r="I418" s="24">
        <v>2.7</v>
      </c>
      <c r="J418" s="24">
        <v>0</v>
      </c>
      <c r="K418" s="23">
        <v>0</v>
      </c>
      <c r="L418" s="23">
        <v>0</v>
      </c>
      <c r="M418" s="24">
        <v>0</v>
      </c>
      <c r="N418" s="23">
        <v>1.1000000000000001</v>
      </c>
      <c r="O418" s="25">
        <v>10</v>
      </c>
      <c r="P418" s="25">
        <v>5</v>
      </c>
      <c r="Q418" s="23">
        <v>121</v>
      </c>
      <c r="R418" s="25">
        <v>205</v>
      </c>
      <c r="S418" s="23">
        <v>2.7</v>
      </c>
      <c r="T418" s="23">
        <v>17</v>
      </c>
      <c r="U418" s="23">
        <v>229</v>
      </c>
      <c r="V418" s="23">
        <v>0.35</v>
      </c>
      <c r="W418" s="23">
        <v>2.8</v>
      </c>
      <c r="X418" s="23">
        <v>8.1</v>
      </c>
      <c r="Y418" s="23">
        <v>42</v>
      </c>
      <c r="Z418" s="23">
        <v>8.49</v>
      </c>
      <c r="AA418" s="25">
        <v>13</v>
      </c>
      <c r="AB418" s="25">
        <v>59</v>
      </c>
      <c r="AC418" s="25">
        <v>0</v>
      </c>
      <c r="AD418" s="23">
        <v>1</v>
      </c>
      <c r="AE418" s="23">
        <v>1</v>
      </c>
      <c r="AF418" s="23">
        <v>0.3</v>
      </c>
      <c r="AG418" s="23">
        <v>8</v>
      </c>
      <c r="AH418" s="24">
        <v>319</v>
      </c>
      <c r="AI418" s="23">
        <v>100</v>
      </c>
      <c r="AJ418" s="13" t="str">
        <f xml:space="preserve"> IF(AD418&gt;F418,"Exceso en grasa saturada",IFERROR(IF(F418=0,"No tiene sello",IF((AD418*9)*100/F418&gt;10,"Exceso en grasa saturada","No tiene sello")),"No tiene sello"))</f>
        <v>Exceso en grasa saturada</v>
      </c>
      <c r="AK418" s="13">
        <f>IF(AJ418="No tiene sello",0,1)</f>
        <v>1</v>
      </c>
      <c r="AL418" s="13" t="str">
        <f>IF(Q418&gt;=300,"Exceso en sodio",IFERROR(IF(AND(F418=0,Q418&gt;0),"No tiene sello",IF(Q418/F418&gt;1,"Exceso en sodio","No tiene sello")),"No tiene sello"))</f>
        <v>Exceso en sodio</v>
      </c>
      <c r="AM418" s="13" t="str">
        <f>IFERROR(IF(F418=0,"No tiene sello",IF(+(AG418/1000)*9*100/F418&gt;1,"Exceso en grasa trans", "No tiene sello")),"No tiene sello")</f>
        <v>No tiene sello</v>
      </c>
    </row>
    <row r="419" spans="1:39" ht="13.5" customHeight="1" x14ac:dyDescent="0.25">
      <c r="A419" s="26" t="s">
        <v>819</v>
      </c>
      <c r="B419" s="26" t="s">
        <v>820</v>
      </c>
      <c r="C419" s="26" t="s">
        <v>813</v>
      </c>
      <c r="D419" s="47">
        <v>100</v>
      </c>
      <c r="E419" s="28">
        <v>10.3</v>
      </c>
      <c r="F419" s="24">
        <v>751</v>
      </c>
      <c r="G419" s="28">
        <v>3093</v>
      </c>
      <c r="H419" s="24">
        <v>10.4</v>
      </c>
      <c r="I419" s="24">
        <v>78.8</v>
      </c>
      <c r="J419" s="24">
        <v>0</v>
      </c>
      <c r="K419" s="28">
        <v>0</v>
      </c>
      <c r="L419" s="28">
        <v>0</v>
      </c>
      <c r="M419" s="24">
        <v>0</v>
      </c>
      <c r="N419" s="28">
        <v>0.4</v>
      </c>
      <c r="O419" s="25">
        <v>40</v>
      </c>
      <c r="P419" s="25">
        <v>1.3</v>
      </c>
      <c r="Q419" s="28">
        <v>15</v>
      </c>
      <c r="R419" s="25">
        <v>62</v>
      </c>
      <c r="S419" s="28">
        <v>0.8</v>
      </c>
      <c r="T419" s="28">
        <v>10</v>
      </c>
      <c r="U419" s="28">
        <v>130</v>
      </c>
      <c r="V419" s="28">
        <v>0.04</v>
      </c>
      <c r="W419" s="28">
        <v>0.38</v>
      </c>
      <c r="X419" s="28">
        <v>2.5</v>
      </c>
      <c r="Y419" s="28">
        <v>0</v>
      </c>
      <c r="Z419" s="28">
        <v>0</v>
      </c>
      <c r="AA419" s="25">
        <v>0</v>
      </c>
      <c r="AB419" s="25">
        <v>0</v>
      </c>
      <c r="AC419" s="25">
        <v>0</v>
      </c>
      <c r="AD419" s="28">
        <v>33.1</v>
      </c>
      <c r="AE419" s="28">
        <v>32</v>
      </c>
      <c r="AF419" s="28">
        <v>13.7</v>
      </c>
      <c r="AG419" s="28">
        <v>30</v>
      </c>
      <c r="AH419" s="24">
        <v>25</v>
      </c>
      <c r="AI419" s="28">
        <v>100</v>
      </c>
      <c r="AJ419" s="13" t="str">
        <f xml:space="preserve"> IF(AD419&gt;F419,"Exceso en grasa saturada",IFERROR(IF(F419=0,"No tiene sello",IF((AD419*9)*100/F419&gt;10,"Exceso en grasa saturada","No tiene sello")),"No tiene sello"))</f>
        <v>Exceso en grasa saturada</v>
      </c>
      <c r="AK419" s="13">
        <f>IF(AJ419="No tiene sello",0,1)</f>
        <v>1</v>
      </c>
      <c r="AL419" s="13" t="str">
        <f>IF(Q419&gt;=300,"Exceso en sodio",IFERROR(IF(AND(F419=0,Q419&gt;0),"No tiene sello",IF(Q419/F419&gt;1,"Exceso en sodio","No tiene sello")),"No tiene sello"))</f>
        <v>No tiene sello</v>
      </c>
      <c r="AM419" s="13" t="str">
        <f>IFERROR(IF(F419=0,"No tiene sello",IF(+(AG419/1000)*9*100/F419&gt;1,"Exceso en grasa trans", "No tiene sello")),"No tiene sello")</f>
        <v>No tiene sello</v>
      </c>
    </row>
    <row r="420" spans="1:39" ht="13.5" customHeight="1" x14ac:dyDescent="0.25">
      <c r="A420" s="20" t="s">
        <v>817</v>
      </c>
      <c r="B420" s="20" t="s">
        <v>818</v>
      </c>
      <c r="C420" s="20" t="s">
        <v>813</v>
      </c>
      <c r="D420" s="46">
        <v>100</v>
      </c>
      <c r="E420" s="23">
        <v>10.8</v>
      </c>
      <c r="F420" s="24">
        <v>784</v>
      </c>
      <c r="G420" s="23">
        <v>3224</v>
      </c>
      <c r="H420" s="24">
        <v>2.9</v>
      </c>
      <c r="I420" s="24">
        <v>85.8</v>
      </c>
      <c r="J420" s="24">
        <v>0</v>
      </c>
      <c r="K420" s="23">
        <v>0</v>
      </c>
      <c r="L420" s="23">
        <v>0</v>
      </c>
      <c r="M420" s="24">
        <v>0</v>
      </c>
      <c r="N420" s="23">
        <v>0.6</v>
      </c>
      <c r="O420" s="25">
        <v>6</v>
      </c>
      <c r="P420" s="25">
        <v>1.1000000000000001</v>
      </c>
      <c r="Q420" s="23">
        <v>22</v>
      </c>
      <c r="R420" s="25">
        <v>37</v>
      </c>
      <c r="S420" s="23">
        <v>0.8</v>
      </c>
      <c r="T420" s="23">
        <v>4</v>
      </c>
      <c r="U420" s="23">
        <v>71</v>
      </c>
      <c r="V420" s="23">
        <v>0.23</v>
      </c>
      <c r="W420" s="23">
        <v>0.17</v>
      </c>
      <c r="X420" s="23">
        <v>2.7</v>
      </c>
      <c r="Y420" s="23">
        <v>1</v>
      </c>
      <c r="Z420" s="23">
        <v>0.18</v>
      </c>
      <c r="AA420" s="25">
        <v>0</v>
      </c>
      <c r="AB420" s="25">
        <v>10</v>
      </c>
      <c r="AC420" s="25">
        <v>0</v>
      </c>
      <c r="AD420" s="23">
        <v>34.6</v>
      </c>
      <c r="AE420" s="23">
        <v>35.299999999999997</v>
      </c>
      <c r="AF420" s="23">
        <v>15.9</v>
      </c>
      <c r="AG420" s="23">
        <v>30</v>
      </c>
      <c r="AH420" s="24">
        <v>70</v>
      </c>
      <c r="AI420" s="23">
        <v>100</v>
      </c>
      <c r="AJ420" s="13" t="str">
        <f xml:space="preserve"> IF(AD420&gt;F420,"Exceso en grasa saturada",IFERROR(IF(F420=0,"No tiene sello",IF((AD420*9)*100/F420&gt;10,"Exceso en grasa saturada","No tiene sello")),"No tiene sello"))</f>
        <v>Exceso en grasa saturada</v>
      </c>
      <c r="AK420" s="13">
        <f>IF(AJ420="No tiene sello",0,1)</f>
        <v>1</v>
      </c>
      <c r="AL420" s="13" t="str">
        <f>IF(Q420&gt;=300,"Exceso en sodio",IFERROR(IF(AND(F420=0,Q420&gt;0),"No tiene sello",IF(Q420/F420&gt;1,"Exceso en sodio","No tiene sello")),"No tiene sello"))</f>
        <v>No tiene sello</v>
      </c>
      <c r="AM420" s="13" t="str">
        <f>IFERROR(IF(F420=0,"No tiene sello",IF(+(AG420/1000)*9*100/F420&gt;1,"Exceso en grasa trans", "No tiene sello")),"No tiene sello")</f>
        <v>No tiene sello</v>
      </c>
    </row>
    <row r="421" spans="1:39" ht="13.5" customHeight="1" x14ac:dyDescent="0.25">
      <c r="A421" s="26" t="s">
        <v>815</v>
      </c>
      <c r="B421" s="26" t="s">
        <v>816</v>
      </c>
      <c r="C421" s="26" t="s">
        <v>813</v>
      </c>
      <c r="D421" s="47">
        <v>100</v>
      </c>
      <c r="E421" s="28">
        <v>16.899999999999999</v>
      </c>
      <c r="F421" s="24">
        <v>599</v>
      </c>
      <c r="G421" s="28">
        <v>2477</v>
      </c>
      <c r="H421" s="24">
        <v>20.8</v>
      </c>
      <c r="I421" s="24">
        <v>56.1</v>
      </c>
      <c r="J421" s="24">
        <v>2.8</v>
      </c>
      <c r="K421" s="28">
        <v>0</v>
      </c>
      <c r="L421" s="28">
        <v>0.28000000000000003</v>
      </c>
      <c r="M421" s="24">
        <v>0</v>
      </c>
      <c r="N421" s="28">
        <v>3.4</v>
      </c>
      <c r="O421" s="25">
        <v>61</v>
      </c>
      <c r="P421" s="25">
        <v>2.8</v>
      </c>
      <c r="Q421" s="28">
        <v>125</v>
      </c>
      <c r="R421" s="25">
        <v>149</v>
      </c>
      <c r="S421" s="28">
        <v>0.8</v>
      </c>
      <c r="T421" s="28">
        <v>9</v>
      </c>
      <c r="U421" s="28">
        <v>171</v>
      </c>
      <c r="V421" s="28">
        <v>0.03</v>
      </c>
      <c r="W421" s="28">
        <v>0.2</v>
      </c>
      <c r="X421" s="28">
        <v>3.8</v>
      </c>
      <c r="Y421" s="28">
        <v>0</v>
      </c>
      <c r="Z421" s="28">
        <v>0</v>
      </c>
      <c r="AA421" s="25">
        <v>0</v>
      </c>
      <c r="AB421" s="25">
        <v>0</v>
      </c>
      <c r="AC421" s="25">
        <v>0</v>
      </c>
      <c r="AD421" s="28">
        <v>15.3</v>
      </c>
      <c r="AE421" s="28">
        <v>19.600000000000001</v>
      </c>
      <c r="AF421" s="28">
        <v>7.9</v>
      </c>
      <c r="AG421" s="28">
        <v>50</v>
      </c>
      <c r="AH421" s="24">
        <v>105</v>
      </c>
      <c r="AI421" s="28">
        <v>100</v>
      </c>
      <c r="AJ421" s="13" t="str">
        <f xml:space="preserve"> IF(AD421&gt;F421,"Exceso en grasa saturada",IFERROR(IF(F421=0,"No tiene sello",IF((AD421*9)*100/F421&gt;10,"Exceso en grasa saturada","No tiene sello")),"No tiene sello"))</f>
        <v>Exceso en grasa saturada</v>
      </c>
      <c r="AK421" s="13">
        <f>IF(AJ421="No tiene sello",0,1)</f>
        <v>1</v>
      </c>
      <c r="AL421" s="13" t="str">
        <f>IF(Q421&gt;=300,"Exceso en sodio",IFERROR(IF(AND(F421=0,Q421&gt;0),"No tiene sello",IF(Q421/F421&gt;1,"Exceso en sodio","No tiene sello")),"No tiene sello"))</f>
        <v>No tiene sello</v>
      </c>
      <c r="AM421" s="13" t="str">
        <f>IFERROR(IF(F421=0,"No tiene sello",IF(+(AG421/1000)*9*100/F421&gt;1,"Exceso en grasa trans", "No tiene sello")),"No tiene sello")</f>
        <v>No tiene sello</v>
      </c>
    </row>
    <row r="422" spans="1:39" ht="13.5" customHeight="1" x14ac:dyDescent="0.25">
      <c r="A422" s="20" t="s">
        <v>812</v>
      </c>
      <c r="B422" s="20" t="s">
        <v>814</v>
      </c>
      <c r="C422" s="20" t="s">
        <v>813</v>
      </c>
      <c r="D422" s="46">
        <v>100</v>
      </c>
      <c r="E422" s="23">
        <v>9.8000000000000007</v>
      </c>
      <c r="F422" s="24">
        <v>754</v>
      </c>
      <c r="G422" s="23">
        <v>3106</v>
      </c>
      <c r="H422" s="24">
        <v>10.199999999999999</v>
      </c>
      <c r="I422" s="24">
        <v>79.2</v>
      </c>
      <c r="J422" s="24">
        <v>0.1</v>
      </c>
      <c r="K422" s="23">
        <v>0</v>
      </c>
      <c r="L422" s="23">
        <v>0.01</v>
      </c>
      <c r="M422" s="24">
        <v>0</v>
      </c>
      <c r="N422" s="23">
        <v>0.8</v>
      </c>
      <c r="O422" s="25">
        <v>9</v>
      </c>
      <c r="P422" s="25">
        <v>1.4</v>
      </c>
      <c r="Q422" s="23">
        <v>18</v>
      </c>
      <c r="R422" s="25">
        <v>66</v>
      </c>
      <c r="S422" s="23">
        <v>3.5</v>
      </c>
      <c r="T422" s="23">
        <v>33</v>
      </c>
      <c r="U422" s="23">
        <v>565</v>
      </c>
      <c r="V422" s="23">
        <v>0.02</v>
      </c>
      <c r="W422" s="23">
        <v>0.19</v>
      </c>
      <c r="X422" s="23">
        <v>3</v>
      </c>
      <c r="Y422" s="23">
        <v>2</v>
      </c>
      <c r="Z422" s="23">
        <v>1.23</v>
      </c>
      <c r="AA422" s="25">
        <v>0</v>
      </c>
      <c r="AB422" s="25">
        <v>11</v>
      </c>
      <c r="AC422" s="25">
        <v>0</v>
      </c>
      <c r="AD422" s="23">
        <v>32.700000000000003</v>
      </c>
      <c r="AE422" s="23">
        <v>32.799999999999997</v>
      </c>
      <c r="AF422" s="23">
        <v>13.8</v>
      </c>
      <c r="AG422" s="23">
        <v>30</v>
      </c>
      <c r="AH422" s="24">
        <v>40</v>
      </c>
      <c r="AI422" s="23">
        <v>100</v>
      </c>
      <c r="AJ422" s="13" t="str">
        <f xml:space="preserve"> IF(AD422&gt;F422,"Exceso en grasa saturada",IFERROR(IF(F422=0,"No tiene sello",IF((AD422*9)*100/F422&gt;10,"Exceso en grasa saturada","No tiene sello")),"No tiene sello"))</f>
        <v>Exceso en grasa saturada</v>
      </c>
      <c r="AK422" s="13">
        <f>IF(AJ422="No tiene sello",0,1)</f>
        <v>1</v>
      </c>
      <c r="AL422" s="13" t="str">
        <f>IF(Q422&gt;=300,"Exceso en sodio",IFERROR(IF(AND(F422=0,Q422&gt;0),"No tiene sello",IF(Q422/F422&gt;1,"Exceso en sodio","No tiene sello")),"No tiene sello"))</f>
        <v>No tiene sello</v>
      </c>
      <c r="AM422" s="13" t="str">
        <f>IFERROR(IF(F422=0,"No tiene sello",IF(+(AG422/1000)*9*100/F422&gt;1,"Exceso en grasa trans", "No tiene sello")),"No tiene sello")</f>
        <v>No tiene sello</v>
      </c>
    </row>
    <row r="423" spans="1:39" ht="13.5" customHeight="1" x14ac:dyDescent="0.25">
      <c r="A423" s="26" t="s">
        <v>810</v>
      </c>
      <c r="B423" s="26" t="s">
        <v>811</v>
      </c>
      <c r="C423" s="27"/>
      <c r="D423" s="47">
        <v>100</v>
      </c>
      <c r="E423" s="28">
        <v>63.7</v>
      </c>
      <c r="F423" s="24">
        <v>134</v>
      </c>
      <c r="G423" s="28">
        <v>563</v>
      </c>
      <c r="H423" s="24">
        <v>22.1</v>
      </c>
      <c r="I423" s="24">
        <v>4.5</v>
      </c>
      <c r="J423" s="24">
        <v>1.2</v>
      </c>
      <c r="K423" s="28">
        <v>0</v>
      </c>
      <c r="L423" s="28">
        <v>0.12</v>
      </c>
      <c r="M423" s="24">
        <v>0</v>
      </c>
      <c r="N423" s="28">
        <v>8.5</v>
      </c>
      <c r="O423" s="25">
        <v>186</v>
      </c>
      <c r="P423" s="25">
        <v>2.7</v>
      </c>
      <c r="Q423" s="28">
        <v>0</v>
      </c>
      <c r="R423" s="25">
        <v>186</v>
      </c>
      <c r="S423" s="28">
        <v>0</v>
      </c>
      <c r="T423" s="28">
        <v>0</v>
      </c>
      <c r="U423" s="28">
        <v>0</v>
      </c>
      <c r="V423" s="28">
        <v>0.01</v>
      </c>
      <c r="W423" s="28">
        <v>0.22</v>
      </c>
      <c r="X423" s="28">
        <v>7.1</v>
      </c>
      <c r="Y423" s="28">
        <v>0</v>
      </c>
      <c r="Z423" s="28">
        <v>0</v>
      </c>
      <c r="AA423" s="25">
        <v>0</v>
      </c>
      <c r="AB423" s="25">
        <v>0</v>
      </c>
      <c r="AC423" s="25">
        <v>0</v>
      </c>
      <c r="AD423" s="28">
        <v>0</v>
      </c>
      <c r="AE423" s="28">
        <v>0</v>
      </c>
      <c r="AF423" s="28">
        <v>0</v>
      </c>
      <c r="AG423" s="28">
        <v>5</v>
      </c>
      <c r="AH423" s="24">
        <v>0</v>
      </c>
      <c r="AI423" s="28">
        <v>100</v>
      </c>
      <c r="AJ423" s="13" t="str">
        <f xml:space="preserve"> IF(AD423&gt;F423,"Exceso en grasa saturada",IFERROR(IF(F423=0,"No tiene sello",IF((AD423*9)*100/F423&gt;10,"Exceso en grasa saturada","No tiene sello")),"No tiene sello"))</f>
        <v>No tiene sello</v>
      </c>
      <c r="AK423" s="13">
        <f>IF(AJ423="No tiene sello",0,1)</f>
        <v>0</v>
      </c>
      <c r="AL423" s="13" t="str">
        <f>IF(Q423&gt;=300,"Exceso en sodio",IFERROR(IF(AND(F423=0,Q423&gt;0),"No tiene sello",IF(Q423/F423&gt;1,"Exceso en sodio","No tiene sello")),"No tiene sello"))</f>
        <v>No tiene sello</v>
      </c>
      <c r="AM423" s="13" t="str">
        <f>IFERROR(IF(F423=0,"No tiene sello",IF(+(AG423/1000)*9*100/F423&gt;1,"Exceso en grasa trans", "No tiene sello")),"No tiene sello")</f>
        <v>No tiene sello</v>
      </c>
    </row>
    <row r="424" spans="1:39" ht="13.5" customHeight="1" x14ac:dyDescent="0.25">
      <c r="A424" s="20" t="s">
        <v>808</v>
      </c>
      <c r="B424" s="20" t="s">
        <v>809</v>
      </c>
      <c r="C424" s="20" t="s">
        <v>613</v>
      </c>
      <c r="D424" s="46">
        <v>100</v>
      </c>
      <c r="E424" s="23">
        <v>70</v>
      </c>
      <c r="F424" s="24">
        <v>95</v>
      </c>
      <c r="G424" s="23">
        <v>401</v>
      </c>
      <c r="H424" s="24">
        <v>22</v>
      </c>
      <c r="I424" s="24">
        <v>0.7</v>
      </c>
      <c r="J424" s="24">
        <v>0</v>
      </c>
      <c r="K424" s="23">
        <v>0</v>
      </c>
      <c r="L424" s="23">
        <v>0</v>
      </c>
      <c r="M424" s="24">
        <v>0</v>
      </c>
      <c r="N424" s="23">
        <v>7.2</v>
      </c>
      <c r="O424" s="25">
        <v>0</v>
      </c>
      <c r="P424" s="25">
        <v>0</v>
      </c>
      <c r="Q424" s="23">
        <v>0</v>
      </c>
      <c r="R424" s="25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5">
        <v>0</v>
      </c>
      <c r="AB424" s="25">
        <v>0</v>
      </c>
      <c r="AC424" s="25">
        <v>0</v>
      </c>
      <c r="AD424" s="23">
        <v>0</v>
      </c>
      <c r="AE424" s="23">
        <v>0</v>
      </c>
      <c r="AF424" s="23">
        <v>0</v>
      </c>
      <c r="AG424" s="23">
        <v>5</v>
      </c>
      <c r="AH424" s="24">
        <v>0</v>
      </c>
      <c r="AI424" s="23"/>
      <c r="AJ424" s="13" t="str">
        <f xml:space="preserve"> IF(AD424&gt;F424,"Exceso en grasa saturada",IFERROR(IF(F424=0,"No tiene sello",IF((AD424*9)*100/F424&gt;10,"Exceso en grasa saturada","No tiene sello")),"No tiene sello"))</f>
        <v>No tiene sello</v>
      </c>
      <c r="AK424" s="13">
        <f>IF(AJ424="No tiene sello",0,1)</f>
        <v>0</v>
      </c>
      <c r="AL424" s="13" t="str">
        <f>IF(Q424&gt;=300,"Exceso en sodio",IFERROR(IF(AND(F424=0,Q424&gt;0),"No tiene sello",IF(Q424/F424&gt;1,"Exceso en sodio","No tiene sello")),"No tiene sello"))</f>
        <v>No tiene sello</v>
      </c>
      <c r="AM424" s="13" t="str">
        <f>IFERROR(IF(F424=0,"No tiene sello",IF(+(AG424/1000)*9*100/F424&gt;1,"Exceso en grasa trans", "No tiene sello")),"No tiene sello")</f>
        <v>No tiene sello</v>
      </c>
    </row>
    <row r="425" spans="1:39" ht="13.5" customHeight="1" x14ac:dyDescent="0.25">
      <c r="A425" s="26" t="s">
        <v>806</v>
      </c>
      <c r="B425" s="26" t="s">
        <v>807</v>
      </c>
      <c r="C425" s="27"/>
      <c r="D425" s="47">
        <v>100</v>
      </c>
      <c r="E425" s="28">
        <v>47</v>
      </c>
      <c r="F425" s="24">
        <v>321</v>
      </c>
      <c r="G425" s="28">
        <v>1334</v>
      </c>
      <c r="H425" s="24">
        <v>24.1</v>
      </c>
      <c r="I425" s="24">
        <v>23.1</v>
      </c>
      <c r="J425" s="24">
        <v>4</v>
      </c>
      <c r="K425" s="28">
        <v>0</v>
      </c>
      <c r="L425" s="28">
        <v>0.4</v>
      </c>
      <c r="M425" s="24">
        <v>0</v>
      </c>
      <c r="N425" s="28">
        <v>1.8</v>
      </c>
      <c r="O425" s="25">
        <v>9</v>
      </c>
      <c r="P425" s="25">
        <v>2.1</v>
      </c>
      <c r="Q425" s="28">
        <v>1140</v>
      </c>
      <c r="R425" s="25">
        <v>271</v>
      </c>
      <c r="S425" s="28">
        <v>1.2</v>
      </c>
      <c r="T425" s="28">
        <v>10</v>
      </c>
      <c r="U425" s="28">
        <v>181</v>
      </c>
      <c r="V425" s="28">
        <v>0.12</v>
      </c>
      <c r="W425" s="28">
        <v>0.28000000000000003</v>
      </c>
      <c r="X425" s="28">
        <v>7.1</v>
      </c>
      <c r="Y425" s="28">
        <v>1</v>
      </c>
      <c r="Z425" s="28">
        <v>0.9</v>
      </c>
      <c r="AA425" s="25">
        <v>0</v>
      </c>
      <c r="AB425" s="25">
        <v>0</v>
      </c>
      <c r="AC425" s="25">
        <v>0</v>
      </c>
      <c r="AD425" s="28">
        <v>9.6</v>
      </c>
      <c r="AE425" s="28">
        <v>11</v>
      </c>
      <c r="AF425" s="28">
        <v>2.5</v>
      </c>
      <c r="AG425" s="28">
        <v>80</v>
      </c>
      <c r="AH425" s="24">
        <v>73</v>
      </c>
      <c r="AI425" s="28">
        <v>100</v>
      </c>
      <c r="AJ425" s="13" t="str">
        <f xml:space="preserve"> IF(AD425&gt;F425,"Exceso en grasa saturada",IFERROR(IF(F425=0,"No tiene sello",IF((AD425*9)*100/F425&gt;10,"Exceso en grasa saturada","No tiene sello")),"No tiene sello"))</f>
        <v>Exceso en grasa saturada</v>
      </c>
      <c r="AK425" s="13">
        <f>IF(AJ425="No tiene sello",0,1)</f>
        <v>1</v>
      </c>
      <c r="AL425" s="13" t="str">
        <f>IF(Q425&gt;=300,"Exceso en sodio",IFERROR(IF(AND(F425=0,Q425&gt;0),"No tiene sello",IF(Q425/F425&gt;1,"Exceso en sodio","No tiene sello")),"No tiene sello"))</f>
        <v>Exceso en sodio</v>
      </c>
      <c r="AM425" s="13" t="str">
        <f>IFERROR(IF(F425=0,"No tiene sello",IF(+(AG425/1000)*9*100/F425&gt;1,"Exceso en grasa trans", "No tiene sello")),"No tiene sello")</f>
        <v>No tiene sello</v>
      </c>
    </row>
    <row r="426" spans="1:39" ht="13.5" customHeight="1" x14ac:dyDescent="0.25">
      <c r="A426" s="20" t="s">
        <v>804</v>
      </c>
      <c r="B426" s="20" t="s">
        <v>805</v>
      </c>
      <c r="C426" s="21"/>
      <c r="D426" s="46">
        <v>100</v>
      </c>
      <c r="E426" s="23">
        <v>52.9</v>
      </c>
      <c r="F426" s="24">
        <v>217</v>
      </c>
      <c r="G426" s="23">
        <v>910</v>
      </c>
      <c r="H426" s="24">
        <v>31.3</v>
      </c>
      <c r="I426" s="24">
        <v>10.199999999999999</v>
      </c>
      <c r="J426" s="24">
        <v>0.1</v>
      </c>
      <c r="K426" s="23">
        <v>0</v>
      </c>
      <c r="L426" s="23">
        <v>0.01</v>
      </c>
      <c r="M426" s="24">
        <v>0</v>
      </c>
      <c r="N426" s="23">
        <v>5.5</v>
      </c>
      <c r="O426" s="25">
        <v>0</v>
      </c>
      <c r="P426" s="25">
        <v>0</v>
      </c>
      <c r="Q426" s="23">
        <v>0</v>
      </c>
      <c r="R426" s="25">
        <v>0</v>
      </c>
      <c r="S426" s="23">
        <v>0</v>
      </c>
      <c r="T426" s="23">
        <v>0</v>
      </c>
      <c r="U426" s="23">
        <v>0</v>
      </c>
      <c r="V426" s="23">
        <v>0</v>
      </c>
      <c r="W426" s="23">
        <v>0</v>
      </c>
      <c r="X426" s="23">
        <v>0</v>
      </c>
      <c r="Y426" s="23">
        <v>0</v>
      </c>
      <c r="Z426" s="23">
        <v>0</v>
      </c>
      <c r="AA426" s="25">
        <v>0</v>
      </c>
      <c r="AB426" s="25">
        <v>0</v>
      </c>
      <c r="AC426" s="25">
        <v>0</v>
      </c>
      <c r="AD426" s="23">
        <v>0</v>
      </c>
      <c r="AE426" s="23">
        <v>0</v>
      </c>
      <c r="AF426" s="23">
        <v>0</v>
      </c>
      <c r="AG426" s="23">
        <v>50</v>
      </c>
      <c r="AH426" s="24">
        <v>0</v>
      </c>
      <c r="AI426" s="23">
        <v>100</v>
      </c>
      <c r="AJ426" s="13" t="str">
        <f xml:space="preserve"> IF(AD426&gt;F426,"Exceso en grasa saturada",IFERROR(IF(F426=0,"No tiene sello",IF((AD426*9)*100/F426&gt;10,"Exceso en grasa saturada","No tiene sello")),"No tiene sello"))</f>
        <v>No tiene sello</v>
      </c>
      <c r="AK426" s="13">
        <f>IF(AJ426="No tiene sello",0,1)</f>
        <v>0</v>
      </c>
      <c r="AL426" s="13" t="str">
        <f>IF(Q426&gt;=300,"Exceso en sodio",IFERROR(IF(AND(F426=0,Q426&gt;0),"No tiene sello",IF(Q426/F426&gt;1,"Exceso en sodio","No tiene sello")),"No tiene sello"))</f>
        <v>No tiene sello</v>
      </c>
      <c r="AM426" s="13" t="str">
        <f>IFERROR(IF(F426=0,"No tiene sello",IF(+(AG426/1000)*9*100/F426&gt;1,"Exceso en grasa trans", "No tiene sello")),"No tiene sello")</f>
        <v>No tiene sello</v>
      </c>
    </row>
    <row r="427" spans="1:39" ht="13.5" customHeight="1" x14ac:dyDescent="0.25">
      <c r="A427" s="26" t="s">
        <v>802</v>
      </c>
      <c r="B427" s="26" t="s">
        <v>803</v>
      </c>
      <c r="C427" s="27"/>
      <c r="D427" s="47">
        <v>100</v>
      </c>
      <c r="E427" s="28">
        <v>71</v>
      </c>
      <c r="F427" s="24">
        <v>133</v>
      </c>
      <c r="G427" s="28">
        <v>560</v>
      </c>
      <c r="H427" s="24">
        <v>22.4</v>
      </c>
      <c r="I427" s="24">
        <v>4.5</v>
      </c>
      <c r="J427" s="24">
        <v>0.8</v>
      </c>
      <c r="K427" s="28">
        <v>0</v>
      </c>
      <c r="L427" s="28">
        <v>0.08</v>
      </c>
      <c r="M427" s="24">
        <v>0</v>
      </c>
      <c r="N427" s="28">
        <v>1.3</v>
      </c>
      <c r="O427" s="25">
        <v>13</v>
      </c>
      <c r="P427" s="25">
        <v>4.5</v>
      </c>
      <c r="Q427" s="28">
        <v>51</v>
      </c>
      <c r="R427" s="25">
        <v>307</v>
      </c>
      <c r="S427" s="28">
        <v>2.7</v>
      </c>
      <c r="T427" s="28">
        <v>25</v>
      </c>
      <c r="U427" s="28">
        <v>237</v>
      </c>
      <c r="V427" s="28">
        <v>0.28000000000000003</v>
      </c>
      <c r="W427" s="28">
        <v>0.28000000000000003</v>
      </c>
      <c r="X427" s="28">
        <v>8.1999999999999993</v>
      </c>
      <c r="Y427" s="28">
        <v>7</v>
      </c>
      <c r="Z427" s="28">
        <v>0.46</v>
      </c>
      <c r="AA427" s="25">
        <v>7</v>
      </c>
      <c r="AB427" s="25">
        <v>17</v>
      </c>
      <c r="AC427" s="25">
        <v>0</v>
      </c>
      <c r="AD427" s="28">
        <v>1.3</v>
      </c>
      <c r="AE427" s="28">
        <v>1.3</v>
      </c>
      <c r="AF427" s="28">
        <v>1.2</v>
      </c>
      <c r="AG427" s="28">
        <v>5</v>
      </c>
      <c r="AH427" s="24">
        <v>70</v>
      </c>
      <c r="AI427" s="28">
        <v>61</v>
      </c>
      <c r="AJ427" s="13" t="str">
        <f xml:space="preserve"> IF(AD427&gt;F427,"Exceso en grasa saturada",IFERROR(IF(F427=0,"No tiene sello",IF((AD427*9)*100/F427&gt;10,"Exceso en grasa saturada","No tiene sello")),"No tiene sello"))</f>
        <v>No tiene sello</v>
      </c>
      <c r="AK427" s="13">
        <f>IF(AJ427="No tiene sello",0,1)</f>
        <v>0</v>
      </c>
      <c r="AL427" s="13" t="str">
        <f>IF(Q427&gt;=300,"Exceso en sodio",IFERROR(IF(AND(F427=0,Q427&gt;0),"No tiene sello",IF(Q427/F427&gt;1,"Exceso en sodio","No tiene sello")),"No tiene sello"))</f>
        <v>No tiene sello</v>
      </c>
      <c r="AM427" s="13" t="str">
        <f>IFERROR(IF(F427=0,"No tiene sello",IF(+(AG427/1000)*9*100/F427&gt;1,"Exceso en grasa trans", "No tiene sello")),"No tiene sello")</f>
        <v>No tiene sello</v>
      </c>
    </row>
    <row r="428" spans="1:39" ht="13.5" customHeight="1" x14ac:dyDescent="0.25">
      <c r="A428" s="20" t="s">
        <v>800</v>
      </c>
      <c r="B428" s="20" t="s">
        <v>801</v>
      </c>
      <c r="C428" s="21"/>
      <c r="D428" s="46">
        <v>100</v>
      </c>
      <c r="E428" s="23">
        <v>59.8</v>
      </c>
      <c r="F428" s="24">
        <v>198</v>
      </c>
      <c r="G428" s="23">
        <v>833</v>
      </c>
      <c r="H428" s="24">
        <v>30.4</v>
      </c>
      <c r="I428" s="24">
        <v>8.4</v>
      </c>
      <c r="J428" s="24">
        <v>0.3</v>
      </c>
      <c r="K428" s="23">
        <v>0</v>
      </c>
      <c r="L428" s="23">
        <v>0.03</v>
      </c>
      <c r="M428" s="24">
        <v>0</v>
      </c>
      <c r="N428" s="23">
        <v>1.1000000000000001</v>
      </c>
      <c r="O428" s="25">
        <v>20</v>
      </c>
      <c r="P428" s="25">
        <v>2.4</v>
      </c>
      <c r="Q428" s="23">
        <v>45</v>
      </c>
      <c r="R428" s="25">
        <v>226</v>
      </c>
      <c r="S428" s="23">
        <v>2.4</v>
      </c>
      <c r="T428" s="23">
        <v>20</v>
      </c>
      <c r="U428" s="23">
        <v>300</v>
      </c>
      <c r="V428" s="23">
        <v>0.06</v>
      </c>
      <c r="W428" s="23">
        <v>0.17</v>
      </c>
      <c r="X428" s="23">
        <v>7.2</v>
      </c>
      <c r="Y428" s="23">
        <v>9</v>
      </c>
      <c r="Z428" s="23">
        <v>6.51</v>
      </c>
      <c r="AA428" s="25">
        <v>0</v>
      </c>
      <c r="AB428" s="25">
        <v>0</v>
      </c>
      <c r="AC428" s="25">
        <v>0</v>
      </c>
      <c r="AD428" s="23">
        <v>2.4</v>
      </c>
      <c r="AE428" s="23">
        <v>2</v>
      </c>
      <c r="AF428" s="23">
        <v>1.5</v>
      </c>
      <c r="AG428" s="23">
        <v>5</v>
      </c>
      <c r="AH428" s="24">
        <v>86</v>
      </c>
      <c r="AI428" s="23">
        <v>100</v>
      </c>
      <c r="AJ428" s="13" t="str">
        <f xml:space="preserve"> IF(AD428&gt;F428,"Exceso en grasa saturada",IFERROR(IF(F428=0,"No tiene sello",IF((AD428*9)*100/F428&gt;10,"Exceso en grasa saturada","No tiene sello")),"No tiene sello"))</f>
        <v>Exceso en grasa saturada</v>
      </c>
      <c r="AK428" s="13">
        <f>IF(AJ428="No tiene sello",0,1)</f>
        <v>1</v>
      </c>
      <c r="AL428" s="13" t="str">
        <f>IF(Q428&gt;=300,"Exceso en sodio",IFERROR(IF(AND(F428=0,Q428&gt;0),"No tiene sello",IF(Q428/F428&gt;1,"Exceso en sodio","No tiene sello")),"No tiene sello"))</f>
        <v>No tiene sello</v>
      </c>
      <c r="AM428" s="13" t="str">
        <f>IFERROR(IF(F428=0,"No tiene sello",IF(+(AG428/1000)*9*100/F428&gt;1,"Exceso en grasa trans", "No tiene sello")),"No tiene sello")</f>
        <v>No tiene sello</v>
      </c>
    </row>
    <row r="429" spans="1:39" ht="13.5" customHeight="1" x14ac:dyDescent="0.25">
      <c r="A429" s="26" t="s">
        <v>798</v>
      </c>
      <c r="B429" s="26" t="s">
        <v>799</v>
      </c>
      <c r="C429" s="27"/>
      <c r="D429" s="47">
        <v>100</v>
      </c>
      <c r="E429" s="28">
        <v>72.8</v>
      </c>
      <c r="F429" s="24">
        <v>134</v>
      </c>
      <c r="G429" s="28">
        <v>560</v>
      </c>
      <c r="H429" s="24">
        <v>20.100000000000001</v>
      </c>
      <c r="I429" s="24">
        <v>5.8</v>
      </c>
      <c r="J429" s="24">
        <v>0.2</v>
      </c>
      <c r="K429" s="28">
        <v>0</v>
      </c>
      <c r="L429" s="28">
        <v>0.02</v>
      </c>
      <c r="M429" s="24">
        <v>0</v>
      </c>
      <c r="N429" s="28">
        <v>1.1000000000000001</v>
      </c>
      <c r="O429" s="25">
        <v>22</v>
      </c>
      <c r="P429" s="25">
        <v>1.6</v>
      </c>
      <c r="Q429" s="28">
        <v>41</v>
      </c>
      <c r="R429" s="25">
        <v>220</v>
      </c>
      <c r="S429" s="28">
        <v>1.4</v>
      </c>
      <c r="T429" s="28">
        <v>25</v>
      </c>
      <c r="U429" s="28">
        <v>343</v>
      </c>
      <c r="V429" s="28">
        <v>0.1</v>
      </c>
      <c r="W429" s="28">
        <v>0.14000000000000001</v>
      </c>
      <c r="X429" s="28">
        <v>7.3</v>
      </c>
      <c r="Y429" s="28">
        <v>8</v>
      </c>
      <c r="Z429" s="28">
        <v>7.16</v>
      </c>
      <c r="AA429" s="25">
        <v>0</v>
      </c>
      <c r="AB429" s="25">
        <v>0</v>
      </c>
      <c r="AC429" s="25">
        <v>0</v>
      </c>
      <c r="AD429" s="28">
        <v>2.6</v>
      </c>
      <c r="AE429" s="28">
        <v>1.7</v>
      </c>
      <c r="AF429" s="28">
        <v>1.8</v>
      </c>
      <c r="AG429" s="28">
        <v>5</v>
      </c>
      <c r="AH429" s="24">
        <v>56</v>
      </c>
      <c r="AI429" s="28">
        <v>57</v>
      </c>
      <c r="AJ429" s="13" t="str">
        <f xml:space="preserve"> IF(AD429&gt;F429,"Exceso en grasa saturada",IFERROR(IF(F429=0,"No tiene sello",IF((AD429*9)*100/F429&gt;10,"Exceso en grasa saturada","No tiene sello")),"No tiene sello"))</f>
        <v>Exceso en grasa saturada</v>
      </c>
      <c r="AK429" s="13">
        <f>IF(AJ429="No tiene sello",0,1)</f>
        <v>1</v>
      </c>
      <c r="AL429" s="13" t="str">
        <f>IF(Q429&gt;=300,"Exceso en sodio",IFERROR(IF(AND(F429=0,Q429&gt;0),"No tiene sello",IF(Q429/F429&gt;1,"Exceso en sodio","No tiene sello")),"No tiene sello"))</f>
        <v>No tiene sello</v>
      </c>
      <c r="AM429" s="13" t="str">
        <f>IFERROR(IF(F429=0,"No tiene sello",IF(+(AG429/1000)*9*100/F429&gt;1,"Exceso en grasa trans", "No tiene sello")),"No tiene sello")</f>
        <v>No tiene sello</v>
      </c>
    </row>
    <row r="430" spans="1:39" ht="13.5" customHeight="1" x14ac:dyDescent="0.25">
      <c r="A430" s="20" t="s">
        <v>796</v>
      </c>
      <c r="B430" s="20" t="s">
        <v>797</v>
      </c>
      <c r="C430" s="20" t="s">
        <v>635</v>
      </c>
      <c r="D430" s="46">
        <v>100</v>
      </c>
      <c r="E430" s="23">
        <v>74.599999999999994</v>
      </c>
      <c r="F430" s="24">
        <v>118</v>
      </c>
      <c r="G430" s="23">
        <v>497</v>
      </c>
      <c r="H430" s="24">
        <v>17.899999999999999</v>
      </c>
      <c r="I430" s="24">
        <v>4.3</v>
      </c>
      <c r="J430" s="24">
        <v>2</v>
      </c>
      <c r="K430" s="23">
        <v>0</v>
      </c>
      <c r="L430" s="23">
        <v>0.2</v>
      </c>
      <c r="M430" s="24">
        <v>0</v>
      </c>
      <c r="N430" s="23">
        <v>1.2</v>
      </c>
      <c r="O430" s="25">
        <v>40</v>
      </c>
      <c r="P430" s="25">
        <v>14</v>
      </c>
      <c r="Q430" s="23">
        <v>0</v>
      </c>
      <c r="R430" s="25">
        <v>240</v>
      </c>
      <c r="S430" s="23">
        <v>0</v>
      </c>
      <c r="T430" s="23">
        <v>0</v>
      </c>
      <c r="U430" s="23">
        <v>0</v>
      </c>
      <c r="V430" s="23">
        <v>0.24</v>
      </c>
      <c r="W430" s="23">
        <v>1.9</v>
      </c>
      <c r="X430" s="23">
        <v>12</v>
      </c>
      <c r="Y430" s="23">
        <v>0</v>
      </c>
      <c r="Z430" s="23">
        <v>0</v>
      </c>
      <c r="AA430" s="25">
        <v>20</v>
      </c>
      <c r="AB430" s="25">
        <v>8404</v>
      </c>
      <c r="AC430" s="25">
        <v>0.5</v>
      </c>
      <c r="AD430" s="23">
        <v>0</v>
      </c>
      <c r="AE430" s="23">
        <v>0</v>
      </c>
      <c r="AF430" s="23">
        <v>0</v>
      </c>
      <c r="AG430" s="23">
        <v>8</v>
      </c>
      <c r="AH430" s="24">
        <v>0</v>
      </c>
      <c r="AI430" s="23">
        <v>100</v>
      </c>
      <c r="AJ430" s="13" t="str">
        <f xml:space="preserve"> IF(AD430&gt;F430,"Exceso en grasa saturada",IFERROR(IF(F430=0,"No tiene sello",IF((AD430*9)*100/F430&gt;10,"Exceso en grasa saturada","No tiene sello")),"No tiene sello"))</f>
        <v>No tiene sello</v>
      </c>
      <c r="AK430" s="13">
        <f>IF(AJ430="No tiene sello",0,1)</f>
        <v>0</v>
      </c>
      <c r="AL430" s="13" t="str">
        <f>IF(Q430&gt;=300,"Exceso en sodio",IFERROR(IF(AND(F430=0,Q430&gt;0),"No tiene sello",IF(Q430/F430&gt;1,"Exceso en sodio","No tiene sello")),"No tiene sello"))</f>
        <v>No tiene sello</v>
      </c>
      <c r="AM430" s="13" t="str">
        <f>IFERROR(IF(F430=0,"No tiene sello",IF(+(AG430/1000)*9*100/F430&gt;1,"Exceso en grasa trans", "No tiene sello")),"No tiene sello")</f>
        <v>No tiene sello</v>
      </c>
    </row>
    <row r="431" spans="1:39" ht="13.5" customHeight="1" x14ac:dyDescent="0.25">
      <c r="A431" s="26" t="s">
        <v>794</v>
      </c>
      <c r="B431" s="26" t="s">
        <v>795</v>
      </c>
      <c r="C431" s="26" t="s">
        <v>608</v>
      </c>
      <c r="D431" s="47">
        <v>100</v>
      </c>
      <c r="E431" s="28">
        <v>75.8</v>
      </c>
      <c r="F431" s="24">
        <v>120</v>
      </c>
      <c r="G431" s="28">
        <v>501</v>
      </c>
      <c r="H431" s="24">
        <v>16.899999999999999</v>
      </c>
      <c r="I431" s="24">
        <v>5.5</v>
      </c>
      <c r="J431" s="24">
        <v>0.6</v>
      </c>
      <c r="K431" s="28">
        <v>0</v>
      </c>
      <c r="L431" s="28">
        <v>0.06</v>
      </c>
      <c r="M431" s="24">
        <v>0</v>
      </c>
      <c r="N431" s="28">
        <v>1.2</v>
      </c>
      <c r="O431" s="25">
        <v>37</v>
      </c>
      <c r="P431" s="25">
        <v>9.8000000000000007</v>
      </c>
      <c r="Q431" s="28">
        <v>0</v>
      </c>
      <c r="R431" s="25">
        <v>240</v>
      </c>
      <c r="S431" s="28">
        <v>0</v>
      </c>
      <c r="T431" s="28">
        <v>0</v>
      </c>
      <c r="U431" s="28">
        <v>0</v>
      </c>
      <c r="V431" s="28">
        <v>0.28999999999999998</v>
      </c>
      <c r="W431" s="28">
        <v>2.1</v>
      </c>
      <c r="X431" s="28">
        <v>9.3000000000000007</v>
      </c>
      <c r="Y431" s="28">
        <v>0</v>
      </c>
      <c r="Z431" s="28">
        <v>0</v>
      </c>
      <c r="AA431" s="25">
        <v>10</v>
      </c>
      <c r="AB431" s="25">
        <v>140</v>
      </c>
      <c r="AC431" s="25">
        <v>0</v>
      </c>
      <c r="AD431" s="28">
        <v>0</v>
      </c>
      <c r="AE431" s="28">
        <v>0</v>
      </c>
      <c r="AF431" s="28">
        <v>0</v>
      </c>
      <c r="AG431" s="28">
        <v>8</v>
      </c>
      <c r="AH431" s="24">
        <v>0</v>
      </c>
      <c r="AI431" s="28">
        <v>100</v>
      </c>
      <c r="AJ431" s="13" t="str">
        <f xml:space="preserve"> IF(AD431&gt;F431,"Exceso en grasa saturada",IFERROR(IF(F431=0,"No tiene sello",IF((AD431*9)*100/F431&gt;10,"Exceso en grasa saturada","No tiene sello")),"No tiene sello"))</f>
        <v>No tiene sello</v>
      </c>
      <c r="AK431" s="13">
        <f>IF(AJ431="No tiene sello",0,1)</f>
        <v>0</v>
      </c>
      <c r="AL431" s="13" t="str">
        <f>IF(Q431&gt;=300,"Exceso en sodio",IFERROR(IF(AND(F431=0,Q431&gt;0),"No tiene sello",IF(Q431/F431&gt;1,"Exceso en sodio","No tiene sello")),"No tiene sello"))</f>
        <v>No tiene sello</v>
      </c>
      <c r="AM431" s="13" t="str">
        <f>IFERROR(IF(F431=0,"No tiene sello",IF(+(AG431/1000)*9*100/F431&gt;1,"Exceso en grasa trans", "No tiene sello")),"No tiene sello")</f>
        <v>No tiene sello</v>
      </c>
    </row>
    <row r="432" spans="1:39" ht="13.5" customHeight="1" x14ac:dyDescent="0.25">
      <c r="A432" s="20" t="s">
        <v>792</v>
      </c>
      <c r="B432" s="20" t="s">
        <v>793</v>
      </c>
      <c r="C432" s="21"/>
      <c r="D432" s="46">
        <v>100</v>
      </c>
      <c r="E432" s="23">
        <v>61.6</v>
      </c>
      <c r="F432" s="24">
        <v>252</v>
      </c>
      <c r="G432" s="23">
        <v>1044</v>
      </c>
      <c r="H432" s="24">
        <v>16.8</v>
      </c>
      <c r="I432" s="24">
        <v>20.5</v>
      </c>
      <c r="J432" s="24">
        <v>0.1</v>
      </c>
      <c r="K432" s="23">
        <v>0</v>
      </c>
      <c r="L432" s="23">
        <v>0.01</v>
      </c>
      <c r="M432" s="24">
        <v>0</v>
      </c>
      <c r="N432" s="23">
        <v>1</v>
      </c>
      <c r="O432" s="25">
        <v>13</v>
      </c>
      <c r="P432" s="25">
        <v>2.1</v>
      </c>
      <c r="Q432" s="23">
        <v>58</v>
      </c>
      <c r="R432" s="25">
        <v>170</v>
      </c>
      <c r="S432" s="23">
        <v>3.4</v>
      </c>
      <c r="T432" s="23">
        <v>21</v>
      </c>
      <c r="U432" s="23">
        <v>286</v>
      </c>
      <c r="V432" s="23">
        <v>0.12</v>
      </c>
      <c r="W432" s="23">
        <v>0.22</v>
      </c>
      <c r="X432" s="23">
        <v>6.1</v>
      </c>
      <c r="Y432" s="23">
        <v>3</v>
      </c>
      <c r="Z432" s="23">
        <v>2.0099999999999998</v>
      </c>
      <c r="AA432" s="25">
        <v>0</v>
      </c>
      <c r="AB432" s="25">
        <v>0</v>
      </c>
      <c r="AC432" s="25">
        <v>0</v>
      </c>
      <c r="AD432" s="23">
        <v>9.6999999999999993</v>
      </c>
      <c r="AE432" s="23">
        <v>8.1999999999999993</v>
      </c>
      <c r="AF432" s="23">
        <v>1.3</v>
      </c>
      <c r="AG432" s="23">
        <v>20</v>
      </c>
      <c r="AH432" s="24">
        <v>72</v>
      </c>
      <c r="AI432" s="23">
        <v>100</v>
      </c>
      <c r="AJ432" s="13" t="str">
        <f xml:space="preserve"> IF(AD432&gt;F432,"Exceso en grasa saturada",IFERROR(IF(F432=0,"No tiene sello",IF((AD432*9)*100/F432&gt;10,"Exceso en grasa saturada","No tiene sello")),"No tiene sello"))</f>
        <v>Exceso en grasa saturada</v>
      </c>
      <c r="AK432" s="13">
        <f>IF(AJ432="No tiene sello",0,1)</f>
        <v>1</v>
      </c>
      <c r="AL432" s="13" t="str">
        <f>IF(Q432&gt;=300,"Exceso en sodio",IFERROR(IF(AND(F432=0,Q432&gt;0),"No tiene sello",IF(Q432/F432&gt;1,"Exceso en sodio","No tiene sello")),"No tiene sello"))</f>
        <v>No tiene sello</v>
      </c>
      <c r="AM432" s="13" t="str">
        <f>IFERROR(IF(F432=0,"No tiene sello",IF(+(AG432/1000)*9*100/F432&gt;1,"Exceso en grasa trans", "No tiene sello")),"No tiene sello")</f>
        <v>No tiene sello</v>
      </c>
    </row>
    <row r="433" spans="1:39" ht="13.5" customHeight="1" x14ac:dyDescent="0.25">
      <c r="A433" s="26" t="s">
        <v>790</v>
      </c>
      <c r="B433" s="26" t="s">
        <v>791</v>
      </c>
      <c r="C433" s="27"/>
      <c r="D433" s="47">
        <v>100</v>
      </c>
      <c r="E433" s="28">
        <v>70.599999999999994</v>
      </c>
      <c r="F433" s="24">
        <v>143</v>
      </c>
      <c r="G433" s="28">
        <v>600</v>
      </c>
      <c r="H433" s="24">
        <v>21.3</v>
      </c>
      <c r="I433" s="24">
        <v>5.9</v>
      </c>
      <c r="J433" s="24">
        <v>1.1000000000000001</v>
      </c>
      <c r="K433" s="28">
        <v>0</v>
      </c>
      <c r="L433" s="28">
        <v>0.11</v>
      </c>
      <c r="M433" s="24">
        <v>0</v>
      </c>
      <c r="N433" s="28">
        <v>1.1000000000000001</v>
      </c>
      <c r="O433" s="25">
        <v>7</v>
      </c>
      <c r="P433" s="25">
        <v>2.2000000000000002</v>
      </c>
      <c r="Q433" s="28">
        <v>67</v>
      </c>
      <c r="R433" s="25">
        <v>180</v>
      </c>
      <c r="S433" s="28">
        <v>3.6</v>
      </c>
      <c r="T433" s="28">
        <v>24</v>
      </c>
      <c r="U433" s="28">
        <v>308</v>
      </c>
      <c r="V433" s="28">
        <v>0.13</v>
      </c>
      <c r="W433" s="28">
        <v>0.21</v>
      </c>
      <c r="X433" s="28">
        <v>3</v>
      </c>
      <c r="Y433" s="28">
        <v>15</v>
      </c>
      <c r="Z433" s="28">
        <v>2.42</v>
      </c>
      <c r="AA433" s="25">
        <v>0</v>
      </c>
      <c r="AB433" s="25">
        <v>0</v>
      </c>
      <c r="AC433" s="25">
        <v>0</v>
      </c>
      <c r="AD433" s="28">
        <v>2.1</v>
      </c>
      <c r="AE433" s="28">
        <v>2.4</v>
      </c>
      <c r="AF433" s="28">
        <v>0.5</v>
      </c>
      <c r="AG433" s="28">
        <v>10</v>
      </c>
      <c r="AH433" s="24">
        <v>66</v>
      </c>
      <c r="AI433" s="28">
        <v>100</v>
      </c>
      <c r="AJ433" s="13" t="str">
        <f xml:space="preserve"> IF(AD433&gt;F433,"Exceso en grasa saturada",IFERROR(IF(F433=0,"No tiene sello",IF((AD433*9)*100/F433&gt;10,"Exceso en grasa saturada","No tiene sello")),"No tiene sello"))</f>
        <v>Exceso en grasa saturada</v>
      </c>
      <c r="AK433" s="13">
        <f>IF(AJ433="No tiene sello",0,1)</f>
        <v>1</v>
      </c>
      <c r="AL433" s="13" t="str">
        <f>IF(Q433&gt;=300,"Exceso en sodio",IFERROR(IF(AND(F433=0,Q433&gt;0),"No tiene sello",IF(Q433/F433&gt;1,"Exceso en sodio","No tiene sello")),"No tiene sello"))</f>
        <v>No tiene sello</v>
      </c>
      <c r="AM433" s="13" t="str">
        <f>IFERROR(IF(F433=0,"No tiene sello",IF(+(AG433/1000)*9*100/F433&gt;1,"Exceso en grasa trans", "No tiene sello")),"No tiene sello")</f>
        <v>No tiene sello</v>
      </c>
    </row>
    <row r="434" spans="1:39" ht="13.5" customHeight="1" x14ac:dyDescent="0.25">
      <c r="A434" s="20" t="s">
        <v>788</v>
      </c>
      <c r="B434" s="20" t="s">
        <v>789</v>
      </c>
      <c r="C434" s="21"/>
      <c r="D434" s="46">
        <v>100</v>
      </c>
      <c r="E434" s="23">
        <v>50.8</v>
      </c>
      <c r="F434" s="24">
        <v>357</v>
      </c>
      <c r="G434" s="23">
        <v>1475</v>
      </c>
      <c r="H434" s="24">
        <v>15.6</v>
      </c>
      <c r="I434" s="24">
        <v>32.700000000000003</v>
      </c>
      <c r="J434" s="24">
        <v>0</v>
      </c>
      <c r="K434" s="23">
        <v>0</v>
      </c>
      <c r="L434" s="23">
        <v>0</v>
      </c>
      <c r="M434" s="24">
        <v>0</v>
      </c>
      <c r="N434" s="23">
        <v>0.9</v>
      </c>
      <c r="O434" s="25">
        <v>5</v>
      </c>
      <c r="P434" s="25">
        <v>1.3</v>
      </c>
      <c r="Q434" s="23">
        <v>54</v>
      </c>
      <c r="R434" s="25">
        <v>160</v>
      </c>
      <c r="S434" s="23">
        <v>2.4</v>
      </c>
      <c r="T434" s="23">
        <v>18</v>
      </c>
      <c r="U434" s="23">
        <v>198</v>
      </c>
      <c r="V434" s="23">
        <v>0.12</v>
      </c>
      <c r="W434" s="23">
        <v>0.19</v>
      </c>
      <c r="X434" s="23">
        <v>6.3</v>
      </c>
      <c r="Y434" s="23">
        <v>2</v>
      </c>
      <c r="Z434" s="23">
        <v>2.2200000000000002</v>
      </c>
      <c r="AA434" s="25">
        <v>0</v>
      </c>
      <c r="AB434" s="25">
        <v>0</v>
      </c>
      <c r="AC434" s="25">
        <v>0</v>
      </c>
      <c r="AD434" s="23">
        <v>14</v>
      </c>
      <c r="AE434" s="23">
        <v>11.2</v>
      </c>
      <c r="AF434" s="23">
        <v>1.6</v>
      </c>
      <c r="AG434" s="23">
        <v>30</v>
      </c>
      <c r="AH434" s="24">
        <v>79</v>
      </c>
      <c r="AI434" s="23">
        <v>100</v>
      </c>
      <c r="AJ434" s="13" t="str">
        <f xml:space="preserve"> IF(AD434&gt;F434,"Exceso en grasa saturada",IFERROR(IF(F434=0,"No tiene sello",IF((AD434*9)*100/F434&gt;10,"Exceso en grasa saturada","No tiene sello")),"No tiene sello"))</f>
        <v>Exceso en grasa saturada</v>
      </c>
      <c r="AK434" s="13">
        <f>IF(AJ434="No tiene sello",0,1)</f>
        <v>1</v>
      </c>
      <c r="AL434" s="13" t="str">
        <f>IF(Q434&gt;=300,"Exceso en sodio",IFERROR(IF(AND(F434=0,Q434&gt;0),"No tiene sello",IF(Q434/F434&gt;1,"Exceso en sodio","No tiene sello")),"No tiene sello"))</f>
        <v>No tiene sello</v>
      </c>
      <c r="AM434" s="13" t="str">
        <f>IFERROR(IF(F434=0,"No tiene sello",IF(+(AG434/1000)*9*100/F434&gt;1,"Exceso en grasa trans", "No tiene sello")),"No tiene sello")</f>
        <v>No tiene sello</v>
      </c>
    </row>
    <row r="435" spans="1:39" s="4" customFormat="1" ht="13.5" customHeight="1" x14ac:dyDescent="0.25">
      <c r="A435" s="26" t="s">
        <v>786</v>
      </c>
      <c r="B435" s="26" t="s">
        <v>787</v>
      </c>
      <c r="C435" s="27"/>
      <c r="D435" s="47">
        <v>100</v>
      </c>
      <c r="E435" s="28">
        <v>61.4</v>
      </c>
      <c r="F435" s="24">
        <v>247</v>
      </c>
      <c r="G435" s="28">
        <v>1027</v>
      </c>
      <c r="H435" s="24">
        <v>18.2</v>
      </c>
      <c r="I435" s="24">
        <v>19.399999999999999</v>
      </c>
      <c r="J435" s="24">
        <v>0</v>
      </c>
      <c r="K435" s="28">
        <v>0</v>
      </c>
      <c r="L435" s="28">
        <v>0</v>
      </c>
      <c r="M435" s="24">
        <v>0</v>
      </c>
      <c r="N435" s="28">
        <v>1</v>
      </c>
      <c r="O435" s="25">
        <v>7</v>
      </c>
      <c r="P435" s="25">
        <v>2.5</v>
      </c>
      <c r="Q435" s="28">
        <v>59</v>
      </c>
      <c r="R435" s="25">
        <v>190</v>
      </c>
      <c r="S435" s="28">
        <v>3.5</v>
      </c>
      <c r="T435" s="28">
        <v>20</v>
      </c>
      <c r="U435" s="28">
        <v>239</v>
      </c>
      <c r="V435" s="28">
        <v>0.14000000000000001</v>
      </c>
      <c r="W435" s="28">
        <v>0.15</v>
      </c>
      <c r="X435" s="28">
        <v>5.5</v>
      </c>
      <c r="Y435" s="28">
        <v>19</v>
      </c>
      <c r="Z435" s="28">
        <v>2.44</v>
      </c>
      <c r="AA435" s="25">
        <v>0</v>
      </c>
      <c r="AB435" s="25">
        <v>0</v>
      </c>
      <c r="AC435" s="25">
        <v>0</v>
      </c>
      <c r="AD435" s="28">
        <v>8.1</v>
      </c>
      <c r="AE435" s="28">
        <v>7.6</v>
      </c>
      <c r="AF435" s="28">
        <v>1.5</v>
      </c>
      <c r="AG435" s="28">
        <v>15</v>
      </c>
      <c r="AH435" s="24">
        <v>70</v>
      </c>
      <c r="AI435" s="28">
        <v>100</v>
      </c>
      <c r="AJ435" s="13" t="str">
        <f xml:space="preserve"> IF(AD435&gt;F435,"Exceso en grasa saturada",IFERROR(IF(F435=0,"No tiene sello",IF((AD435*9)*100/F435&gt;10,"Exceso en grasa saturada","No tiene sello")),"No tiene sello"))</f>
        <v>Exceso en grasa saturada</v>
      </c>
      <c r="AK435" s="13">
        <f>IF(AJ435="No tiene sello",0,1)</f>
        <v>1</v>
      </c>
      <c r="AL435" s="13" t="str">
        <f>IF(Q435&gt;=300,"Exceso en sodio",IFERROR(IF(AND(F435=0,Q435&gt;0),"No tiene sello",IF(Q435/F435&gt;1,"Exceso en sodio","No tiene sello")),"No tiene sello"))</f>
        <v>No tiene sello</v>
      </c>
      <c r="AM435" s="13" t="str">
        <f>IFERROR(IF(F435=0,"No tiene sello",IF(+(AG435/1000)*9*100/F435&gt;1,"Exceso en grasa trans", "No tiene sello")),"No tiene sello")</f>
        <v>No tiene sello</v>
      </c>
    </row>
    <row r="436" spans="1:39" s="5" customFormat="1" ht="13.5" customHeight="1" x14ac:dyDescent="0.25">
      <c r="A436" s="20" t="s">
        <v>784</v>
      </c>
      <c r="B436" s="20" t="s">
        <v>785</v>
      </c>
      <c r="C436" s="20" t="s">
        <v>645</v>
      </c>
      <c r="D436" s="46">
        <v>100</v>
      </c>
      <c r="E436" s="23">
        <v>75</v>
      </c>
      <c r="F436" s="24">
        <v>135</v>
      </c>
      <c r="G436" s="23">
        <v>563</v>
      </c>
      <c r="H436" s="24">
        <v>16</v>
      </c>
      <c r="I436" s="24">
        <v>7.8</v>
      </c>
      <c r="J436" s="24">
        <v>0.2</v>
      </c>
      <c r="K436" s="23">
        <v>0</v>
      </c>
      <c r="L436" s="23">
        <v>0.02</v>
      </c>
      <c r="M436" s="24">
        <v>0</v>
      </c>
      <c r="N436" s="23">
        <v>1</v>
      </c>
      <c r="O436" s="25">
        <v>6</v>
      </c>
      <c r="P436" s="25">
        <v>4.3</v>
      </c>
      <c r="Q436" s="23">
        <v>89</v>
      </c>
      <c r="R436" s="25">
        <v>200</v>
      </c>
      <c r="S436" s="23">
        <v>1.9</v>
      </c>
      <c r="T436" s="23">
        <v>15</v>
      </c>
      <c r="U436" s="23">
        <v>316</v>
      </c>
      <c r="V436" s="23">
        <v>0.28000000000000003</v>
      </c>
      <c r="W436" s="23">
        <v>1</v>
      </c>
      <c r="X436" s="23">
        <v>6.3</v>
      </c>
      <c r="Y436" s="23">
        <v>2</v>
      </c>
      <c r="Z436" s="23">
        <v>10.25</v>
      </c>
      <c r="AA436" s="25">
        <v>5</v>
      </c>
      <c r="AB436" s="25">
        <v>0</v>
      </c>
      <c r="AC436" s="25">
        <v>0</v>
      </c>
      <c r="AD436" s="23">
        <v>2.2000000000000002</v>
      </c>
      <c r="AE436" s="23">
        <v>1.6</v>
      </c>
      <c r="AF436" s="23">
        <v>0.5</v>
      </c>
      <c r="AG436" s="23">
        <v>10</v>
      </c>
      <c r="AH436" s="24">
        <v>135</v>
      </c>
      <c r="AI436" s="23">
        <v>100</v>
      </c>
      <c r="AJ436" s="13" t="str">
        <f xml:space="preserve"> IF(AD436&gt;F436,"Exceso en grasa saturada",IFERROR(IF(F436=0,"No tiene sello",IF((AD436*9)*100/F436&gt;10,"Exceso en grasa saturada","No tiene sello")),"No tiene sello"))</f>
        <v>Exceso en grasa saturada</v>
      </c>
      <c r="AK436" s="13">
        <f>IF(AJ436="No tiene sello",0,1)</f>
        <v>1</v>
      </c>
      <c r="AL436" s="13" t="str">
        <f>IF(Q436&gt;=300,"Exceso en sodio",IFERROR(IF(AND(F436=0,Q436&gt;0),"No tiene sello",IF(Q436/F436&gt;1,"Exceso en sodio","No tiene sello")),"No tiene sello"))</f>
        <v>No tiene sello</v>
      </c>
      <c r="AM436" s="13" t="str">
        <f>IFERROR(IF(F436=0,"No tiene sello",IF(+(AG436/1000)*9*100/F436&gt;1,"Exceso en grasa trans", "No tiene sello")),"No tiene sello")</f>
        <v>No tiene sello</v>
      </c>
    </row>
    <row r="437" spans="1:39" ht="13.5" customHeight="1" x14ac:dyDescent="0.25">
      <c r="A437" s="26" t="s">
        <v>782</v>
      </c>
      <c r="B437" s="26" t="s">
        <v>783</v>
      </c>
      <c r="C437" s="26" t="s">
        <v>635</v>
      </c>
      <c r="D437" s="47">
        <v>100</v>
      </c>
      <c r="E437" s="28">
        <v>72.2</v>
      </c>
      <c r="F437" s="24">
        <v>130</v>
      </c>
      <c r="G437" s="28">
        <v>544</v>
      </c>
      <c r="H437" s="24">
        <v>20.3</v>
      </c>
      <c r="I437" s="24">
        <v>4.9000000000000004</v>
      </c>
      <c r="J437" s="24">
        <v>1.1000000000000001</v>
      </c>
      <c r="K437" s="28">
        <v>0</v>
      </c>
      <c r="L437" s="28">
        <v>0.11</v>
      </c>
      <c r="M437" s="24">
        <v>0</v>
      </c>
      <c r="N437" s="28">
        <v>1.5</v>
      </c>
      <c r="O437" s="25">
        <v>12</v>
      </c>
      <c r="P437" s="25">
        <v>7.4</v>
      </c>
      <c r="Q437" s="28">
        <v>70</v>
      </c>
      <c r="R437" s="25">
        <v>350</v>
      </c>
      <c r="S437" s="28">
        <v>4.5999999999999996</v>
      </c>
      <c r="T437" s="28">
        <v>19</v>
      </c>
      <c r="U437" s="28">
        <v>313</v>
      </c>
      <c r="V437" s="28">
        <v>0.23</v>
      </c>
      <c r="W437" s="28">
        <v>3.63</v>
      </c>
      <c r="X437" s="28">
        <v>15.2</v>
      </c>
      <c r="Y437" s="28">
        <v>230</v>
      </c>
      <c r="Z437" s="28">
        <v>90.05</v>
      </c>
      <c r="AA437" s="25">
        <v>20</v>
      </c>
      <c r="AB437" s="25">
        <v>7391</v>
      </c>
      <c r="AC437" s="25">
        <v>0.5</v>
      </c>
      <c r="AD437" s="28">
        <v>1.9</v>
      </c>
      <c r="AE437" s="28">
        <v>1.1000000000000001</v>
      </c>
      <c r="AF437" s="28">
        <v>0.8</v>
      </c>
      <c r="AG437" s="28">
        <v>10</v>
      </c>
      <c r="AH437" s="24">
        <v>371</v>
      </c>
      <c r="AI437" s="28">
        <v>100</v>
      </c>
      <c r="AJ437" s="13" t="str">
        <f xml:space="preserve"> IF(AD437&gt;F437,"Exceso en grasa saturada",IFERROR(IF(F437=0,"No tiene sello",IF((AD437*9)*100/F437&gt;10,"Exceso en grasa saturada","No tiene sello")),"No tiene sello"))</f>
        <v>Exceso en grasa saturada</v>
      </c>
      <c r="AK437" s="13">
        <f>IF(AJ437="No tiene sello",0,1)</f>
        <v>1</v>
      </c>
      <c r="AL437" s="13" t="str">
        <f>IF(Q437&gt;=300,"Exceso en sodio",IFERROR(IF(AND(F437=0,Q437&gt;0),"No tiene sello",IF(Q437/F437&gt;1,"Exceso en sodio","No tiene sello")),"No tiene sello"))</f>
        <v>No tiene sello</v>
      </c>
      <c r="AM437" s="13" t="str">
        <f>IFERROR(IF(F437=0,"No tiene sello",IF(+(AG437/1000)*9*100/F437&gt;1,"Exceso en grasa trans", "No tiene sello")),"No tiene sello")</f>
        <v>No tiene sello</v>
      </c>
    </row>
    <row r="438" spans="1:39" s="5" customFormat="1" ht="13.5" customHeight="1" x14ac:dyDescent="0.25">
      <c r="A438" s="20" t="s">
        <v>780</v>
      </c>
      <c r="B438" s="20" t="s">
        <v>781</v>
      </c>
      <c r="C438" s="20" t="s">
        <v>608</v>
      </c>
      <c r="D438" s="46">
        <v>100</v>
      </c>
      <c r="E438" s="23">
        <v>76.7</v>
      </c>
      <c r="F438" s="24">
        <v>104</v>
      </c>
      <c r="G438" s="23">
        <v>438</v>
      </c>
      <c r="H438" s="24">
        <v>18</v>
      </c>
      <c r="I438" s="24">
        <v>3.2</v>
      </c>
      <c r="J438" s="24">
        <v>0.8</v>
      </c>
      <c r="K438" s="23">
        <v>0</v>
      </c>
      <c r="L438" s="23">
        <v>0.08</v>
      </c>
      <c r="M438" s="24">
        <v>0</v>
      </c>
      <c r="N438" s="23">
        <v>1.3</v>
      </c>
      <c r="O438" s="25">
        <v>13</v>
      </c>
      <c r="P438" s="25">
        <v>4.0999999999999996</v>
      </c>
      <c r="Q438" s="23">
        <v>156</v>
      </c>
      <c r="R438" s="25">
        <v>270</v>
      </c>
      <c r="S438" s="23">
        <v>2.2000000000000002</v>
      </c>
      <c r="T438" s="23">
        <v>17</v>
      </c>
      <c r="U438" s="23">
        <v>277</v>
      </c>
      <c r="V438" s="23">
        <v>0.51</v>
      </c>
      <c r="W438" s="23">
        <v>3</v>
      </c>
      <c r="X438" s="23">
        <v>6.1</v>
      </c>
      <c r="Y438" s="23">
        <v>28</v>
      </c>
      <c r="Z438" s="23">
        <v>52.41</v>
      </c>
      <c r="AA438" s="25">
        <v>10</v>
      </c>
      <c r="AB438" s="25">
        <v>95</v>
      </c>
      <c r="AC438" s="25">
        <v>0</v>
      </c>
      <c r="AD438" s="23">
        <v>1</v>
      </c>
      <c r="AE438" s="23">
        <v>0.6</v>
      </c>
      <c r="AF438" s="23">
        <v>0.5</v>
      </c>
      <c r="AG438" s="23">
        <v>10</v>
      </c>
      <c r="AH438" s="24">
        <v>337</v>
      </c>
      <c r="AI438" s="23">
        <v>100</v>
      </c>
      <c r="AJ438" s="13" t="str">
        <f xml:space="preserve"> IF(AD438&gt;F438,"Exceso en grasa saturada",IFERROR(IF(F438=0,"No tiene sello",IF((AD438*9)*100/F438&gt;10,"Exceso en grasa saturada","No tiene sello")),"No tiene sello"))</f>
        <v>No tiene sello</v>
      </c>
      <c r="AK438" s="13">
        <f>IF(AJ438="No tiene sello",0,1)</f>
        <v>0</v>
      </c>
      <c r="AL438" s="13" t="str">
        <f>IF(Q438&gt;=300,"Exceso en sodio",IFERROR(IF(AND(F438=0,Q438&gt;0),"No tiene sello",IF(Q438/F438&gt;1,"Exceso en sodio","No tiene sello")),"No tiene sello"))</f>
        <v>Exceso en sodio</v>
      </c>
      <c r="AM438" s="13" t="str">
        <f>IFERROR(IF(F438=0,"No tiene sello",IF(+(AG438/1000)*9*100/F438&gt;1,"Exceso en grasa trans", "No tiene sello")),"No tiene sello")</f>
        <v>No tiene sello</v>
      </c>
    </row>
    <row r="439" spans="1:39" ht="13.5" customHeight="1" x14ac:dyDescent="0.25">
      <c r="A439" s="26" t="s">
        <v>778</v>
      </c>
      <c r="B439" s="26" t="s">
        <v>779</v>
      </c>
      <c r="C439" s="27"/>
      <c r="D439" s="47">
        <v>100</v>
      </c>
      <c r="E439" s="28">
        <v>61.3</v>
      </c>
      <c r="F439" s="24">
        <v>256</v>
      </c>
      <c r="G439" s="28">
        <v>1061</v>
      </c>
      <c r="H439" s="24">
        <v>18.899999999999999</v>
      </c>
      <c r="I439" s="24">
        <v>10</v>
      </c>
      <c r="J439" s="24">
        <v>0</v>
      </c>
      <c r="K439" s="28">
        <v>0</v>
      </c>
      <c r="L439" s="28">
        <v>0</v>
      </c>
      <c r="M439" s="24">
        <v>0</v>
      </c>
      <c r="N439" s="28">
        <v>0.8</v>
      </c>
      <c r="O439" s="25">
        <v>12</v>
      </c>
      <c r="P439" s="25">
        <v>1.5</v>
      </c>
      <c r="Q439" s="28">
        <v>65</v>
      </c>
      <c r="R439" s="25">
        <v>200</v>
      </c>
      <c r="S439" s="28">
        <v>1.2</v>
      </c>
      <c r="T439" s="28">
        <v>20</v>
      </c>
      <c r="U439" s="28">
        <v>269</v>
      </c>
      <c r="V439" s="28">
        <v>0.08</v>
      </c>
      <c r="W439" s="28">
        <v>0.16</v>
      </c>
      <c r="X439" s="28">
        <v>5.8</v>
      </c>
      <c r="Y439" s="28">
        <v>5</v>
      </c>
      <c r="Z439" s="28">
        <v>0.32</v>
      </c>
      <c r="AA439" s="25">
        <v>0</v>
      </c>
      <c r="AB439" s="25">
        <v>23</v>
      </c>
      <c r="AC439" s="25">
        <v>0</v>
      </c>
      <c r="AD439" s="28">
        <v>4.7</v>
      </c>
      <c r="AE439" s="28">
        <v>9.3000000000000007</v>
      </c>
      <c r="AF439" s="28">
        <v>4.5</v>
      </c>
      <c r="AG439" s="28">
        <v>10</v>
      </c>
      <c r="AH439" s="24">
        <v>72</v>
      </c>
      <c r="AI439" s="28">
        <v>60</v>
      </c>
      <c r="AJ439" s="13" t="str">
        <f xml:space="preserve"> IF(AD439&gt;F439,"Exceso en grasa saturada",IFERROR(IF(F439=0,"No tiene sello",IF((AD439*9)*100/F439&gt;10,"Exceso en grasa saturada","No tiene sello")),"No tiene sello"))</f>
        <v>Exceso en grasa saturada</v>
      </c>
      <c r="AK439" s="13">
        <f>IF(AJ439="No tiene sello",0,1)</f>
        <v>1</v>
      </c>
      <c r="AL439" s="13" t="str">
        <f>IF(Q439&gt;=300,"Exceso en sodio",IFERROR(IF(AND(F439=0,Q439&gt;0),"No tiene sello",IF(Q439/F439&gt;1,"Exceso en sodio","No tiene sello")),"No tiene sello"))</f>
        <v>No tiene sello</v>
      </c>
      <c r="AM439" s="13" t="str">
        <f>IFERROR(IF(F439=0,"No tiene sello",IF(+(AG439/1000)*9*100/F439&gt;1,"Exceso en grasa trans", "No tiene sello")),"No tiene sello")</f>
        <v>No tiene sello</v>
      </c>
    </row>
    <row r="440" spans="1:39" ht="13.5" customHeight="1" x14ac:dyDescent="0.25">
      <c r="A440" s="20" t="s">
        <v>776</v>
      </c>
      <c r="B440" s="20" t="s">
        <v>777</v>
      </c>
      <c r="C440" s="21"/>
      <c r="D440" s="46">
        <v>100</v>
      </c>
      <c r="E440" s="23">
        <v>58.1</v>
      </c>
      <c r="F440" s="24">
        <v>276</v>
      </c>
      <c r="G440" s="23">
        <v>1142</v>
      </c>
      <c r="H440" s="24">
        <v>16.2</v>
      </c>
      <c r="I440" s="24">
        <v>23.3</v>
      </c>
      <c r="J440" s="24">
        <v>0.2</v>
      </c>
      <c r="K440" s="23">
        <v>0</v>
      </c>
      <c r="L440" s="23">
        <v>0.02</v>
      </c>
      <c r="M440" s="24">
        <v>0</v>
      </c>
      <c r="N440" s="23">
        <v>2.2000000000000002</v>
      </c>
      <c r="O440" s="25">
        <v>7</v>
      </c>
      <c r="P440" s="25">
        <v>1.8</v>
      </c>
      <c r="Q440" s="23">
        <v>702</v>
      </c>
      <c r="R440" s="25">
        <v>144</v>
      </c>
      <c r="S440" s="23">
        <v>3.7</v>
      </c>
      <c r="T440" s="23">
        <v>16</v>
      </c>
      <c r="U440" s="23">
        <v>278</v>
      </c>
      <c r="V440" s="23">
        <v>0.05</v>
      </c>
      <c r="W440" s="23">
        <v>0.16</v>
      </c>
      <c r="X440" s="23">
        <v>3.6</v>
      </c>
      <c r="Y440" s="23">
        <v>8</v>
      </c>
      <c r="Z440" s="23">
        <v>2.14</v>
      </c>
      <c r="AA440" s="25">
        <v>0</v>
      </c>
      <c r="AB440" s="25">
        <v>1</v>
      </c>
      <c r="AC440" s="25">
        <v>0</v>
      </c>
      <c r="AD440" s="23">
        <v>9</v>
      </c>
      <c r="AE440" s="23">
        <v>10</v>
      </c>
      <c r="AF440" s="23">
        <v>0.6</v>
      </c>
      <c r="AG440" s="23">
        <v>50</v>
      </c>
      <c r="AH440" s="24">
        <v>72</v>
      </c>
      <c r="AI440" s="23">
        <v>100</v>
      </c>
      <c r="AJ440" s="13" t="str">
        <f xml:space="preserve"> IF(AD440&gt;F440,"Exceso en grasa saturada",IFERROR(IF(F440=0,"No tiene sello",IF((AD440*9)*100/F440&gt;10,"Exceso en grasa saturada","No tiene sello")),"No tiene sello"))</f>
        <v>Exceso en grasa saturada</v>
      </c>
      <c r="AK440" s="13">
        <f>IF(AJ440="No tiene sello",0,1)</f>
        <v>1</v>
      </c>
      <c r="AL440" s="13" t="str">
        <f>IF(Q440&gt;=300,"Exceso en sodio",IFERROR(IF(AND(F440=0,Q440&gt;0),"No tiene sello",IF(Q440/F440&gt;1,"Exceso en sodio","No tiene sello")),"No tiene sello"))</f>
        <v>Exceso en sodio</v>
      </c>
      <c r="AM440" s="13" t="str">
        <f>IFERROR(IF(F440=0,"No tiene sello",IF(+(AG440/1000)*9*100/F440&gt;1,"Exceso en grasa trans", "No tiene sello")),"No tiene sello")</f>
        <v>No tiene sello</v>
      </c>
    </row>
    <row r="441" spans="1:39" ht="13.5" customHeight="1" x14ac:dyDescent="0.25">
      <c r="A441" s="26" t="s">
        <v>774</v>
      </c>
      <c r="B441" s="26" t="s">
        <v>775</v>
      </c>
      <c r="C441" s="27"/>
      <c r="D441" s="47">
        <v>100</v>
      </c>
      <c r="E441" s="28">
        <v>72.900000000000006</v>
      </c>
      <c r="F441" s="24">
        <v>106</v>
      </c>
      <c r="G441" s="28">
        <v>448</v>
      </c>
      <c r="H441" s="24">
        <v>24.4</v>
      </c>
      <c r="I441" s="24">
        <v>0.9</v>
      </c>
      <c r="J441" s="24">
        <v>0</v>
      </c>
      <c r="K441" s="28">
        <v>0</v>
      </c>
      <c r="L441" s="28">
        <v>0</v>
      </c>
      <c r="M441" s="24">
        <v>0</v>
      </c>
      <c r="N441" s="28">
        <v>1.8</v>
      </c>
      <c r="O441" s="25">
        <v>25</v>
      </c>
      <c r="P441" s="25">
        <v>3.4</v>
      </c>
      <c r="Q441" s="28">
        <v>0</v>
      </c>
      <c r="R441" s="25">
        <v>252</v>
      </c>
      <c r="S441" s="28">
        <v>0</v>
      </c>
      <c r="T441" s="28">
        <v>15</v>
      </c>
      <c r="U441" s="28">
        <v>300</v>
      </c>
      <c r="V441" s="28">
        <v>0.05</v>
      </c>
      <c r="W441" s="28">
        <v>0.24</v>
      </c>
      <c r="X441" s="28">
        <v>8.1999999999999993</v>
      </c>
      <c r="Y441" s="28">
        <v>0</v>
      </c>
      <c r="Z441" s="28">
        <v>0</v>
      </c>
      <c r="AA441" s="25">
        <v>0</v>
      </c>
      <c r="AB441" s="25">
        <v>210</v>
      </c>
      <c r="AC441" s="25">
        <v>0</v>
      </c>
      <c r="AD441" s="28">
        <v>0</v>
      </c>
      <c r="AE441" s="28">
        <v>0</v>
      </c>
      <c r="AF441" s="28">
        <v>0</v>
      </c>
      <c r="AG441" s="28">
        <v>0</v>
      </c>
      <c r="AH441" s="24">
        <v>0</v>
      </c>
      <c r="AI441" s="28">
        <v>30</v>
      </c>
      <c r="AJ441" s="13" t="str">
        <f xml:space="preserve"> IF(AD441&gt;F441,"Exceso en grasa saturada",IFERROR(IF(F441=0,"No tiene sello",IF((AD441*9)*100/F441&gt;10,"Exceso en grasa saturada","No tiene sello")),"No tiene sello"))</f>
        <v>No tiene sello</v>
      </c>
      <c r="AK441" s="13">
        <f>IF(AJ441="No tiene sello",0,1)</f>
        <v>0</v>
      </c>
      <c r="AL441" s="13" t="str">
        <f>IF(Q441&gt;=300,"Exceso en sodio",IFERROR(IF(AND(F441=0,Q441&gt;0),"No tiene sello",IF(Q441/F441&gt;1,"Exceso en sodio","No tiene sello")),"No tiene sello"))</f>
        <v>No tiene sello</v>
      </c>
      <c r="AM441" s="13" t="str">
        <f>IFERROR(IF(F441=0,"No tiene sello",IF(+(AG441/1000)*9*100/F441&gt;1,"Exceso en grasa trans", "No tiene sello")),"No tiene sello")</f>
        <v>No tiene sello</v>
      </c>
    </row>
    <row r="442" spans="1:39" ht="13.5" customHeight="1" x14ac:dyDescent="0.25">
      <c r="A442" s="29" t="s">
        <v>772</v>
      </c>
      <c r="B442" s="29" t="s">
        <v>773</v>
      </c>
      <c r="C442" s="30"/>
      <c r="D442" s="46">
        <v>100</v>
      </c>
      <c r="E442" s="31">
        <v>62.6</v>
      </c>
      <c r="F442" s="24">
        <v>215</v>
      </c>
      <c r="G442" s="31">
        <v>895</v>
      </c>
      <c r="H442" s="24">
        <v>11.4</v>
      </c>
      <c r="I442" s="24">
        <v>15.5</v>
      </c>
      <c r="J442" s="24">
        <v>7.4</v>
      </c>
      <c r="K442" s="31">
        <v>0</v>
      </c>
      <c r="L442" s="31">
        <v>0.74</v>
      </c>
      <c r="M442" s="24">
        <v>0</v>
      </c>
      <c r="N442" s="31">
        <v>3</v>
      </c>
      <c r="O442" s="25">
        <v>8</v>
      </c>
      <c r="P442" s="25">
        <v>0.6</v>
      </c>
      <c r="Q442" s="31">
        <v>1023</v>
      </c>
      <c r="R442" s="25">
        <v>120</v>
      </c>
      <c r="S442" s="31">
        <v>1.1000000000000001</v>
      </c>
      <c r="T442" s="31">
        <v>10</v>
      </c>
      <c r="U442" s="31">
        <v>150</v>
      </c>
      <c r="V442" s="31">
        <v>0.34</v>
      </c>
      <c r="W442" s="31">
        <v>0.12</v>
      </c>
      <c r="X442" s="31">
        <v>2.1</v>
      </c>
      <c r="Y442" s="31">
        <v>1</v>
      </c>
      <c r="Z442" s="31">
        <v>0.75</v>
      </c>
      <c r="AA442" s="25">
        <v>0</v>
      </c>
      <c r="AB442" s="25">
        <v>0</v>
      </c>
      <c r="AC442" s="25">
        <v>0</v>
      </c>
      <c r="AD442" s="31">
        <v>5</v>
      </c>
      <c r="AE442" s="31">
        <v>7.2</v>
      </c>
      <c r="AF442" s="31">
        <v>2.7</v>
      </c>
      <c r="AG442" s="31">
        <v>50</v>
      </c>
      <c r="AH442" s="24">
        <v>37</v>
      </c>
      <c r="AI442" s="31">
        <v>100</v>
      </c>
      <c r="AJ442" s="13" t="str">
        <f xml:space="preserve"> IF(AD442&gt;F442,"Exceso en grasa saturada",IFERROR(IF(F442=0,"No tiene sello",IF((AD442*9)*100/F442&gt;10,"Exceso en grasa saturada","No tiene sello")),"No tiene sello"))</f>
        <v>Exceso en grasa saturada</v>
      </c>
      <c r="AK442" s="13">
        <f>IF(AJ442="No tiene sello",0,1)</f>
        <v>1</v>
      </c>
      <c r="AL442" s="13" t="str">
        <f>IF(Q442&gt;=300,"Exceso en sodio",IFERROR(IF(AND(F442=0,Q442&gt;0),"No tiene sello",IF(Q442/F442&gt;1,"Exceso en sodio","No tiene sello")),"No tiene sello"))</f>
        <v>Exceso en sodio</v>
      </c>
      <c r="AM442" s="13" t="str">
        <f>IFERROR(IF(F442=0,"No tiene sello",IF(+(AG442/1000)*9*100/F442&gt;1,"Exceso en grasa trans", "No tiene sello")),"No tiene sello")</f>
        <v>No tiene sello</v>
      </c>
    </row>
    <row r="443" spans="1:39" ht="13.5" customHeight="1" x14ac:dyDescent="0.25">
      <c r="A443" s="26" t="s">
        <v>770</v>
      </c>
      <c r="B443" s="26" t="s">
        <v>771</v>
      </c>
      <c r="C443" s="27"/>
      <c r="D443" s="16">
        <v>100</v>
      </c>
      <c r="E443" s="28">
        <v>54.4</v>
      </c>
      <c r="F443" s="24">
        <v>162</v>
      </c>
      <c r="G443" s="28">
        <v>682</v>
      </c>
      <c r="H443" s="24">
        <v>23.7</v>
      </c>
      <c r="I443" s="24">
        <v>6.6</v>
      </c>
      <c r="J443" s="24">
        <v>2</v>
      </c>
      <c r="K443" s="28">
        <v>0</v>
      </c>
      <c r="L443" s="28">
        <v>0.2</v>
      </c>
      <c r="M443" s="24">
        <v>0</v>
      </c>
      <c r="N443" s="28">
        <v>3.3</v>
      </c>
      <c r="O443" s="25">
        <v>12</v>
      </c>
      <c r="P443" s="25">
        <v>2</v>
      </c>
      <c r="Q443" s="28">
        <v>1217</v>
      </c>
      <c r="R443" s="25">
        <v>238</v>
      </c>
      <c r="S443" s="28">
        <v>1.7</v>
      </c>
      <c r="T443" s="28">
        <v>24</v>
      </c>
      <c r="U443" s="28">
        <v>305</v>
      </c>
      <c r="V443" s="28">
        <v>0.66</v>
      </c>
      <c r="W443" s="28">
        <v>0.17</v>
      </c>
      <c r="X443" s="28">
        <v>5.8</v>
      </c>
      <c r="Y443" s="28">
        <v>4</v>
      </c>
      <c r="Z443" s="28">
        <v>1</v>
      </c>
      <c r="AA443" s="25">
        <v>0</v>
      </c>
      <c r="AB443" s="25">
        <v>0</v>
      </c>
      <c r="AC443" s="25">
        <v>0</v>
      </c>
      <c r="AD443" s="28">
        <v>1.5</v>
      </c>
      <c r="AE443" s="28">
        <v>2</v>
      </c>
      <c r="AF443" s="28">
        <v>0.8</v>
      </c>
      <c r="AG443" s="28">
        <v>50</v>
      </c>
      <c r="AH443" s="24">
        <v>58</v>
      </c>
      <c r="AI443" s="28">
        <v>100</v>
      </c>
      <c r="AJ443" s="13" t="str">
        <f xml:space="preserve"> IF(AD443&gt;F443,"Exceso en grasa saturada",IFERROR(IF(F443=0,"No tiene sello",IF((AD443*9)*100/F443&gt;10,"Exceso en grasa saturada","No tiene sello")),"No tiene sello"))</f>
        <v>No tiene sello</v>
      </c>
      <c r="AK443" s="13">
        <f>IF(AJ443="No tiene sello",0,1)</f>
        <v>0</v>
      </c>
      <c r="AL443" s="13" t="str">
        <f>IF(Q443&gt;=300,"Exceso en sodio",IFERROR(IF(AND(F443=0,Q443&gt;0),"No tiene sello",IF(Q443/F443&gt;1,"Exceso en sodio","No tiene sello")),"No tiene sello"))</f>
        <v>Exceso en sodio</v>
      </c>
      <c r="AM443" s="13" t="str">
        <f>IFERROR(IF(F443=0,"No tiene sello",IF(+(AG443/1000)*9*100/F443&gt;1,"Exceso en grasa trans", "No tiene sello")),"No tiene sello")</f>
        <v>No tiene sello</v>
      </c>
    </row>
    <row r="444" spans="1:39" ht="13.5" customHeight="1" x14ac:dyDescent="0.25">
      <c r="A444" s="20" t="s">
        <v>768</v>
      </c>
      <c r="B444" s="20" t="s">
        <v>769</v>
      </c>
      <c r="C444" s="21"/>
      <c r="D444" s="22">
        <v>100</v>
      </c>
      <c r="E444" s="23">
        <v>67.8</v>
      </c>
      <c r="F444" s="24">
        <v>143</v>
      </c>
      <c r="G444" s="23">
        <v>601</v>
      </c>
      <c r="H444" s="24">
        <v>14.6</v>
      </c>
      <c r="I444" s="24">
        <v>5.7</v>
      </c>
      <c r="J444" s="24">
        <v>8.3000000000000007</v>
      </c>
      <c r="K444" s="23">
        <v>0</v>
      </c>
      <c r="L444" s="23">
        <v>0.83</v>
      </c>
      <c r="M444" s="24">
        <v>0</v>
      </c>
      <c r="N444" s="23">
        <v>3.5</v>
      </c>
      <c r="O444" s="25">
        <v>22</v>
      </c>
      <c r="P444" s="25">
        <v>1.3</v>
      </c>
      <c r="Q444" s="23">
        <v>1066</v>
      </c>
      <c r="R444" s="25">
        <v>198</v>
      </c>
      <c r="S444" s="23">
        <v>1.4</v>
      </c>
      <c r="T444" s="23">
        <v>15</v>
      </c>
      <c r="U444" s="23">
        <v>251</v>
      </c>
      <c r="V444" s="23">
        <v>0.39</v>
      </c>
      <c r="W444" s="23">
        <v>0.14000000000000001</v>
      </c>
      <c r="X444" s="23">
        <v>4.5</v>
      </c>
      <c r="Y444" s="23">
        <v>0</v>
      </c>
      <c r="Z444" s="23">
        <v>0.24</v>
      </c>
      <c r="AA444" s="25">
        <v>0</v>
      </c>
      <c r="AB444" s="25">
        <v>0</v>
      </c>
      <c r="AC444" s="25">
        <v>0</v>
      </c>
      <c r="AD444" s="23">
        <v>1.5</v>
      </c>
      <c r="AE444" s="23">
        <v>1.8</v>
      </c>
      <c r="AF444" s="23">
        <v>0.7</v>
      </c>
      <c r="AG444" s="23">
        <v>50</v>
      </c>
      <c r="AH444" s="24">
        <v>38</v>
      </c>
      <c r="AI444" s="23">
        <v>100</v>
      </c>
      <c r="AJ444" s="13" t="str">
        <f xml:space="preserve"> IF(AD444&gt;F444,"Exceso en grasa saturada",IFERROR(IF(F444=0,"No tiene sello",IF((AD444*9)*100/F444&gt;10,"Exceso en grasa saturada","No tiene sello")),"No tiene sello"))</f>
        <v>No tiene sello</v>
      </c>
      <c r="AK444" s="13">
        <f>IF(AJ444="No tiene sello",0,1)</f>
        <v>0</v>
      </c>
      <c r="AL444" s="13" t="str">
        <f>IF(Q444&gt;=300,"Exceso en sodio",IFERROR(IF(AND(F444=0,Q444&gt;0),"No tiene sello",IF(Q444/F444&gt;1,"Exceso en sodio","No tiene sello")),"No tiene sello"))</f>
        <v>Exceso en sodio</v>
      </c>
      <c r="AM444" s="13" t="str">
        <f>IFERROR(IF(F444=0,"No tiene sello",IF(+(AG444/1000)*9*100/F444&gt;1,"Exceso en grasa trans", "No tiene sello")),"No tiene sello")</f>
        <v>No tiene sello</v>
      </c>
    </row>
    <row r="445" spans="1:39" ht="13.5" customHeight="1" x14ac:dyDescent="0.25">
      <c r="A445" s="26" t="s">
        <v>766</v>
      </c>
      <c r="B445" s="26" t="s">
        <v>767</v>
      </c>
      <c r="C445" s="27"/>
      <c r="D445" s="16">
        <v>100</v>
      </c>
      <c r="E445" s="28">
        <v>52.3</v>
      </c>
      <c r="F445" s="24">
        <v>298</v>
      </c>
      <c r="G445" s="28">
        <v>1239</v>
      </c>
      <c r="H445" s="24">
        <v>16.7</v>
      </c>
      <c r="I445" s="24">
        <v>23.8</v>
      </c>
      <c r="J445" s="24">
        <v>4.3</v>
      </c>
      <c r="K445" s="28">
        <v>0</v>
      </c>
      <c r="L445" s="28">
        <v>0.43</v>
      </c>
      <c r="M445" s="24">
        <v>0</v>
      </c>
      <c r="N445" s="28">
        <v>2.9</v>
      </c>
      <c r="O445" s="25">
        <v>59</v>
      </c>
      <c r="P445" s="25">
        <v>1.8</v>
      </c>
      <c r="Q445" s="28">
        <v>1228</v>
      </c>
      <c r="R445" s="25">
        <v>191</v>
      </c>
      <c r="S445" s="28">
        <v>1.9</v>
      </c>
      <c r="T445" s="28">
        <v>16</v>
      </c>
      <c r="U445" s="28">
        <v>207</v>
      </c>
      <c r="V445" s="28">
        <v>0.14000000000000001</v>
      </c>
      <c r="W445" s="28">
        <v>0.18</v>
      </c>
      <c r="X445" s="28">
        <v>4.0999999999999996</v>
      </c>
      <c r="Y445" s="28">
        <v>3</v>
      </c>
      <c r="Z445" s="28">
        <v>1.68</v>
      </c>
      <c r="AA445" s="25">
        <v>0</v>
      </c>
      <c r="AB445" s="25">
        <v>0</v>
      </c>
      <c r="AC445" s="25">
        <v>0</v>
      </c>
      <c r="AD445" s="28">
        <v>8.1999999999999993</v>
      </c>
      <c r="AE445" s="28">
        <v>10.1</v>
      </c>
      <c r="AF445" s="28">
        <v>3.9</v>
      </c>
      <c r="AG445" s="28">
        <v>80</v>
      </c>
      <c r="AH445" s="24">
        <v>70</v>
      </c>
      <c r="AI445" s="28">
        <v>100</v>
      </c>
      <c r="AJ445" s="13" t="str">
        <f xml:space="preserve"> IF(AD445&gt;F445,"Exceso en grasa saturada",IFERROR(IF(F445=0,"No tiene sello",IF((AD445*9)*100/F445&gt;10,"Exceso en grasa saturada","No tiene sello")),"No tiene sello"))</f>
        <v>Exceso en grasa saturada</v>
      </c>
      <c r="AK445" s="13">
        <f>IF(AJ445="No tiene sello",0,1)</f>
        <v>1</v>
      </c>
      <c r="AL445" s="13" t="str">
        <f>IF(Q445&gt;=300,"Exceso en sodio",IFERROR(IF(AND(F445=0,Q445&gt;0),"No tiene sello",IF(Q445/F445&gt;1,"Exceso en sodio","No tiene sello")),"No tiene sello"))</f>
        <v>Exceso en sodio</v>
      </c>
      <c r="AM445" s="13" t="str">
        <f>IFERROR(IF(F445=0,"No tiene sello",IF(+(AG445/1000)*9*100/F445&gt;1,"Exceso en grasa trans", "No tiene sello")),"No tiene sello")</f>
        <v>No tiene sello</v>
      </c>
    </row>
    <row r="446" spans="1:39" ht="13.5" customHeight="1" x14ac:dyDescent="0.25">
      <c r="A446" s="20" t="s">
        <v>764</v>
      </c>
      <c r="B446" s="20" t="s">
        <v>765</v>
      </c>
      <c r="C446" s="21"/>
      <c r="D446" s="22">
        <v>100</v>
      </c>
      <c r="E446" s="23">
        <v>51.3</v>
      </c>
      <c r="F446" s="24">
        <v>291</v>
      </c>
      <c r="G446" s="23">
        <v>1210</v>
      </c>
      <c r="H446" s="24">
        <v>16.399999999999999</v>
      </c>
      <c r="I446" s="24">
        <v>21.6</v>
      </c>
      <c r="J446" s="24">
        <v>7.8</v>
      </c>
      <c r="K446" s="23">
        <v>0</v>
      </c>
      <c r="L446" s="23">
        <v>0.78</v>
      </c>
      <c r="M446" s="24">
        <v>0</v>
      </c>
      <c r="N446" s="23">
        <v>2.9</v>
      </c>
      <c r="O446" s="25">
        <v>57</v>
      </c>
      <c r="P446" s="25">
        <v>1.8</v>
      </c>
      <c r="Q446" s="23">
        <v>1169</v>
      </c>
      <c r="R446" s="25">
        <v>183</v>
      </c>
      <c r="S446" s="23">
        <v>2.2000000000000002</v>
      </c>
      <c r="T446" s="23">
        <v>18</v>
      </c>
      <c r="U446" s="23">
        <v>224</v>
      </c>
      <c r="V446" s="23">
        <v>0.09</v>
      </c>
      <c r="W446" s="23">
        <v>0.15</v>
      </c>
      <c r="X446" s="23">
        <v>2.6</v>
      </c>
      <c r="Y446" s="23">
        <v>3</v>
      </c>
      <c r="Z446" s="23">
        <v>1.46</v>
      </c>
      <c r="AA446" s="25">
        <v>0</v>
      </c>
      <c r="AB446" s="25">
        <v>0</v>
      </c>
      <c r="AC446" s="25">
        <v>0</v>
      </c>
      <c r="AD446" s="23">
        <v>6.1</v>
      </c>
      <c r="AE446" s="23">
        <v>8.1</v>
      </c>
      <c r="AF446" s="23">
        <v>4.7</v>
      </c>
      <c r="AG446" s="23">
        <v>60</v>
      </c>
      <c r="AH446" s="24">
        <v>83</v>
      </c>
      <c r="AI446" s="23">
        <v>100</v>
      </c>
      <c r="AJ446" s="13" t="str">
        <f xml:space="preserve"> IF(AD446&gt;F446,"Exceso en grasa saturada",IFERROR(IF(F446=0,"No tiene sello",IF((AD446*9)*100/F446&gt;10,"Exceso en grasa saturada","No tiene sello")),"No tiene sello"))</f>
        <v>Exceso en grasa saturada</v>
      </c>
      <c r="AK446" s="13">
        <f>IF(AJ446="No tiene sello",0,1)</f>
        <v>1</v>
      </c>
      <c r="AL446" s="13" t="str">
        <f>IF(Q446&gt;=300,"Exceso en sodio",IFERROR(IF(AND(F446=0,Q446&gt;0),"No tiene sello",IF(Q446/F446&gt;1,"Exceso en sodio","No tiene sello")),"No tiene sello"))</f>
        <v>Exceso en sodio</v>
      </c>
      <c r="AM446" s="13" t="str">
        <f>IFERROR(IF(F446=0,"No tiene sello",IF(+(AG446/1000)*9*100/F446&gt;1,"Exceso en grasa trans", "No tiene sello")),"No tiene sello")</f>
        <v>No tiene sello</v>
      </c>
    </row>
    <row r="447" spans="1:39" ht="13.5" customHeight="1" x14ac:dyDescent="0.25">
      <c r="A447" s="26" t="s">
        <v>762</v>
      </c>
      <c r="B447" s="26" t="s">
        <v>763</v>
      </c>
      <c r="C447" s="27"/>
      <c r="D447" s="16">
        <v>100</v>
      </c>
      <c r="E447" s="28">
        <v>74</v>
      </c>
      <c r="F447" s="24">
        <v>131</v>
      </c>
      <c r="G447" s="28">
        <v>550</v>
      </c>
      <c r="H447" s="24">
        <v>18.3</v>
      </c>
      <c r="I447" s="24">
        <v>6.3</v>
      </c>
      <c r="J447" s="24">
        <v>0.4</v>
      </c>
      <c r="K447" s="28">
        <v>0</v>
      </c>
      <c r="L447" s="28">
        <v>0.04</v>
      </c>
      <c r="M447" s="24">
        <v>0</v>
      </c>
      <c r="N447" s="28">
        <v>1</v>
      </c>
      <c r="O447" s="25">
        <v>15</v>
      </c>
      <c r="P447" s="25">
        <v>1.8</v>
      </c>
      <c r="Q447" s="28">
        <v>59</v>
      </c>
      <c r="R447" s="25">
        <v>188</v>
      </c>
      <c r="S447" s="28">
        <v>1.9</v>
      </c>
      <c r="T447" s="28">
        <v>19</v>
      </c>
      <c r="U447" s="28">
        <v>266</v>
      </c>
      <c r="V447" s="28">
        <v>0.1</v>
      </c>
      <c r="W447" s="28">
        <v>0.24</v>
      </c>
      <c r="X447" s="28">
        <v>5.6</v>
      </c>
      <c r="Y447" s="28">
        <v>25</v>
      </c>
      <c r="Z447" s="28">
        <v>3</v>
      </c>
      <c r="AA447" s="25">
        <v>0</v>
      </c>
      <c r="AB447" s="25">
        <v>24</v>
      </c>
      <c r="AC447" s="25">
        <v>0</v>
      </c>
      <c r="AD447" s="28">
        <v>2.1</v>
      </c>
      <c r="AE447" s="28">
        <v>2.5</v>
      </c>
      <c r="AF447" s="28">
        <v>0.9</v>
      </c>
      <c r="AG447" s="28">
        <v>10</v>
      </c>
      <c r="AH447" s="24">
        <v>84</v>
      </c>
      <c r="AI447" s="28">
        <v>55</v>
      </c>
      <c r="AJ447" s="13" t="str">
        <f xml:space="preserve"> IF(AD447&gt;F447,"Exceso en grasa saturada",IFERROR(IF(F447=0,"No tiene sello",IF((AD447*9)*100/F447&gt;10,"Exceso en grasa saturada","No tiene sello")),"No tiene sello"))</f>
        <v>Exceso en grasa saturada</v>
      </c>
      <c r="AK447" s="13">
        <f>IF(AJ447="No tiene sello",0,1)</f>
        <v>1</v>
      </c>
      <c r="AL447" s="13" t="str">
        <f>IF(Q447&gt;=300,"Exceso en sodio",IFERROR(IF(AND(F447=0,Q447&gt;0),"No tiene sello",IF(Q447/F447&gt;1,"Exceso en sodio","No tiene sello")),"No tiene sello"))</f>
        <v>No tiene sello</v>
      </c>
      <c r="AM447" s="13" t="str">
        <f>IFERROR(IF(F447=0,"No tiene sello",IF(+(AG447/1000)*9*100/F447&gt;1,"Exceso en grasa trans", "No tiene sello")),"No tiene sello")</f>
        <v>No tiene sello</v>
      </c>
    </row>
    <row r="448" spans="1:39" ht="13.5" customHeight="1" x14ac:dyDescent="0.25">
      <c r="A448" s="20" t="s">
        <v>760</v>
      </c>
      <c r="B448" s="20" t="s">
        <v>761</v>
      </c>
      <c r="C448" s="20" t="s">
        <v>728</v>
      </c>
      <c r="D448" s="22">
        <v>100</v>
      </c>
      <c r="E448" s="23">
        <v>74.900000000000006</v>
      </c>
      <c r="F448" s="24">
        <v>111</v>
      </c>
      <c r="G448" s="23">
        <v>467</v>
      </c>
      <c r="H448" s="24">
        <v>22.7</v>
      </c>
      <c r="I448" s="24">
        <v>2.2000000000000002</v>
      </c>
      <c r="J448" s="24">
        <v>0</v>
      </c>
      <c r="K448" s="23">
        <v>0</v>
      </c>
      <c r="L448" s="23">
        <v>0</v>
      </c>
      <c r="M448" s="24">
        <v>0</v>
      </c>
      <c r="N448" s="23">
        <v>1.1000000000000001</v>
      </c>
      <c r="O448" s="25">
        <v>8</v>
      </c>
      <c r="P448" s="25">
        <v>0.5</v>
      </c>
      <c r="Q448" s="23">
        <v>67</v>
      </c>
      <c r="R448" s="25">
        <v>170</v>
      </c>
      <c r="S448" s="23">
        <v>1.7</v>
      </c>
      <c r="T448" s="23">
        <v>15</v>
      </c>
      <c r="U448" s="23">
        <v>238</v>
      </c>
      <c r="V448" s="23">
        <v>0.04</v>
      </c>
      <c r="W448" s="23">
        <v>0.11</v>
      </c>
      <c r="X448" s="23">
        <v>6.4</v>
      </c>
      <c r="Y448" s="23">
        <v>7</v>
      </c>
      <c r="Z448" s="23">
        <v>0.98</v>
      </c>
      <c r="AA448" s="25">
        <v>0</v>
      </c>
      <c r="AB448" s="25">
        <v>0</v>
      </c>
      <c r="AC448" s="25">
        <v>0</v>
      </c>
      <c r="AD448" s="23">
        <v>0.6</v>
      </c>
      <c r="AE448" s="23">
        <v>0.7</v>
      </c>
      <c r="AF448" s="23">
        <v>0.4</v>
      </c>
      <c r="AG448" s="23">
        <v>0</v>
      </c>
      <c r="AH448" s="24">
        <v>66</v>
      </c>
      <c r="AI448" s="23">
        <v>46</v>
      </c>
      <c r="AJ448" s="13" t="str">
        <f xml:space="preserve"> IF(AD448&gt;F448,"Exceso en grasa saturada",IFERROR(IF(F448=0,"No tiene sello",IF((AD448*9)*100/F448&gt;10,"Exceso en grasa saturada","No tiene sello")),"No tiene sello"))</f>
        <v>No tiene sello</v>
      </c>
      <c r="AK448" s="13">
        <f>IF(AJ448="No tiene sello",0,1)</f>
        <v>0</v>
      </c>
      <c r="AL448" s="13" t="str">
        <f>IF(Q448&gt;=300,"Exceso en sodio",IFERROR(IF(AND(F448=0,Q448&gt;0),"No tiene sello",IF(Q448/F448&gt;1,"Exceso en sodio","No tiene sello")),"No tiene sello"))</f>
        <v>No tiene sello</v>
      </c>
      <c r="AM448" s="13" t="str">
        <f>IFERROR(IF(F448=0,"No tiene sello",IF(+(AG448/1000)*9*100/F448&gt;1,"Exceso en grasa trans", "No tiene sello")),"No tiene sello")</f>
        <v>No tiene sello</v>
      </c>
    </row>
    <row r="449" spans="1:39" ht="13.5" customHeight="1" x14ac:dyDescent="0.25">
      <c r="A449" s="26" t="s">
        <v>757</v>
      </c>
      <c r="B449" s="26" t="s">
        <v>759</v>
      </c>
      <c r="C449" s="26" t="s">
        <v>758</v>
      </c>
      <c r="D449" s="16">
        <v>100</v>
      </c>
      <c r="E449" s="28">
        <v>74</v>
      </c>
      <c r="F449" s="24">
        <v>102</v>
      </c>
      <c r="G449" s="28">
        <v>431</v>
      </c>
      <c r="H449" s="24">
        <v>15</v>
      </c>
      <c r="I449" s="24">
        <v>0.9</v>
      </c>
      <c r="J449" s="24">
        <v>8.4</v>
      </c>
      <c r="K449" s="28">
        <v>0</v>
      </c>
      <c r="L449" s="28">
        <v>0.84</v>
      </c>
      <c r="M449" s="24">
        <v>0</v>
      </c>
      <c r="N449" s="28">
        <v>1.7</v>
      </c>
      <c r="O449" s="25">
        <v>0</v>
      </c>
      <c r="P449" s="25">
        <v>0</v>
      </c>
      <c r="Q449" s="28">
        <v>0</v>
      </c>
      <c r="R449" s="25">
        <v>0</v>
      </c>
      <c r="S449" s="28">
        <v>0</v>
      </c>
      <c r="T449" s="28">
        <v>0</v>
      </c>
      <c r="U449" s="28">
        <v>0</v>
      </c>
      <c r="V449" s="28">
        <v>0</v>
      </c>
      <c r="W449" s="28">
        <v>0</v>
      </c>
      <c r="X449" s="28">
        <v>0</v>
      </c>
      <c r="Y449" s="28">
        <v>0</v>
      </c>
      <c r="Z449" s="28">
        <v>0</v>
      </c>
      <c r="AA449" s="25">
        <v>0</v>
      </c>
      <c r="AB449" s="25">
        <v>0</v>
      </c>
      <c r="AC449" s="25">
        <v>0</v>
      </c>
      <c r="AD449" s="28">
        <v>0</v>
      </c>
      <c r="AE449" s="28">
        <v>0</v>
      </c>
      <c r="AF449" s="28">
        <v>0</v>
      </c>
      <c r="AG449" s="28">
        <v>10</v>
      </c>
      <c r="AH449" s="24">
        <v>0</v>
      </c>
      <c r="AI449" s="28">
        <v>29</v>
      </c>
      <c r="AJ449" s="13" t="str">
        <f xml:space="preserve"> IF(AD449&gt;F449,"Exceso en grasa saturada",IFERROR(IF(F449=0,"No tiene sello",IF((AD449*9)*100/F449&gt;10,"Exceso en grasa saturada","No tiene sello")),"No tiene sello"))</f>
        <v>No tiene sello</v>
      </c>
      <c r="AK449" s="13">
        <f>IF(AJ449="No tiene sello",0,1)</f>
        <v>0</v>
      </c>
      <c r="AL449" s="13" t="str">
        <f>IF(Q449&gt;=300,"Exceso en sodio",IFERROR(IF(AND(F449=0,Q449&gt;0),"No tiene sello",IF(Q449/F449&gt;1,"Exceso en sodio","No tiene sello")),"No tiene sello"))</f>
        <v>No tiene sello</v>
      </c>
      <c r="AM449" s="13" t="str">
        <f>IFERROR(IF(F449=0,"No tiene sello",IF(+(AG449/1000)*9*100/F449&gt;1,"Exceso en grasa trans", "No tiene sello")),"No tiene sello")</f>
        <v>No tiene sello</v>
      </c>
    </row>
    <row r="450" spans="1:39" ht="13.5" customHeight="1" x14ac:dyDescent="0.25">
      <c r="A450" s="20" t="s">
        <v>755</v>
      </c>
      <c r="B450" s="20" t="s">
        <v>756</v>
      </c>
      <c r="C450" s="21"/>
      <c r="D450" s="46">
        <v>100</v>
      </c>
      <c r="E450" s="23">
        <v>70.400000000000006</v>
      </c>
      <c r="F450" s="24">
        <v>156</v>
      </c>
      <c r="G450" s="23">
        <v>651</v>
      </c>
      <c r="H450" s="24">
        <v>20.9</v>
      </c>
      <c r="I450" s="24">
        <v>8</v>
      </c>
      <c r="J450" s="24">
        <v>0</v>
      </c>
      <c r="K450" s="23">
        <v>0</v>
      </c>
      <c r="L450" s="23">
        <v>0</v>
      </c>
      <c r="M450" s="24">
        <v>0</v>
      </c>
      <c r="N450" s="23">
        <v>0.9</v>
      </c>
      <c r="O450" s="25">
        <v>15</v>
      </c>
      <c r="P450" s="25">
        <v>1.4</v>
      </c>
      <c r="Q450" s="23">
        <v>65</v>
      </c>
      <c r="R450" s="25">
        <v>178</v>
      </c>
      <c r="S450" s="23">
        <v>2.2000000000000002</v>
      </c>
      <c r="T450" s="23">
        <v>25</v>
      </c>
      <c r="U450" s="23">
        <v>280</v>
      </c>
      <c r="V450" s="23">
        <v>7.0000000000000007E-2</v>
      </c>
      <c r="W450" s="23">
        <v>0.17</v>
      </c>
      <c r="X450" s="23">
        <v>5.2</v>
      </c>
      <c r="Y450" s="23">
        <v>10</v>
      </c>
      <c r="Z450" s="23">
        <v>1.39</v>
      </c>
      <c r="AA450" s="25">
        <v>0</v>
      </c>
      <c r="AB450" s="25">
        <v>2</v>
      </c>
      <c r="AC450" s="25">
        <v>0</v>
      </c>
      <c r="AD450" s="23">
        <v>2.2999999999999998</v>
      </c>
      <c r="AE450" s="23">
        <v>2.9</v>
      </c>
      <c r="AF450" s="23">
        <v>2</v>
      </c>
      <c r="AG450" s="23">
        <v>10</v>
      </c>
      <c r="AH450" s="24">
        <v>68</v>
      </c>
      <c r="AI450" s="23">
        <v>71</v>
      </c>
      <c r="AJ450" s="13" t="str">
        <f xml:space="preserve"> IF(AD450&gt;F450,"Exceso en grasa saturada",IFERROR(IF(F450=0,"No tiene sello",IF((AD450*9)*100/F450&gt;10,"Exceso en grasa saturada","No tiene sello")),"No tiene sello"))</f>
        <v>Exceso en grasa saturada</v>
      </c>
      <c r="AK450" s="13">
        <f>IF(AJ450="No tiene sello",0,1)</f>
        <v>1</v>
      </c>
      <c r="AL450" s="13" t="str">
        <f>IF(Q450&gt;=300,"Exceso en sodio",IFERROR(IF(AND(F450=0,Q450&gt;0),"No tiene sello",IF(Q450/F450&gt;1,"Exceso en sodio","No tiene sello")),"No tiene sello"))</f>
        <v>No tiene sello</v>
      </c>
      <c r="AM450" s="13" t="str">
        <f>IFERROR(IF(F450=0,"No tiene sello",IF(+(AG450/1000)*9*100/F450&gt;1,"Exceso en grasa trans", "No tiene sello")),"No tiene sello")</f>
        <v>No tiene sello</v>
      </c>
    </row>
    <row r="451" spans="1:39" ht="13.5" customHeight="1" x14ac:dyDescent="0.25">
      <c r="A451" s="26" t="s">
        <v>753</v>
      </c>
      <c r="B451" s="26" t="s">
        <v>754</v>
      </c>
      <c r="C451" s="27"/>
      <c r="D451" s="47">
        <v>100</v>
      </c>
      <c r="E451" s="28">
        <v>62.7</v>
      </c>
      <c r="F451" s="24">
        <v>181</v>
      </c>
      <c r="G451" s="28">
        <v>760</v>
      </c>
      <c r="H451" s="24">
        <v>28.2</v>
      </c>
      <c r="I451" s="24">
        <v>7.3</v>
      </c>
      <c r="J451" s="24">
        <v>0.6</v>
      </c>
      <c r="K451" s="28">
        <v>0</v>
      </c>
      <c r="L451" s="28">
        <v>0.06</v>
      </c>
      <c r="M451" s="24">
        <v>0</v>
      </c>
      <c r="N451" s="28">
        <v>2.2000000000000002</v>
      </c>
      <c r="O451" s="25">
        <v>26</v>
      </c>
      <c r="P451" s="25">
        <v>1.8</v>
      </c>
      <c r="Q451" s="28">
        <v>68</v>
      </c>
      <c r="R451" s="25">
        <v>203</v>
      </c>
      <c r="S451" s="28">
        <v>3</v>
      </c>
      <c r="T451" s="28">
        <v>25</v>
      </c>
      <c r="U451" s="28">
        <v>280</v>
      </c>
      <c r="V451" s="28">
        <v>0.06</v>
      </c>
      <c r="W451" s="28">
        <v>0.18</v>
      </c>
      <c r="X451" s="28">
        <v>9.5</v>
      </c>
      <c r="Y451" s="28">
        <v>7</v>
      </c>
      <c r="Z451" s="28">
        <v>1.1100000000000001</v>
      </c>
      <c r="AA451" s="25">
        <v>0</v>
      </c>
      <c r="AB451" s="25">
        <v>0</v>
      </c>
      <c r="AC451" s="25">
        <v>0</v>
      </c>
      <c r="AD451" s="28">
        <v>2.8</v>
      </c>
      <c r="AE451" s="28">
        <v>3.2</v>
      </c>
      <c r="AF451" s="28">
        <v>2.5</v>
      </c>
      <c r="AG451" s="28">
        <v>10</v>
      </c>
      <c r="AH451" s="24">
        <v>82</v>
      </c>
      <c r="AI451" s="28">
        <v>100</v>
      </c>
      <c r="AJ451" s="13" t="str">
        <f xml:space="preserve"> IF(AD451&gt;F451,"Exceso en grasa saturada",IFERROR(IF(F451=0,"No tiene sello",IF((AD451*9)*100/F451&gt;10,"Exceso en grasa saturada","No tiene sello")),"No tiene sello"))</f>
        <v>Exceso en grasa saturada</v>
      </c>
      <c r="AK451" s="13">
        <f>IF(AJ451="No tiene sello",0,1)</f>
        <v>1</v>
      </c>
      <c r="AL451" s="13" t="str">
        <f>IF(Q451&gt;=300,"Exceso en sodio",IFERROR(IF(AND(F451=0,Q451&gt;0),"No tiene sello",IF(Q451/F451&gt;1,"Exceso en sodio","No tiene sello")),"No tiene sello"))</f>
        <v>No tiene sello</v>
      </c>
      <c r="AM451" s="13" t="str">
        <f>IFERROR(IF(F451=0,"No tiene sello",IF(+(AG451/1000)*9*100/F451&gt;1,"Exceso en grasa trans", "No tiene sello")),"No tiene sello")</f>
        <v>No tiene sello</v>
      </c>
    </row>
    <row r="452" spans="1:39" ht="13.5" customHeight="1" x14ac:dyDescent="0.25">
      <c r="A452" s="20" t="s">
        <v>751</v>
      </c>
      <c r="B452" s="20" t="s">
        <v>752</v>
      </c>
      <c r="C452" s="20" t="s">
        <v>688</v>
      </c>
      <c r="D452" s="46">
        <v>100</v>
      </c>
      <c r="E452" s="23">
        <v>72.900000000000006</v>
      </c>
      <c r="F452" s="24">
        <v>108</v>
      </c>
      <c r="G452" s="23">
        <v>458</v>
      </c>
      <c r="H452" s="24">
        <v>24.3</v>
      </c>
      <c r="I452" s="24">
        <v>1</v>
      </c>
      <c r="J452" s="24">
        <v>0.5</v>
      </c>
      <c r="K452" s="23">
        <v>0</v>
      </c>
      <c r="L452" s="23">
        <v>0.05</v>
      </c>
      <c r="M452" s="24">
        <v>0</v>
      </c>
      <c r="N452" s="23">
        <v>1.4</v>
      </c>
      <c r="O452" s="25">
        <v>5</v>
      </c>
      <c r="P452" s="25">
        <v>0.9</v>
      </c>
      <c r="Q452" s="23">
        <v>41</v>
      </c>
      <c r="R452" s="25">
        <v>227</v>
      </c>
      <c r="S452" s="23">
        <v>0.8</v>
      </c>
      <c r="T452" s="23">
        <v>20</v>
      </c>
      <c r="U452" s="23">
        <v>352</v>
      </c>
      <c r="V452" s="23">
        <v>0.04</v>
      </c>
      <c r="W452" s="23">
        <v>0.12</v>
      </c>
      <c r="X452" s="23">
        <v>11.2</v>
      </c>
      <c r="Y452" s="23">
        <v>8</v>
      </c>
      <c r="Z452" s="23">
        <v>0.96</v>
      </c>
      <c r="AA452" s="25">
        <v>0</v>
      </c>
      <c r="AB452" s="25">
        <v>2</v>
      </c>
      <c r="AC452" s="25">
        <v>0</v>
      </c>
      <c r="AD452" s="23">
        <v>0.4</v>
      </c>
      <c r="AE452" s="23">
        <v>0.3</v>
      </c>
      <c r="AF452" s="23">
        <v>0.4</v>
      </c>
      <c r="AG452" s="23">
        <v>0</v>
      </c>
      <c r="AH452" s="24">
        <v>58</v>
      </c>
      <c r="AI452" s="23">
        <v>82</v>
      </c>
      <c r="AJ452" s="13" t="str">
        <f xml:space="preserve"> IF(AD452&gt;F452,"Exceso en grasa saturada",IFERROR(IF(F452=0,"No tiene sello",IF((AD452*9)*100/F452&gt;10,"Exceso en grasa saturada","No tiene sello")),"No tiene sello"))</f>
        <v>No tiene sello</v>
      </c>
      <c r="AK452" s="13">
        <f>IF(AJ452="No tiene sello",0,1)</f>
        <v>0</v>
      </c>
      <c r="AL452" s="13" t="str">
        <f>IF(Q452&gt;=300,"Exceso en sodio",IFERROR(IF(AND(F452=0,Q452&gt;0),"No tiene sello",IF(Q452/F452&gt;1,"Exceso en sodio","No tiene sello")),"No tiene sello"))</f>
        <v>No tiene sello</v>
      </c>
      <c r="AM452" s="13" t="str">
        <f>IFERROR(IF(F452=0,"No tiene sello",IF(+(AG452/1000)*9*100/F452&gt;1,"Exceso en grasa trans", "No tiene sello")),"No tiene sello")</f>
        <v>No tiene sello</v>
      </c>
    </row>
    <row r="453" spans="1:39" ht="13.5" customHeight="1" x14ac:dyDescent="0.25">
      <c r="A453" s="26" t="s">
        <v>749</v>
      </c>
      <c r="B453" s="26" t="s">
        <v>750</v>
      </c>
      <c r="C453" s="26" t="s">
        <v>688</v>
      </c>
      <c r="D453" s="47">
        <v>100</v>
      </c>
      <c r="E453" s="28">
        <v>65.599999999999994</v>
      </c>
      <c r="F453" s="24">
        <v>144</v>
      </c>
      <c r="G453" s="28">
        <v>608</v>
      </c>
      <c r="H453" s="24">
        <v>30.1</v>
      </c>
      <c r="I453" s="24">
        <v>2.6</v>
      </c>
      <c r="J453" s="24">
        <v>0</v>
      </c>
      <c r="K453" s="28">
        <v>0</v>
      </c>
      <c r="L453" s="28">
        <v>0</v>
      </c>
      <c r="M453" s="24">
        <v>0</v>
      </c>
      <c r="N453" s="28">
        <v>1.9</v>
      </c>
      <c r="O453" s="25">
        <v>12</v>
      </c>
      <c r="P453" s="25">
        <v>1.5</v>
      </c>
      <c r="Q453" s="28">
        <v>52</v>
      </c>
      <c r="R453" s="25">
        <v>224</v>
      </c>
      <c r="S453" s="28">
        <v>1.7</v>
      </c>
      <c r="T453" s="28">
        <v>24</v>
      </c>
      <c r="U453" s="28">
        <v>293</v>
      </c>
      <c r="V453" s="28">
        <v>0.04</v>
      </c>
      <c r="W453" s="28">
        <v>0.13</v>
      </c>
      <c r="X453" s="28">
        <v>12.3</v>
      </c>
      <c r="Y453" s="28">
        <v>6</v>
      </c>
      <c r="Z453" s="28">
        <v>0.39</v>
      </c>
      <c r="AA453" s="25">
        <v>0</v>
      </c>
      <c r="AB453" s="25">
        <v>0</v>
      </c>
      <c r="AC453" s="25">
        <v>0</v>
      </c>
      <c r="AD453" s="28">
        <v>0.2</v>
      </c>
      <c r="AE453" s="28">
        <v>0.1</v>
      </c>
      <c r="AF453" s="28">
        <v>0.2</v>
      </c>
      <c r="AG453" s="28">
        <v>0</v>
      </c>
      <c r="AH453" s="24">
        <v>83</v>
      </c>
      <c r="AI453" s="28">
        <v>73</v>
      </c>
      <c r="AJ453" s="13" t="str">
        <f xml:space="preserve"> IF(AD453&gt;F453,"Exceso en grasa saturada",IFERROR(IF(F453=0,"No tiene sello",IF((AD453*9)*100/F453&gt;10,"Exceso en grasa saturada","No tiene sello")),"No tiene sello"))</f>
        <v>No tiene sello</v>
      </c>
      <c r="AK453" s="13">
        <f>IF(AJ453="No tiene sello",0,1)</f>
        <v>0</v>
      </c>
      <c r="AL453" s="13" t="str">
        <f>IF(Q453&gt;=300,"Exceso en sodio",IFERROR(IF(AND(F453=0,Q453&gt;0),"No tiene sello",IF(Q453/F453&gt;1,"Exceso en sodio","No tiene sello")),"No tiene sello"))</f>
        <v>No tiene sello</v>
      </c>
      <c r="AM453" s="13" t="str">
        <f>IFERROR(IF(F453=0,"No tiene sello",IF(+(AG453/1000)*9*100/F453&gt;1,"Exceso en grasa trans", "No tiene sello")),"No tiene sello")</f>
        <v>No tiene sello</v>
      </c>
    </row>
    <row r="454" spans="1:39" ht="13.5" customHeight="1" x14ac:dyDescent="0.25">
      <c r="A454" s="20" t="s">
        <v>746</v>
      </c>
      <c r="B454" s="20" t="s">
        <v>748</v>
      </c>
      <c r="C454" s="20" t="s">
        <v>747</v>
      </c>
      <c r="D454" s="46">
        <v>100</v>
      </c>
      <c r="E454" s="23">
        <v>75.900000000000006</v>
      </c>
      <c r="F454" s="24">
        <v>132</v>
      </c>
      <c r="G454" s="23">
        <v>511</v>
      </c>
      <c r="H454" s="24">
        <v>16.5</v>
      </c>
      <c r="I454" s="24">
        <v>6</v>
      </c>
      <c r="J454" s="24">
        <v>0.4</v>
      </c>
      <c r="K454" s="23">
        <v>0</v>
      </c>
      <c r="L454" s="23">
        <v>0.04</v>
      </c>
      <c r="M454" s="24">
        <v>0</v>
      </c>
      <c r="N454" s="23">
        <v>1.1000000000000001</v>
      </c>
      <c r="O454" s="25">
        <v>24</v>
      </c>
      <c r="P454" s="25">
        <v>1</v>
      </c>
      <c r="Q454" s="23">
        <v>233</v>
      </c>
      <c r="R454" s="25">
        <v>160</v>
      </c>
      <c r="S454" s="23">
        <v>3.4</v>
      </c>
      <c r="T454" s="23">
        <v>15</v>
      </c>
      <c r="U454" s="23">
        <v>133</v>
      </c>
      <c r="V454" s="23">
        <v>0.05</v>
      </c>
      <c r="W454" s="23">
        <v>0.21</v>
      </c>
      <c r="X454" s="23">
        <v>4.9000000000000004</v>
      </c>
      <c r="Y454" s="23">
        <v>5</v>
      </c>
      <c r="Z454" s="23">
        <v>1.76</v>
      </c>
      <c r="AA454" s="25">
        <v>0</v>
      </c>
      <c r="AB454" s="25">
        <v>13</v>
      </c>
      <c r="AC454" s="25">
        <v>0</v>
      </c>
      <c r="AD454" s="23">
        <v>1.6</v>
      </c>
      <c r="AE454" s="23">
        <v>1.8</v>
      </c>
      <c r="AF454" s="23">
        <v>1.5</v>
      </c>
      <c r="AG454" s="23">
        <v>10</v>
      </c>
      <c r="AH454" s="24">
        <v>115</v>
      </c>
      <c r="AI454" s="23">
        <v>53</v>
      </c>
      <c r="AJ454" s="13" t="str">
        <f xml:space="preserve"> IF(AD454&gt;F454,"Exceso en grasa saturada",IFERROR(IF(F454=0,"No tiene sello",IF((AD454*9)*100/F454&gt;10,"Exceso en grasa saturada","No tiene sello")),"No tiene sello"))</f>
        <v>Exceso en grasa saturada</v>
      </c>
      <c r="AK454" s="13">
        <f>IF(AJ454="No tiene sello",0,1)</f>
        <v>1</v>
      </c>
      <c r="AL454" s="13" t="str">
        <f>IF(Q454&gt;=300,"Exceso en sodio",IFERROR(IF(AND(F454=0,Q454&gt;0),"No tiene sello",IF(Q454/F454&gt;1,"Exceso en sodio","No tiene sello")),"No tiene sello"))</f>
        <v>Exceso en sodio</v>
      </c>
      <c r="AM454" s="13" t="str">
        <f>IFERROR(IF(F454=0,"No tiene sello",IF(+(AG454/1000)*9*100/F454&gt;1,"Exceso en grasa trans", "No tiene sello")),"No tiene sello")</f>
        <v>No tiene sello</v>
      </c>
    </row>
    <row r="455" spans="1:39" ht="13.5" customHeight="1" x14ac:dyDescent="0.25">
      <c r="A455" s="26" t="s">
        <v>744</v>
      </c>
      <c r="B455" s="26" t="s">
        <v>745</v>
      </c>
      <c r="C455" s="26" t="s">
        <v>676</v>
      </c>
      <c r="D455" s="47">
        <v>100</v>
      </c>
      <c r="E455" s="28">
        <v>71.5</v>
      </c>
      <c r="F455" s="24">
        <v>133</v>
      </c>
      <c r="G455" s="28">
        <v>561</v>
      </c>
      <c r="H455" s="24">
        <v>21.8</v>
      </c>
      <c r="I455" s="24">
        <v>4.8</v>
      </c>
      <c r="J455" s="24">
        <v>0.8</v>
      </c>
      <c r="K455" s="28">
        <v>0</v>
      </c>
      <c r="L455" s="28">
        <v>0.08</v>
      </c>
      <c r="M455" s="24">
        <v>0</v>
      </c>
      <c r="N455" s="28">
        <v>1.1000000000000001</v>
      </c>
      <c r="O455" s="25">
        <v>5</v>
      </c>
      <c r="P455" s="25">
        <v>1.5</v>
      </c>
      <c r="Q455" s="28">
        <v>66</v>
      </c>
      <c r="R455" s="25">
        <v>195</v>
      </c>
      <c r="S455" s="28">
        <v>2</v>
      </c>
      <c r="T455" s="28">
        <v>14</v>
      </c>
      <c r="U455" s="28">
        <v>302</v>
      </c>
      <c r="V455" s="28">
        <v>0.06</v>
      </c>
      <c r="W455" s="28">
        <v>0.21</v>
      </c>
      <c r="X455" s="28">
        <v>5.4</v>
      </c>
      <c r="Y455" s="28">
        <v>10</v>
      </c>
      <c r="Z455" s="28">
        <v>1.68</v>
      </c>
      <c r="AA455" s="25">
        <v>0</v>
      </c>
      <c r="AB455" s="25">
        <v>0</v>
      </c>
      <c r="AC455" s="25">
        <v>0</v>
      </c>
      <c r="AD455" s="28">
        <v>1.5</v>
      </c>
      <c r="AE455" s="28">
        <v>1.7</v>
      </c>
      <c r="AF455" s="28">
        <v>1</v>
      </c>
      <c r="AG455" s="28">
        <v>5</v>
      </c>
      <c r="AH455" s="24">
        <v>88</v>
      </c>
      <c r="AI455" s="28">
        <v>71</v>
      </c>
      <c r="AJ455" s="13" t="str">
        <f xml:space="preserve"> IF(AD455&gt;F455,"Exceso en grasa saturada",IFERROR(IF(F455=0,"No tiene sello",IF((AD455*9)*100/F455&gt;10,"Exceso en grasa saturada","No tiene sello")),"No tiene sello"))</f>
        <v>Exceso en grasa saturada</v>
      </c>
      <c r="AK455" s="13">
        <f>IF(AJ455="No tiene sello",0,1)</f>
        <v>1</v>
      </c>
      <c r="AL455" s="13" t="str">
        <f>IF(Q455&gt;=300,"Exceso en sodio",IFERROR(IF(AND(F455=0,Q455&gt;0),"No tiene sello",IF(Q455/F455&gt;1,"Exceso en sodio","No tiene sello")),"No tiene sello"))</f>
        <v>No tiene sello</v>
      </c>
      <c r="AM455" s="13" t="str">
        <f>IFERROR(IF(F455=0,"No tiene sello",IF(+(AG455/1000)*9*100/F455&gt;1,"Exceso en grasa trans", "No tiene sello")),"No tiene sello")</f>
        <v>No tiene sello</v>
      </c>
    </row>
    <row r="456" spans="1:39" ht="13.5" customHeight="1" x14ac:dyDescent="0.25">
      <c r="A456" s="20" t="s">
        <v>742</v>
      </c>
      <c r="B456" s="20" t="s">
        <v>743</v>
      </c>
      <c r="C456" s="20" t="s">
        <v>676</v>
      </c>
      <c r="D456" s="46">
        <v>100</v>
      </c>
      <c r="E456" s="23">
        <v>66.5</v>
      </c>
      <c r="F456" s="24">
        <v>151</v>
      </c>
      <c r="G456" s="23">
        <v>637</v>
      </c>
      <c r="H456" s="24">
        <v>29.2</v>
      </c>
      <c r="I456" s="24">
        <v>3.8</v>
      </c>
      <c r="J456" s="24">
        <v>0</v>
      </c>
      <c r="K456" s="23">
        <v>0</v>
      </c>
      <c r="L456" s="23">
        <v>0</v>
      </c>
      <c r="M456" s="24">
        <v>0</v>
      </c>
      <c r="N456" s="23">
        <v>1</v>
      </c>
      <c r="O456" s="25">
        <v>22</v>
      </c>
      <c r="P456" s="25">
        <v>2.7</v>
      </c>
      <c r="Q456" s="23">
        <v>81</v>
      </c>
      <c r="R456" s="25">
        <v>204</v>
      </c>
      <c r="S456" s="23">
        <v>4.2</v>
      </c>
      <c r="T456" s="23">
        <v>20</v>
      </c>
      <c r="U456" s="23">
        <v>258</v>
      </c>
      <c r="V456" s="23">
        <v>0.05</v>
      </c>
      <c r="W456" s="23">
        <v>0.27</v>
      </c>
      <c r="X456" s="23">
        <v>3.3</v>
      </c>
      <c r="Y456" s="23">
        <v>10</v>
      </c>
      <c r="Z456" s="23">
        <v>2</v>
      </c>
      <c r="AA456" s="25">
        <v>0</v>
      </c>
      <c r="AB456" s="25">
        <v>0</v>
      </c>
      <c r="AC456" s="25">
        <v>0</v>
      </c>
      <c r="AD456" s="23">
        <v>1.3</v>
      </c>
      <c r="AE456" s="23">
        <v>0.9</v>
      </c>
      <c r="AF456" s="23">
        <v>1.1000000000000001</v>
      </c>
      <c r="AG456" s="23">
        <v>5</v>
      </c>
      <c r="AH456" s="24">
        <v>119</v>
      </c>
      <c r="AI456" s="23">
        <v>69</v>
      </c>
      <c r="AJ456" s="13" t="str">
        <f xml:space="preserve"> IF(AD456&gt;F456,"Exceso en grasa saturada",IFERROR(IF(F456=0,"No tiene sello",IF((AD456*9)*100/F456&gt;10,"Exceso en grasa saturada","No tiene sello")),"No tiene sello"))</f>
        <v>No tiene sello</v>
      </c>
      <c r="AK456" s="13">
        <f>IF(AJ456="No tiene sello",0,1)</f>
        <v>0</v>
      </c>
      <c r="AL456" s="13" t="str">
        <f>IF(Q456&gt;=300,"Exceso en sodio",IFERROR(IF(AND(F456=0,Q456&gt;0),"No tiene sello",IF(Q456/F456&gt;1,"Exceso en sodio","No tiene sello")),"No tiene sello"))</f>
        <v>No tiene sello</v>
      </c>
      <c r="AM456" s="13" t="str">
        <f>IFERROR(IF(F456=0,"No tiene sello",IF(+(AG456/1000)*9*100/F456&gt;1,"Exceso en grasa trans", "No tiene sello")),"No tiene sello")</f>
        <v>No tiene sello</v>
      </c>
    </row>
    <row r="457" spans="1:39" ht="13.5" customHeight="1" x14ac:dyDescent="0.25">
      <c r="A457" s="26" t="s">
        <v>739</v>
      </c>
      <c r="B457" s="26" t="s">
        <v>741</v>
      </c>
      <c r="C457" s="26" t="s">
        <v>740</v>
      </c>
      <c r="D457" s="47">
        <v>100</v>
      </c>
      <c r="E457" s="28">
        <v>70.5</v>
      </c>
      <c r="F457" s="24">
        <v>158</v>
      </c>
      <c r="G457" s="28">
        <v>660</v>
      </c>
      <c r="H457" s="24">
        <v>16.7</v>
      </c>
      <c r="I457" s="24">
        <v>9.5</v>
      </c>
      <c r="J457" s="24">
        <v>1.5</v>
      </c>
      <c r="K457" s="28">
        <v>0</v>
      </c>
      <c r="L457" s="28">
        <v>0.15</v>
      </c>
      <c r="M457" s="24">
        <v>0</v>
      </c>
      <c r="N457" s="28">
        <v>1.8</v>
      </c>
      <c r="O457" s="25">
        <v>0</v>
      </c>
      <c r="P457" s="25">
        <v>0</v>
      </c>
      <c r="Q457" s="28">
        <v>0</v>
      </c>
      <c r="R457" s="25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</v>
      </c>
      <c r="Y457" s="28">
        <v>0</v>
      </c>
      <c r="Z457" s="28">
        <v>0</v>
      </c>
      <c r="AA457" s="25">
        <v>0</v>
      </c>
      <c r="AB457" s="25">
        <v>0</v>
      </c>
      <c r="AC457" s="25">
        <v>0</v>
      </c>
      <c r="AD457" s="28">
        <v>0</v>
      </c>
      <c r="AE457" s="28">
        <v>0</v>
      </c>
      <c r="AF457" s="28">
        <v>0</v>
      </c>
      <c r="AG457" s="28">
        <v>10</v>
      </c>
      <c r="AH457" s="24">
        <v>0</v>
      </c>
      <c r="AI457" s="28">
        <v>34</v>
      </c>
      <c r="AJ457" s="13" t="str">
        <f xml:space="preserve"> IF(AD457&gt;F457,"Exceso en grasa saturada",IFERROR(IF(F457=0,"No tiene sello",IF((AD457*9)*100/F457&gt;10,"Exceso en grasa saturada","No tiene sello")),"No tiene sello"))</f>
        <v>No tiene sello</v>
      </c>
      <c r="AK457" s="13">
        <f>IF(AJ457="No tiene sello",0,1)</f>
        <v>0</v>
      </c>
      <c r="AL457" s="13" t="str">
        <f>IF(Q457&gt;=300,"Exceso en sodio",IFERROR(IF(AND(F457=0,Q457&gt;0),"No tiene sello",IF(Q457/F457&gt;1,"Exceso en sodio","No tiene sello")),"No tiene sello"))</f>
        <v>No tiene sello</v>
      </c>
      <c r="AM457" s="13" t="str">
        <f>IFERROR(IF(F457=0,"No tiene sello",IF(+(AG457/1000)*9*100/F457&gt;1,"Exceso en grasa trans", "No tiene sello")),"No tiene sello")</f>
        <v>No tiene sello</v>
      </c>
    </row>
    <row r="458" spans="1:39" ht="13.5" customHeight="1" x14ac:dyDescent="0.25">
      <c r="A458" s="20" t="s">
        <v>737</v>
      </c>
      <c r="B458" s="20" t="s">
        <v>738</v>
      </c>
      <c r="C458" s="20" t="s">
        <v>731</v>
      </c>
      <c r="D458" s="46">
        <v>100</v>
      </c>
      <c r="E458" s="23">
        <v>59.6</v>
      </c>
      <c r="F458" s="24">
        <v>247</v>
      </c>
      <c r="G458" s="23">
        <v>1030</v>
      </c>
      <c r="H458" s="24">
        <v>23.8</v>
      </c>
      <c r="I458" s="24">
        <v>16.899999999999999</v>
      </c>
      <c r="J458" s="24">
        <v>0</v>
      </c>
      <c r="K458" s="23">
        <v>0</v>
      </c>
      <c r="L458" s="23">
        <v>0</v>
      </c>
      <c r="M458" s="24">
        <v>0</v>
      </c>
      <c r="N458" s="23">
        <v>0.9</v>
      </c>
      <c r="O458" s="25">
        <v>18</v>
      </c>
      <c r="P458" s="25">
        <v>0.8</v>
      </c>
      <c r="Q458" s="23">
        <v>98</v>
      </c>
      <c r="R458" s="25">
        <v>219</v>
      </c>
      <c r="S458" s="23">
        <v>1.6</v>
      </c>
      <c r="T458" s="23">
        <v>24</v>
      </c>
      <c r="U458" s="23">
        <v>212</v>
      </c>
      <c r="V458" s="23">
        <v>0.06</v>
      </c>
      <c r="W458" s="23">
        <v>0.15</v>
      </c>
      <c r="X458" s="23">
        <v>6.3</v>
      </c>
      <c r="Y458" s="23">
        <v>9</v>
      </c>
      <c r="Z458" s="23">
        <v>0.35</v>
      </c>
      <c r="AA458" s="25">
        <v>0</v>
      </c>
      <c r="AB458" s="25">
        <v>12</v>
      </c>
      <c r="AC458" s="25">
        <v>0</v>
      </c>
      <c r="AD458" s="23">
        <v>5</v>
      </c>
      <c r="AE458" s="23">
        <v>7.7</v>
      </c>
      <c r="AF458" s="23">
        <v>3.6</v>
      </c>
      <c r="AG458" s="23">
        <v>50</v>
      </c>
      <c r="AH458" s="24">
        <v>141</v>
      </c>
      <c r="AI458" s="23">
        <v>54</v>
      </c>
      <c r="AJ458" s="13" t="str">
        <f xml:space="preserve"> IF(AD458&gt;F458,"Exceso en grasa saturada",IFERROR(IF(F458=0,"No tiene sello",IF((AD458*9)*100/F458&gt;10,"Exceso en grasa saturada","No tiene sello")),"No tiene sello"))</f>
        <v>Exceso en grasa saturada</v>
      </c>
      <c r="AK458" s="13">
        <f>IF(AJ458="No tiene sello",0,1)</f>
        <v>1</v>
      </c>
      <c r="AL458" s="13" t="str">
        <f>IF(Q458&gt;=300,"Exceso en sodio",IFERROR(IF(AND(F458=0,Q458&gt;0),"No tiene sello",IF(Q458/F458&gt;1,"Exceso en sodio","No tiene sello")),"No tiene sello"))</f>
        <v>No tiene sello</v>
      </c>
      <c r="AM458" s="13" t="str">
        <f>IFERROR(IF(F458=0,"No tiene sello",IF(+(AG458/1000)*9*100/F458&gt;1,"Exceso en grasa trans", "No tiene sello")),"No tiene sello")</f>
        <v>No tiene sello</v>
      </c>
    </row>
    <row r="459" spans="1:39" ht="13.5" customHeight="1" x14ac:dyDescent="0.25">
      <c r="A459" s="26" t="s">
        <v>735</v>
      </c>
      <c r="B459" s="26" t="s">
        <v>736</v>
      </c>
      <c r="C459" s="26" t="s">
        <v>731</v>
      </c>
      <c r="D459" s="47">
        <v>100</v>
      </c>
      <c r="E459" s="28">
        <v>64.3</v>
      </c>
      <c r="F459" s="24">
        <v>198</v>
      </c>
      <c r="G459" s="28">
        <v>826</v>
      </c>
      <c r="H459" s="24">
        <v>22.5</v>
      </c>
      <c r="I459" s="24">
        <v>12</v>
      </c>
      <c r="J459" s="24">
        <v>0</v>
      </c>
      <c r="K459" s="28">
        <v>0</v>
      </c>
      <c r="L459" s="28">
        <v>0</v>
      </c>
      <c r="M459" s="24">
        <v>0</v>
      </c>
      <c r="N459" s="28">
        <v>1.2</v>
      </c>
      <c r="O459" s="25">
        <v>21</v>
      </c>
      <c r="P459" s="25">
        <v>0.7</v>
      </c>
      <c r="Q459" s="28">
        <v>67</v>
      </c>
      <c r="R459" s="25">
        <v>136</v>
      </c>
      <c r="S459" s="28">
        <v>2.9</v>
      </c>
      <c r="T459" s="28">
        <v>13</v>
      </c>
      <c r="U459" s="28">
        <v>101</v>
      </c>
      <c r="V459" s="28">
        <v>0.11</v>
      </c>
      <c r="W459" s="28">
        <v>1.6120000000000001</v>
      </c>
      <c r="X459" s="28">
        <v>3.2</v>
      </c>
      <c r="Y459" s="28">
        <v>4</v>
      </c>
      <c r="Z459" s="28">
        <v>0.13</v>
      </c>
      <c r="AA459" s="25">
        <v>0</v>
      </c>
      <c r="AB459" s="25">
        <v>25</v>
      </c>
      <c r="AC459" s="25">
        <v>0</v>
      </c>
      <c r="AD459" s="28">
        <v>4.4000000000000004</v>
      </c>
      <c r="AE459" s="28">
        <v>6.4</v>
      </c>
      <c r="AF459" s="28">
        <v>3.3</v>
      </c>
      <c r="AG459" s="28">
        <v>50</v>
      </c>
      <c r="AH459" s="24">
        <v>77</v>
      </c>
      <c r="AI459" s="28">
        <v>55</v>
      </c>
      <c r="AJ459" s="13" t="str">
        <f xml:space="preserve"> IF(AD459&gt;F459,"Exceso en grasa saturada",IFERROR(IF(F459=0,"No tiene sello",IF((AD459*9)*100/F459&gt;10,"Exceso en grasa saturada","No tiene sello")),"No tiene sello"))</f>
        <v>Exceso en grasa saturada</v>
      </c>
      <c r="AK459" s="13">
        <f>IF(AJ459="No tiene sello",0,1)</f>
        <v>1</v>
      </c>
      <c r="AL459" s="13" t="str">
        <f>IF(Q459&gt;=300,"Exceso en sodio",IFERROR(IF(AND(F459=0,Q459&gt;0),"No tiene sello",IF(Q459/F459&gt;1,"Exceso en sodio","No tiene sello")),"No tiene sello"))</f>
        <v>No tiene sello</v>
      </c>
      <c r="AM459" s="13" t="str">
        <f>IFERROR(IF(F459=0,"No tiene sello",IF(+(AG459/1000)*9*100/F459&gt;1,"Exceso en grasa trans", "No tiene sello")),"No tiene sello")</f>
        <v>No tiene sello</v>
      </c>
    </row>
    <row r="460" spans="1:39" ht="13.5" customHeight="1" x14ac:dyDescent="0.25">
      <c r="A460" s="20" t="s">
        <v>733</v>
      </c>
      <c r="B460" s="20" t="s">
        <v>734</v>
      </c>
      <c r="C460" s="20" t="s">
        <v>731</v>
      </c>
      <c r="D460" s="46">
        <v>100</v>
      </c>
      <c r="E460" s="23">
        <v>65.7</v>
      </c>
      <c r="F460" s="24">
        <v>214</v>
      </c>
      <c r="G460" s="23">
        <v>891</v>
      </c>
      <c r="H460" s="24">
        <v>17.5</v>
      </c>
      <c r="I460" s="24">
        <v>16</v>
      </c>
      <c r="J460" s="24">
        <v>0.1</v>
      </c>
      <c r="K460" s="23">
        <v>0</v>
      </c>
      <c r="L460" s="23">
        <v>0.01</v>
      </c>
      <c r="M460" s="24">
        <v>0</v>
      </c>
      <c r="N460" s="23">
        <v>0.7</v>
      </c>
      <c r="O460" s="25">
        <v>12</v>
      </c>
      <c r="P460" s="25">
        <v>0.9</v>
      </c>
      <c r="Q460" s="23">
        <v>73</v>
      </c>
      <c r="R460" s="25">
        <v>132</v>
      </c>
      <c r="S460" s="23">
        <v>1.3</v>
      </c>
      <c r="T460" s="23">
        <v>19</v>
      </c>
      <c r="U460" s="23">
        <v>170</v>
      </c>
      <c r="V460" s="23">
        <v>0.05</v>
      </c>
      <c r="W460" s="23">
        <v>0.09</v>
      </c>
      <c r="X460" s="23">
        <v>5.9</v>
      </c>
      <c r="Y460" s="23">
        <v>5</v>
      </c>
      <c r="Z460" s="23">
        <v>0.31</v>
      </c>
      <c r="AA460" s="25">
        <v>0</v>
      </c>
      <c r="AB460" s="25">
        <v>44</v>
      </c>
      <c r="AC460" s="25">
        <v>0</v>
      </c>
      <c r="AD460" s="23">
        <v>4.5</v>
      </c>
      <c r="AE460" s="23">
        <v>6.3</v>
      </c>
      <c r="AF460" s="23">
        <v>3.4</v>
      </c>
      <c r="AG460" s="23">
        <v>50</v>
      </c>
      <c r="AH460" s="24">
        <v>77</v>
      </c>
      <c r="AI460" s="23">
        <v>71</v>
      </c>
      <c r="AJ460" s="13" t="str">
        <f xml:space="preserve"> IF(AD460&gt;F460,"Exceso en grasa saturada",IFERROR(IF(F460=0,"No tiene sello",IF((AD460*9)*100/F460&gt;10,"Exceso en grasa saturada","No tiene sello")),"No tiene sello"))</f>
        <v>Exceso en grasa saturada</v>
      </c>
      <c r="AK460" s="13">
        <f>IF(AJ460="No tiene sello",0,1)</f>
        <v>1</v>
      </c>
      <c r="AL460" s="13" t="str">
        <f>IF(Q460&gt;=300,"Exceso en sodio",IFERROR(IF(AND(F460=0,Q460&gt;0),"No tiene sello",IF(Q460/F460&gt;1,"Exceso en sodio","No tiene sello")),"No tiene sello"))</f>
        <v>No tiene sello</v>
      </c>
      <c r="AM460" s="13" t="str">
        <f>IFERROR(IF(F460=0,"No tiene sello",IF(+(AG460/1000)*9*100/F460&gt;1,"Exceso en grasa trans", "No tiene sello")),"No tiene sello")</f>
        <v>No tiene sello</v>
      </c>
    </row>
    <row r="461" spans="1:39" ht="13.5" customHeight="1" x14ac:dyDescent="0.25">
      <c r="A461" s="26" t="s">
        <v>730</v>
      </c>
      <c r="B461" s="26" t="s">
        <v>732</v>
      </c>
      <c r="C461" s="26" t="s">
        <v>731</v>
      </c>
      <c r="D461" s="47">
        <v>100</v>
      </c>
      <c r="E461" s="28">
        <v>48.4</v>
      </c>
      <c r="F461" s="24">
        <v>313</v>
      </c>
      <c r="G461" s="28">
        <v>1301</v>
      </c>
      <c r="H461" s="24">
        <v>26.1</v>
      </c>
      <c r="I461" s="24">
        <v>22.2</v>
      </c>
      <c r="J461" s="24">
        <v>2.2000000000000002</v>
      </c>
      <c r="K461" s="28">
        <v>0</v>
      </c>
      <c r="L461" s="28">
        <v>0.22</v>
      </c>
      <c r="M461" s="24">
        <v>0</v>
      </c>
      <c r="N461" s="28">
        <v>1.2</v>
      </c>
      <c r="O461" s="25">
        <v>20</v>
      </c>
      <c r="P461" s="25">
        <v>1.3</v>
      </c>
      <c r="Q461" s="28">
        <v>320</v>
      </c>
      <c r="R461" s="25">
        <v>121</v>
      </c>
      <c r="S461" s="28">
        <v>1.4</v>
      </c>
      <c r="T461" s="28">
        <v>16</v>
      </c>
      <c r="U461" s="28">
        <v>138</v>
      </c>
      <c r="V461" s="28">
        <v>0.11</v>
      </c>
      <c r="W461" s="28">
        <v>0.15</v>
      </c>
      <c r="X461" s="28">
        <v>5.3</v>
      </c>
      <c r="Y461" s="28">
        <v>18</v>
      </c>
      <c r="Z461" s="28">
        <v>0.25</v>
      </c>
      <c r="AA461" s="25">
        <v>0</v>
      </c>
      <c r="AB461" s="25">
        <v>34</v>
      </c>
      <c r="AC461" s="25">
        <v>0</v>
      </c>
      <c r="AD461" s="28">
        <v>5.9</v>
      </c>
      <c r="AE461" s="28">
        <v>8.9</v>
      </c>
      <c r="AF461" s="28">
        <v>5</v>
      </c>
      <c r="AG461" s="28">
        <v>100</v>
      </c>
      <c r="AH461" s="24">
        <v>80</v>
      </c>
      <c r="AI461" s="28">
        <v>38</v>
      </c>
      <c r="AJ461" s="13" t="str">
        <f xml:space="preserve"> IF(AD461&gt;F461,"Exceso en grasa saturada",IFERROR(IF(F461=0,"No tiene sello",IF((AD461*9)*100/F461&gt;10,"Exceso en grasa saturada","No tiene sello")),"No tiene sello"))</f>
        <v>Exceso en grasa saturada</v>
      </c>
      <c r="AK461" s="13">
        <f>IF(AJ461="No tiene sello",0,1)</f>
        <v>1</v>
      </c>
      <c r="AL461" s="13" t="str">
        <f>IF(Q461&gt;=300,"Exceso en sodio",IFERROR(IF(AND(F461=0,Q461&gt;0),"No tiene sello",IF(Q461/F461&gt;1,"Exceso en sodio","No tiene sello")),"No tiene sello"))</f>
        <v>Exceso en sodio</v>
      </c>
      <c r="AM461" s="13" t="str">
        <f>IFERROR(IF(F461=0,"No tiene sello",IF(+(AG461/1000)*9*100/F461&gt;1,"Exceso en grasa trans", "No tiene sello")),"No tiene sello")</f>
        <v>No tiene sello</v>
      </c>
    </row>
    <row r="462" spans="1:39" ht="13.5" customHeight="1" x14ac:dyDescent="0.25">
      <c r="A462" s="20" t="s">
        <v>727</v>
      </c>
      <c r="B462" s="20" t="s">
        <v>729</v>
      </c>
      <c r="C462" s="20" t="s">
        <v>728</v>
      </c>
      <c r="D462" s="46">
        <v>100</v>
      </c>
      <c r="E462" s="23">
        <v>67</v>
      </c>
      <c r="F462" s="24">
        <v>164</v>
      </c>
      <c r="G462" s="23">
        <v>690</v>
      </c>
      <c r="H462" s="24">
        <v>26.9</v>
      </c>
      <c r="I462" s="24">
        <v>6.3</v>
      </c>
      <c r="J462" s="24">
        <v>0</v>
      </c>
      <c r="K462" s="23">
        <v>0</v>
      </c>
      <c r="L462" s="23">
        <v>0</v>
      </c>
      <c r="M462" s="24">
        <v>0</v>
      </c>
      <c r="N462" s="23">
        <v>0.7</v>
      </c>
      <c r="O462" s="25">
        <v>12</v>
      </c>
      <c r="P462" s="25">
        <v>1.1000000000000001</v>
      </c>
      <c r="Q462" s="23">
        <v>67</v>
      </c>
      <c r="R462" s="25">
        <v>134</v>
      </c>
      <c r="S462" s="23">
        <v>2</v>
      </c>
      <c r="T462" s="23">
        <v>18</v>
      </c>
      <c r="U462" s="23">
        <v>156</v>
      </c>
      <c r="V462" s="23">
        <v>0.04</v>
      </c>
      <c r="W462" s="23">
        <v>0.11</v>
      </c>
      <c r="X462" s="23">
        <v>5.2</v>
      </c>
      <c r="Y462" s="23">
        <v>3</v>
      </c>
      <c r="Z462" s="23">
        <v>0.22</v>
      </c>
      <c r="AA462" s="25">
        <v>2</v>
      </c>
      <c r="AB462" s="25">
        <v>16</v>
      </c>
      <c r="AC462" s="25">
        <v>0</v>
      </c>
      <c r="AD462" s="23">
        <v>2</v>
      </c>
      <c r="AE462" s="23">
        <v>2.2999999999999998</v>
      </c>
      <c r="AF462" s="23">
        <v>1.6</v>
      </c>
      <c r="AG462" s="23">
        <v>0</v>
      </c>
      <c r="AH462" s="24">
        <v>74</v>
      </c>
      <c r="AI462" s="23">
        <v>38</v>
      </c>
      <c r="AJ462" s="13" t="str">
        <f xml:space="preserve"> IF(AD462&gt;F462,"Exceso en grasa saturada",IFERROR(IF(F462=0,"No tiene sello",IF((AD462*9)*100/F462&gt;10,"Exceso en grasa saturada","No tiene sello")),"No tiene sello"))</f>
        <v>Exceso en grasa saturada</v>
      </c>
      <c r="AK462" s="13">
        <f>IF(AJ462="No tiene sello",0,1)</f>
        <v>1</v>
      </c>
      <c r="AL462" s="13" t="str">
        <f>IF(Q462&gt;=300,"Exceso en sodio",IFERROR(IF(AND(F462=0,Q462&gt;0),"No tiene sello",IF(Q462/F462&gt;1,"Exceso en sodio","No tiene sello")),"No tiene sello"))</f>
        <v>No tiene sello</v>
      </c>
      <c r="AM462" s="13" t="str">
        <f>IFERROR(IF(F462=0,"No tiene sello",IF(+(AG462/1000)*9*100/F462&gt;1,"Exceso en grasa trans", "No tiene sello")),"No tiene sello")</f>
        <v>No tiene sello</v>
      </c>
    </row>
    <row r="463" spans="1:39" ht="13.5" customHeight="1" x14ac:dyDescent="0.25">
      <c r="A463" s="26" t="s">
        <v>725</v>
      </c>
      <c r="B463" s="26" t="s">
        <v>726</v>
      </c>
      <c r="C463" s="26" t="s">
        <v>723</v>
      </c>
      <c r="D463" s="47">
        <v>100</v>
      </c>
      <c r="E463" s="28">
        <v>61.9</v>
      </c>
      <c r="F463" s="24">
        <v>221</v>
      </c>
      <c r="G463" s="28">
        <v>922</v>
      </c>
      <c r="H463" s="24">
        <v>22.9</v>
      </c>
      <c r="I463" s="24">
        <v>14.4</v>
      </c>
      <c r="J463" s="24">
        <v>0</v>
      </c>
      <c r="K463" s="28">
        <v>0</v>
      </c>
      <c r="L463" s="28">
        <v>0</v>
      </c>
      <c r="M463" s="24">
        <v>0</v>
      </c>
      <c r="N463" s="28">
        <v>0.8</v>
      </c>
      <c r="O463" s="25">
        <v>11</v>
      </c>
      <c r="P463" s="25">
        <v>1.4</v>
      </c>
      <c r="Q463" s="28">
        <v>71</v>
      </c>
      <c r="R463" s="25">
        <v>139</v>
      </c>
      <c r="S463" s="28">
        <v>2.2000000000000002</v>
      </c>
      <c r="T463" s="28">
        <v>21</v>
      </c>
      <c r="U463" s="28">
        <v>170</v>
      </c>
      <c r="V463" s="28">
        <v>0.06</v>
      </c>
      <c r="W463" s="28">
        <v>0.19</v>
      </c>
      <c r="X463" s="28">
        <v>4.9000000000000004</v>
      </c>
      <c r="Y463" s="28">
        <v>6</v>
      </c>
      <c r="Z463" s="28">
        <v>0.19</v>
      </c>
      <c r="AA463" s="25">
        <v>0</v>
      </c>
      <c r="AB463" s="25">
        <v>44</v>
      </c>
      <c r="AC463" s="25">
        <v>0</v>
      </c>
      <c r="AD463" s="28">
        <v>4.0999999999999996</v>
      </c>
      <c r="AE463" s="28">
        <v>5.8</v>
      </c>
      <c r="AF463" s="28">
        <v>3.2</v>
      </c>
      <c r="AG463" s="28">
        <v>50</v>
      </c>
      <c r="AH463" s="24">
        <v>84</v>
      </c>
      <c r="AI463" s="28">
        <v>55</v>
      </c>
      <c r="AJ463" s="13" t="str">
        <f xml:space="preserve"> IF(AD463&gt;F463,"Exceso en grasa saturada",IFERROR(IF(F463=0,"No tiene sello",IF((AD463*9)*100/F463&gt;10,"Exceso en grasa saturada","No tiene sello")),"No tiene sello"))</f>
        <v>Exceso en grasa saturada</v>
      </c>
      <c r="AK463" s="13">
        <f>IF(AJ463="No tiene sello",0,1)</f>
        <v>1</v>
      </c>
      <c r="AL463" s="13" t="str">
        <f>IF(Q463&gt;=300,"Exceso en sodio",IFERROR(IF(AND(F463=0,Q463&gt;0),"No tiene sello",IF(Q463/F463&gt;1,"Exceso en sodio","No tiene sello")),"No tiene sello"))</f>
        <v>No tiene sello</v>
      </c>
      <c r="AM463" s="13" t="str">
        <f>IFERROR(IF(F463=0,"No tiene sello",IF(+(AG463/1000)*9*100/F463&gt;1,"Exceso en grasa trans", "No tiene sello")),"No tiene sello")</f>
        <v>No tiene sello</v>
      </c>
    </row>
    <row r="464" spans="1:39" ht="13.5" customHeight="1" x14ac:dyDescent="0.25">
      <c r="A464" s="20" t="s">
        <v>722</v>
      </c>
      <c r="B464" s="20" t="s">
        <v>724</v>
      </c>
      <c r="C464" s="20" t="s">
        <v>723</v>
      </c>
      <c r="D464" s="46">
        <v>100</v>
      </c>
      <c r="E464" s="23">
        <v>67</v>
      </c>
      <c r="F464" s="24">
        <v>205</v>
      </c>
      <c r="G464" s="23">
        <v>851</v>
      </c>
      <c r="H464" s="24">
        <v>17.100000000000001</v>
      </c>
      <c r="I464" s="24">
        <v>15.1</v>
      </c>
      <c r="J464" s="24">
        <v>0</v>
      </c>
      <c r="K464" s="23">
        <v>0</v>
      </c>
      <c r="L464" s="23">
        <v>0</v>
      </c>
      <c r="M464" s="24">
        <v>0</v>
      </c>
      <c r="N464" s="23">
        <v>0.8</v>
      </c>
      <c r="O464" s="25">
        <v>10</v>
      </c>
      <c r="P464" s="25">
        <v>0.7</v>
      </c>
      <c r="Q464" s="23">
        <v>76</v>
      </c>
      <c r="R464" s="25">
        <v>145</v>
      </c>
      <c r="S464" s="23">
        <v>1.6</v>
      </c>
      <c r="T464" s="23">
        <v>19</v>
      </c>
      <c r="U464" s="23">
        <v>198</v>
      </c>
      <c r="V464" s="23">
        <v>7.0000000000000007E-2</v>
      </c>
      <c r="W464" s="23">
        <v>0.15</v>
      </c>
      <c r="X464" s="23">
        <v>4.7</v>
      </c>
      <c r="Y464" s="23">
        <v>3</v>
      </c>
      <c r="Z464" s="23">
        <v>0.62</v>
      </c>
      <c r="AA464" s="25">
        <v>0</v>
      </c>
      <c r="AB464" s="25">
        <v>42</v>
      </c>
      <c r="AC464" s="25">
        <v>0</v>
      </c>
      <c r="AD464" s="23">
        <v>4.3</v>
      </c>
      <c r="AE464" s="23">
        <v>6.3</v>
      </c>
      <c r="AF464" s="23">
        <v>3.3</v>
      </c>
      <c r="AG464" s="23">
        <v>50</v>
      </c>
      <c r="AH464" s="24">
        <v>84</v>
      </c>
      <c r="AI464" s="23">
        <v>91</v>
      </c>
      <c r="AJ464" s="13" t="str">
        <f xml:space="preserve"> IF(AD464&gt;F464,"Exceso en grasa saturada",IFERROR(IF(F464=0,"No tiene sello",IF((AD464*9)*100/F464&gt;10,"Exceso en grasa saturada","No tiene sello")),"No tiene sello"))</f>
        <v>Exceso en grasa saturada</v>
      </c>
      <c r="AK464" s="13">
        <f>IF(AJ464="No tiene sello",0,1)</f>
        <v>1</v>
      </c>
      <c r="AL464" s="13" t="str">
        <f>IF(Q464&gt;=300,"Exceso en sodio",IFERROR(IF(AND(F464=0,Q464&gt;0),"No tiene sello",IF(Q464/F464&gt;1,"Exceso en sodio","No tiene sello")),"No tiene sello"))</f>
        <v>No tiene sello</v>
      </c>
      <c r="AM464" s="13" t="str">
        <f>IFERROR(IF(F464=0,"No tiene sello",IF(+(AG464/1000)*9*100/F464&gt;1,"Exceso en grasa trans", "No tiene sello")),"No tiene sello")</f>
        <v>No tiene sello</v>
      </c>
    </row>
    <row r="465" spans="1:39" ht="13.5" customHeight="1" x14ac:dyDescent="0.25">
      <c r="A465" s="26" t="s">
        <v>720</v>
      </c>
      <c r="B465" s="26" t="s">
        <v>721</v>
      </c>
      <c r="C465" s="26" t="s">
        <v>718</v>
      </c>
      <c r="D465" s="47">
        <v>100</v>
      </c>
      <c r="E465" s="28">
        <v>64.8</v>
      </c>
      <c r="F465" s="24">
        <v>186</v>
      </c>
      <c r="G465" s="28">
        <v>777</v>
      </c>
      <c r="H465" s="24">
        <v>24.7</v>
      </c>
      <c r="I465" s="24">
        <v>9.6999999999999993</v>
      </c>
      <c r="J465" s="24">
        <v>0</v>
      </c>
      <c r="K465" s="28">
        <v>0</v>
      </c>
      <c r="L465" s="28">
        <v>0</v>
      </c>
      <c r="M465" s="24">
        <v>0</v>
      </c>
      <c r="N465" s="28">
        <v>0.9</v>
      </c>
      <c r="O465" s="25">
        <v>11</v>
      </c>
      <c r="P465" s="25">
        <v>1.4</v>
      </c>
      <c r="Q465" s="28">
        <v>75</v>
      </c>
      <c r="R465" s="25">
        <v>149</v>
      </c>
      <c r="S465" s="28">
        <v>2.6</v>
      </c>
      <c r="T465" s="28">
        <v>20</v>
      </c>
      <c r="U465" s="28">
        <v>183</v>
      </c>
      <c r="V465" s="28">
        <v>0.06</v>
      </c>
      <c r="W465" s="28">
        <v>0.22</v>
      </c>
      <c r="X465" s="28">
        <v>5.2</v>
      </c>
      <c r="Y465" s="28">
        <v>7</v>
      </c>
      <c r="Z465" s="28">
        <v>0.21</v>
      </c>
      <c r="AA465" s="25">
        <v>0</v>
      </c>
      <c r="AB465" s="25">
        <v>19</v>
      </c>
      <c r="AC465" s="25">
        <v>0</v>
      </c>
      <c r="AD465" s="28">
        <v>2.7</v>
      </c>
      <c r="AE465" s="28">
        <v>3.7</v>
      </c>
      <c r="AF465" s="28">
        <v>2.2000000000000002</v>
      </c>
      <c r="AG465" s="28">
        <v>0</v>
      </c>
      <c r="AH465" s="24">
        <v>90</v>
      </c>
      <c r="AI465" s="28">
        <v>50</v>
      </c>
      <c r="AJ465" s="13" t="str">
        <f xml:space="preserve"> IF(AD465&gt;F465,"Exceso en grasa saturada",IFERROR(IF(F465=0,"No tiene sello",IF((AD465*9)*100/F465&gt;10,"Exceso en grasa saturada","No tiene sello")),"No tiene sello"))</f>
        <v>Exceso en grasa saturada</v>
      </c>
      <c r="AK465" s="13">
        <f>IF(AJ465="No tiene sello",0,1)</f>
        <v>1</v>
      </c>
      <c r="AL465" s="13" t="str">
        <f>IF(Q465&gt;=300,"Exceso en sodio",IFERROR(IF(AND(F465=0,Q465&gt;0),"No tiene sello",IF(Q465/F465&gt;1,"Exceso en sodio","No tiene sello")),"No tiene sello"))</f>
        <v>No tiene sello</v>
      </c>
      <c r="AM465" s="13" t="str">
        <f>IFERROR(IF(F465=0,"No tiene sello",IF(+(AG465/1000)*9*100/F465&gt;1,"Exceso en grasa trans", "No tiene sello")),"No tiene sello")</f>
        <v>No tiene sello</v>
      </c>
    </row>
    <row r="466" spans="1:39" ht="13.5" customHeight="1" x14ac:dyDescent="0.25">
      <c r="A466" s="20" t="s">
        <v>717</v>
      </c>
      <c r="B466" s="20" t="s">
        <v>719</v>
      </c>
      <c r="C466" s="20" t="s">
        <v>718</v>
      </c>
      <c r="D466" s="46">
        <v>100</v>
      </c>
      <c r="E466" s="23">
        <v>74.8</v>
      </c>
      <c r="F466" s="24">
        <v>139</v>
      </c>
      <c r="G466" s="23">
        <v>580</v>
      </c>
      <c r="H466" s="24">
        <v>18.899999999999999</v>
      </c>
      <c r="I466" s="24">
        <v>7</v>
      </c>
      <c r="J466" s="24">
        <v>0</v>
      </c>
      <c r="K466" s="23">
        <v>0</v>
      </c>
      <c r="L466" s="23">
        <v>0</v>
      </c>
      <c r="M466" s="24">
        <v>0</v>
      </c>
      <c r="N466" s="23">
        <v>1</v>
      </c>
      <c r="O466" s="25">
        <v>7</v>
      </c>
      <c r="P466" s="25">
        <v>0.8</v>
      </c>
      <c r="Q466" s="23">
        <v>90</v>
      </c>
      <c r="R466" s="25">
        <v>184</v>
      </c>
      <c r="S466" s="23">
        <v>1.6</v>
      </c>
      <c r="T466" s="23">
        <v>24</v>
      </c>
      <c r="U466" s="23">
        <v>240</v>
      </c>
      <c r="V466" s="23">
        <v>0.08</v>
      </c>
      <c r="W466" s="23">
        <v>0.2</v>
      </c>
      <c r="X466" s="23">
        <v>5.8</v>
      </c>
      <c r="Y466" s="23">
        <v>4</v>
      </c>
      <c r="Z466" s="23">
        <v>0.61</v>
      </c>
      <c r="AA466" s="25">
        <v>0</v>
      </c>
      <c r="AB466" s="25">
        <v>7</v>
      </c>
      <c r="AC466" s="25">
        <v>0</v>
      </c>
      <c r="AD466" s="23">
        <v>2.1</v>
      </c>
      <c r="AE466" s="23">
        <v>2.9</v>
      </c>
      <c r="AF466" s="23">
        <v>1.7</v>
      </c>
      <c r="AG466" s="23">
        <v>0</v>
      </c>
      <c r="AH466" s="24">
        <v>94</v>
      </c>
      <c r="AI466" s="23">
        <v>91</v>
      </c>
      <c r="AJ466" s="13" t="str">
        <f xml:space="preserve"> IF(AD466&gt;F466,"Exceso en grasa saturada",IFERROR(IF(F466=0,"No tiene sello",IF((AD466*9)*100/F466&gt;10,"Exceso en grasa saturada","No tiene sello")),"No tiene sello"))</f>
        <v>Exceso en grasa saturada</v>
      </c>
      <c r="AK466" s="13">
        <f>IF(AJ466="No tiene sello",0,1)</f>
        <v>1</v>
      </c>
      <c r="AL466" s="13" t="str">
        <f>IF(Q466&gt;=300,"Exceso en sodio",IFERROR(IF(AND(F466=0,Q466&gt;0),"No tiene sello",IF(Q466/F466&gt;1,"Exceso en sodio","No tiene sello")),"No tiene sello"))</f>
        <v>No tiene sello</v>
      </c>
      <c r="AM466" s="13" t="str">
        <f>IFERROR(IF(F466=0,"No tiene sello",IF(+(AG466/1000)*9*100/F466&gt;1,"Exceso en grasa trans", "No tiene sello")),"No tiene sello")</f>
        <v>No tiene sello</v>
      </c>
    </row>
    <row r="467" spans="1:39" ht="13.5" customHeight="1" x14ac:dyDescent="0.25">
      <c r="A467" s="26" t="s">
        <v>715</v>
      </c>
      <c r="B467" s="26" t="s">
        <v>716</v>
      </c>
      <c r="C467" s="26" t="s">
        <v>645</v>
      </c>
      <c r="D467" s="47">
        <v>100</v>
      </c>
      <c r="E467" s="28">
        <v>73</v>
      </c>
      <c r="F467" s="24">
        <v>151</v>
      </c>
      <c r="G467" s="28">
        <v>632</v>
      </c>
      <c r="H467" s="24">
        <v>15.6</v>
      </c>
      <c r="I467" s="24">
        <v>9.3000000000000007</v>
      </c>
      <c r="J467" s="24">
        <v>1.3</v>
      </c>
      <c r="K467" s="28">
        <v>0</v>
      </c>
      <c r="L467" s="28">
        <v>0.13</v>
      </c>
      <c r="M467" s="24">
        <v>0</v>
      </c>
      <c r="N467" s="28">
        <v>0.8</v>
      </c>
      <c r="O467" s="25">
        <v>12</v>
      </c>
      <c r="P467" s="25">
        <v>6</v>
      </c>
      <c r="Q467" s="28">
        <v>74</v>
      </c>
      <c r="R467" s="25">
        <v>176</v>
      </c>
      <c r="S467" s="28">
        <v>6.6</v>
      </c>
      <c r="T467" s="28">
        <v>15</v>
      </c>
      <c r="U467" s="28">
        <v>176</v>
      </c>
      <c r="V467" s="28">
        <v>0.15</v>
      </c>
      <c r="W467" s="28">
        <v>0.73</v>
      </c>
      <c r="X467" s="28">
        <v>4.9000000000000004</v>
      </c>
      <c r="Y467" s="28">
        <v>72</v>
      </c>
      <c r="Z467" s="28">
        <v>7.29</v>
      </c>
      <c r="AA467" s="25">
        <v>3</v>
      </c>
      <c r="AB467" s="25">
        <v>9</v>
      </c>
      <c r="AC467" s="25">
        <v>0</v>
      </c>
      <c r="AD467" s="28">
        <v>2.7</v>
      </c>
      <c r="AE467" s="28">
        <v>2.4</v>
      </c>
      <c r="AF467" s="28">
        <v>2.7</v>
      </c>
      <c r="AG467" s="28">
        <v>10</v>
      </c>
      <c r="AH467" s="24">
        <v>136</v>
      </c>
      <c r="AI467" s="28">
        <v>100</v>
      </c>
      <c r="AJ467" s="13" t="str">
        <f xml:space="preserve"> IF(AD467&gt;F467,"Exceso en grasa saturada",IFERROR(IF(F467=0,"No tiene sello",IF((AD467*9)*100/F467&gt;10,"Exceso en grasa saturada","No tiene sello")),"No tiene sello"))</f>
        <v>Exceso en grasa saturada</v>
      </c>
      <c r="AK467" s="13">
        <f>IF(AJ467="No tiene sello",0,1)</f>
        <v>1</v>
      </c>
      <c r="AL467" s="13" t="str">
        <f>IF(Q467&gt;=300,"Exceso en sodio",IFERROR(IF(AND(F467=0,Q467&gt;0),"No tiene sello",IF(Q467/F467&gt;1,"Exceso en sodio","No tiene sello")),"No tiene sello"))</f>
        <v>No tiene sello</v>
      </c>
      <c r="AM467" s="13" t="str">
        <f>IFERROR(IF(F467=0,"No tiene sello",IF(+(AG467/1000)*9*100/F467&gt;1,"Exceso en grasa trans", "No tiene sello")),"No tiene sello")</f>
        <v>No tiene sello</v>
      </c>
    </row>
    <row r="468" spans="1:39" ht="13.5" customHeight="1" x14ac:dyDescent="0.25">
      <c r="A468" s="20" t="s">
        <v>713</v>
      </c>
      <c r="B468" s="20" t="s">
        <v>714</v>
      </c>
      <c r="C468" s="21"/>
      <c r="D468" s="46">
        <v>100</v>
      </c>
      <c r="E468" s="23">
        <v>70.3</v>
      </c>
      <c r="F468" s="24">
        <v>167</v>
      </c>
      <c r="G468" s="23">
        <v>696</v>
      </c>
      <c r="H468" s="24">
        <v>18.100000000000001</v>
      </c>
      <c r="I468" s="24">
        <v>10.3</v>
      </c>
      <c r="J468" s="24">
        <v>0.4</v>
      </c>
      <c r="K468" s="23">
        <v>0</v>
      </c>
      <c r="L468" s="23">
        <v>0.04</v>
      </c>
      <c r="M468" s="24">
        <v>0</v>
      </c>
      <c r="N468" s="23">
        <v>0.9</v>
      </c>
      <c r="O468" s="25">
        <v>12</v>
      </c>
      <c r="P468" s="25">
        <v>0.7</v>
      </c>
      <c r="Q468" s="23">
        <v>70</v>
      </c>
      <c r="R468" s="25">
        <v>200</v>
      </c>
      <c r="S468" s="23">
        <v>1.5</v>
      </c>
      <c r="T468" s="23">
        <v>24</v>
      </c>
      <c r="U468" s="23">
        <v>239</v>
      </c>
      <c r="V468" s="23">
        <v>0.08</v>
      </c>
      <c r="W468" s="23">
        <v>0.16</v>
      </c>
      <c r="X468" s="23">
        <v>6.6</v>
      </c>
      <c r="Y468" s="23">
        <v>5</v>
      </c>
      <c r="Z468" s="23">
        <v>0.34</v>
      </c>
      <c r="AA468" s="25">
        <v>2</v>
      </c>
      <c r="AB468" s="25">
        <v>16</v>
      </c>
      <c r="AC468" s="25">
        <v>0</v>
      </c>
      <c r="AD468" s="23">
        <v>2.9</v>
      </c>
      <c r="AE468" s="23">
        <v>3.4</v>
      </c>
      <c r="AF468" s="23">
        <v>4</v>
      </c>
      <c r="AG468" s="23">
        <v>50</v>
      </c>
      <c r="AH468" s="24">
        <v>75</v>
      </c>
      <c r="AI468" s="23">
        <v>60</v>
      </c>
      <c r="AJ468" s="13" t="str">
        <f xml:space="preserve"> IF(AD468&gt;F468,"Exceso en grasa saturada",IFERROR(IF(F468=0,"No tiene sello",IF((AD468*9)*100/F468&gt;10,"Exceso en grasa saturada","No tiene sello")),"No tiene sello"))</f>
        <v>Exceso en grasa saturada</v>
      </c>
      <c r="AK468" s="13">
        <f>IF(AJ468="No tiene sello",0,1)</f>
        <v>1</v>
      </c>
      <c r="AL468" s="13" t="str">
        <f>IF(Q468&gt;=300,"Exceso en sodio",IFERROR(IF(AND(F468=0,Q468&gt;0),"No tiene sello",IF(Q468/F468&gt;1,"Exceso en sodio","No tiene sello")),"No tiene sello"))</f>
        <v>No tiene sello</v>
      </c>
      <c r="AM468" s="13" t="str">
        <f>IFERROR(IF(F468=0,"No tiene sello",IF(+(AG468/1000)*9*100/F468&gt;1,"Exceso en grasa trans", "No tiene sello")),"No tiene sello")</f>
        <v>No tiene sello</v>
      </c>
    </row>
    <row r="469" spans="1:39" ht="13.5" customHeight="1" x14ac:dyDescent="0.25">
      <c r="A469" s="26" t="s">
        <v>711</v>
      </c>
      <c r="B469" s="26" t="s">
        <v>712</v>
      </c>
      <c r="C469" s="26" t="s">
        <v>635</v>
      </c>
      <c r="D469" s="47">
        <v>100</v>
      </c>
      <c r="E469" s="28">
        <v>66.8</v>
      </c>
      <c r="F469" s="24">
        <v>160</v>
      </c>
      <c r="G469" s="28">
        <v>671</v>
      </c>
      <c r="H469" s="24">
        <v>24.4</v>
      </c>
      <c r="I469" s="24">
        <v>6.5</v>
      </c>
      <c r="J469" s="24">
        <v>0.9</v>
      </c>
      <c r="K469" s="28">
        <v>0</v>
      </c>
      <c r="L469" s="28">
        <v>0.09</v>
      </c>
      <c r="M469" s="24">
        <v>0</v>
      </c>
      <c r="N469" s="28">
        <v>1.4</v>
      </c>
      <c r="O469" s="25">
        <v>11</v>
      </c>
      <c r="P469" s="25">
        <v>11.6</v>
      </c>
      <c r="Q469" s="28">
        <v>76</v>
      </c>
      <c r="R469" s="25">
        <v>405</v>
      </c>
      <c r="S469" s="28">
        <v>4</v>
      </c>
      <c r="T469" s="28">
        <v>25</v>
      </c>
      <c r="U469" s="28">
        <v>262</v>
      </c>
      <c r="V469" s="28">
        <v>0.28999999999999998</v>
      </c>
      <c r="W469" s="28">
        <v>1.99</v>
      </c>
      <c r="X469" s="28">
        <v>11</v>
      </c>
      <c r="Y469" s="28">
        <v>578</v>
      </c>
      <c r="Z469" s="28">
        <v>16.850000000000001</v>
      </c>
      <c r="AA469" s="25">
        <v>28</v>
      </c>
      <c r="AB469" s="25">
        <v>3990</v>
      </c>
      <c r="AC469" s="25">
        <v>0.5</v>
      </c>
      <c r="AD469" s="28">
        <v>1.8</v>
      </c>
      <c r="AE469" s="28">
        <v>1.3</v>
      </c>
      <c r="AF469" s="28">
        <v>0.9</v>
      </c>
      <c r="AG469" s="28">
        <v>10</v>
      </c>
      <c r="AH469" s="24">
        <v>563</v>
      </c>
      <c r="AI469" s="28">
        <v>100</v>
      </c>
      <c r="AJ469" s="13" t="str">
        <f xml:space="preserve"> IF(AD469&gt;F469,"Exceso en grasa saturada",IFERROR(IF(F469=0,"No tiene sello",IF((AD469*9)*100/F469&gt;10,"Exceso en grasa saturada","No tiene sello")),"No tiene sello"))</f>
        <v>Exceso en grasa saturada</v>
      </c>
      <c r="AK469" s="13">
        <f>IF(AJ469="No tiene sello",0,1)</f>
        <v>1</v>
      </c>
      <c r="AL469" s="13" t="str">
        <f>IF(Q469&gt;=300,"Exceso en sodio",IFERROR(IF(AND(F469=0,Q469&gt;0),"No tiene sello",IF(Q469/F469&gt;1,"Exceso en sodio","No tiene sello")),"No tiene sello"))</f>
        <v>No tiene sello</v>
      </c>
      <c r="AM469" s="13" t="str">
        <f>IFERROR(IF(F469=0,"No tiene sello",IF(+(AG469/1000)*9*100/F469&gt;1,"Exceso en grasa trans", "No tiene sello")),"No tiene sello")</f>
        <v>No tiene sello</v>
      </c>
    </row>
    <row r="470" spans="1:39" ht="13.5" customHeight="1" x14ac:dyDescent="0.25">
      <c r="A470" s="20" t="s">
        <v>709</v>
      </c>
      <c r="B470" s="20" t="s">
        <v>710</v>
      </c>
      <c r="C470" s="20" t="s">
        <v>635</v>
      </c>
      <c r="D470" s="46">
        <v>100</v>
      </c>
      <c r="E470" s="23">
        <v>76.5</v>
      </c>
      <c r="F470" s="24">
        <v>109</v>
      </c>
      <c r="G470" s="23">
        <v>458</v>
      </c>
      <c r="H470" s="24">
        <v>17.2</v>
      </c>
      <c r="I470" s="24">
        <v>3.9</v>
      </c>
      <c r="J470" s="24">
        <v>1.2</v>
      </c>
      <c r="K470" s="23">
        <v>0</v>
      </c>
      <c r="L470" s="23">
        <v>0.12</v>
      </c>
      <c r="M470" s="24">
        <v>0</v>
      </c>
      <c r="N470" s="23">
        <v>1.2</v>
      </c>
      <c r="O470" s="25">
        <v>11</v>
      </c>
      <c r="P470" s="25">
        <v>8.6</v>
      </c>
      <c r="Q470" s="23">
        <v>79</v>
      </c>
      <c r="R470" s="25">
        <v>272</v>
      </c>
      <c r="S470" s="23">
        <v>3.1</v>
      </c>
      <c r="T470" s="23">
        <v>21</v>
      </c>
      <c r="U470" s="23">
        <v>234</v>
      </c>
      <c r="V470" s="23">
        <v>0.31</v>
      </c>
      <c r="W470" s="23">
        <v>1.78</v>
      </c>
      <c r="X470" s="23">
        <v>9.6999999999999993</v>
      </c>
      <c r="Y470" s="23">
        <v>588</v>
      </c>
      <c r="Z470" s="23">
        <v>16.579999999999998</v>
      </c>
      <c r="AA470" s="25">
        <v>32</v>
      </c>
      <c r="AB470" s="25">
        <v>3313</v>
      </c>
      <c r="AC470" s="25">
        <v>0.5</v>
      </c>
      <c r="AD470" s="23">
        <v>1.3</v>
      </c>
      <c r="AE470" s="23">
        <v>1</v>
      </c>
      <c r="AF470" s="23">
        <v>0.6</v>
      </c>
      <c r="AG470" s="23">
        <v>10</v>
      </c>
      <c r="AH470" s="24">
        <v>345</v>
      </c>
      <c r="AI470" s="23">
        <v>100</v>
      </c>
      <c r="AJ470" s="13" t="str">
        <f xml:space="preserve"> IF(AD470&gt;F470,"Exceso en grasa saturada",IFERROR(IF(F470=0,"No tiene sello",IF((AD470*9)*100/F470&gt;10,"Exceso en grasa saturada","No tiene sello")),"No tiene sello"))</f>
        <v>Exceso en grasa saturada</v>
      </c>
      <c r="AK470" s="13">
        <f>IF(AJ470="No tiene sello",0,1)</f>
        <v>1</v>
      </c>
      <c r="AL470" s="13" t="str">
        <f>IF(Q470&gt;=300,"Exceso en sodio",IFERROR(IF(AND(F470=0,Q470&gt;0),"No tiene sello",IF(Q470/F470&gt;1,"Exceso en sodio","No tiene sello")),"No tiene sello"))</f>
        <v>No tiene sello</v>
      </c>
      <c r="AM470" s="13" t="str">
        <f>IFERROR(IF(F470=0,"No tiene sello",IF(+(AG470/1000)*9*100/F470&gt;1,"Exceso en grasa trans", "No tiene sello")),"No tiene sello")</f>
        <v>No tiene sello</v>
      </c>
    </row>
    <row r="471" spans="1:39" ht="13.5" customHeight="1" x14ac:dyDescent="0.25">
      <c r="A471" s="26" t="s">
        <v>707</v>
      </c>
      <c r="B471" s="26" t="s">
        <v>708</v>
      </c>
      <c r="C471" s="26" t="s">
        <v>705</v>
      </c>
      <c r="D471" s="47">
        <v>100</v>
      </c>
      <c r="E471" s="28">
        <v>67.7</v>
      </c>
      <c r="F471" s="24">
        <v>145</v>
      </c>
      <c r="G471" s="28">
        <v>611</v>
      </c>
      <c r="H471" s="24">
        <v>26.1</v>
      </c>
      <c r="I471" s="24">
        <v>4.5</v>
      </c>
      <c r="J471" s="24">
        <v>0</v>
      </c>
      <c r="K471" s="28">
        <v>0</v>
      </c>
      <c r="L471" s="28">
        <v>0</v>
      </c>
      <c r="M471" s="24">
        <v>0</v>
      </c>
      <c r="N471" s="28">
        <v>1.6</v>
      </c>
      <c r="O471" s="25">
        <v>11</v>
      </c>
      <c r="P471" s="25">
        <v>6.6</v>
      </c>
      <c r="Q471" s="28">
        <v>67</v>
      </c>
      <c r="R471" s="25">
        <v>287</v>
      </c>
      <c r="S471" s="28">
        <v>4.3</v>
      </c>
      <c r="T471" s="28">
        <v>17</v>
      </c>
      <c r="U471" s="28">
        <v>220</v>
      </c>
      <c r="V471" s="28">
        <v>0.15</v>
      </c>
      <c r="W471" s="28">
        <v>1.05</v>
      </c>
      <c r="X471" s="28">
        <v>5.6</v>
      </c>
      <c r="Y471" s="28">
        <v>333</v>
      </c>
      <c r="Z471" s="28">
        <v>9.4600000000000009</v>
      </c>
      <c r="AA471" s="25">
        <v>8</v>
      </c>
      <c r="AB471" s="25">
        <v>1764</v>
      </c>
      <c r="AC471" s="25">
        <v>0</v>
      </c>
      <c r="AD471" s="28">
        <v>1.3</v>
      </c>
      <c r="AE471" s="28">
        <v>1</v>
      </c>
      <c r="AF471" s="28">
        <v>0.8</v>
      </c>
      <c r="AG471" s="28">
        <v>10</v>
      </c>
      <c r="AH471" s="24">
        <v>442</v>
      </c>
      <c r="AI471" s="28">
        <v>100</v>
      </c>
      <c r="AJ471" s="13" t="str">
        <f xml:space="preserve"> IF(AD471&gt;F471,"Exceso en grasa saturada",IFERROR(IF(F471=0,"No tiene sello",IF((AD471*9)*100/F471&gt;10,"Exceso en grasa saturada","No tiene sello")),"No tiene sello"))</f>
        <v>No tiene sello</v>
      </c>
      <c r="AK471" s="13">
        <f>IF(AJ471="No tiene sello",0,1)</f>
        <v>0</v>
      </c>
      <c r="AL471" s="13" t="str">
        <f>IF(Q471&gt;=300,"Exceso en sodio",IFERROR(IF(AND(F471=0,Q471&gt;0),"No tiene sello",IF(Q471/F471&gt;1,"Exceso en sodio","No tiene sello")),"No tiene sello"))</f>
        <v>No tiene sello</v>
      </c>
      <c r="AM471" s="13" t="str">
        <f>IFERROR(IF(F471=0,"No tiene sello",IF(+(AG471/1000)*9*100/F471&gt;1,"Exceso en grasa trans", "No tiene sello")),"No tiene sello")</f>
        <v>No tiene sello</v>
      </c>
    </row>
    <row r="472" spans="1:39" ht="13.5" customHeight="1" x14ac:dyDescent="0.25">
      <c r="A472" s="20" t="s">
        <v>704</v>
      </c>
      <c r="B472" s="20" t="s">
        <v>706</v>
      </c>
      <c r="C472" s="20" t="s">
        <v>705</v>
      </c>
      <c r="D472" s="46">
        <v>100</v>
      </c>
      <c r="E472" s="23">
        <v>73.099999999999994</v>
      </c>
      <c r="F472" s="24">
        <v>139</v>
      </c>
      <c r="G472" s="23">
        <v>581</v>
      </c>
      <c r="H472" s="24">
        <v>17.399999999999999</v>
      </c>
      <c r="I472" s="24">
        <v>7</v>
      </c>
      <c r="J472" s="24">
        <v>1.5</v>
      </c>
      <c r="K472" s="23">
        <v>0</v>
      </c>
      <c r="L472" s="23">
        <v>0.15</v>
      </c>
      <c r="M472" s="24">
        <v>0</v>
      </c>
      <c r="N472" s="23">
        <v>1</v>
      </c>
      <c r="O472" s="25">
        <v>10</v>
      </c>
      <c r="P472" s="25">
        <v>5.7</v>
      </c>
      <c r="Q472" s="23">
        <v>77</v>
      </c>
      <c r="R472" s="25">
        <v>198</v>
      </c>
      <c r="S472" s="23">
        <v>3</v>
      </c>
      <c r="T472" s="23">
        <v>18</v>
      </c>
      <c r="U472" s="23">
        <v>228</v>
      </c>
      <c r="V472" s="23">
        <v>0.12</v>
      </c>
      <c r="W472" s="23">
        <v>0.91</v>
      </c>
      <c r="X472" s="23">
        <v>6.2</v>
      </c>
      <c r="Y472" s="23">
        <v>346</v>
      </c>
      <c r="Z472" s="23">
        <v>11.28</v>
      </c>
      <c r="AA472" s="25">
        <v>13</v>
      </c>
      <c r="AB472" s="25">
        <v>2657</v>
      </c>
      <c r="AC472" s="25">
        <v>0</v>
      </c>
      <c r="AD472" s="23">
        <v>1.6</v>
      </c>
      <c r="AE472" s="23">
        <v>1.5</v>
      </c>
      <c r="AF472" s="23">
        <v>1.3</v>
      </c>
      <c r="AG472" s="23">
        <v>10</v>
      </c>
      <c r="AH472" s="24">
        <v>257</v>
      </c>
      <c r="AI472" s="23">
        <v>100</v>
      </c>
      <c r="AJ472" s="13" t="str">
        <f xml:space="preserve"> IF(AD472&gt;F472,"Exceso en grasa saturada",IFERROR(IF(F472=0,"No tiene sello",IF((AD472*9)*100/F472&gt;10,"Exceso en grasa saturada","No tiene sello")),"No tiene sello"))</f>
        <v>Exceso en grasa saturada</v>
      </c>
      <c r="AK472" s="13">
        <f>IF(AJ472="No tiene sello",0,1)</f>
        <v>1</v>
      </c>
      <c r="AL472" s="13" t="str">
        <f>IF(Q472&gt;=300,"Exceso en sodio",IFERROR(IF(AND(F472=0,Q472&gt;0),"No tiene sello",IF(Q472/F472&gt;1,"Exceso en sodio","No tiene sello")),"No tiene sello"))</f>
        <v>No tiene sello</v>
      </c>
      <c r="AM472" s="13" t="str">
        <f>IFERROR(IF(F472=0,"No tiene sello",IF(+(AG472/1000)*9*100/F472&gt;1,"Exceso en grasa trans", "No tiene sello")),"No tiene sello")</f>
        <v>No tiene sello</v>
      </c>
    </row>
    <row r="473" spans="1:39" ht="13.5" customHeight="1" x14ac:dyDescent="0.25">
      <c r="A473" s="26" t="s">
        <v>702</v>
      </c>
      <c r="B473" s="26" t="s">
        <v>703</v>
      </c>
      <c r="C473" s="26" t="s">
        <v>700</v>
      </c>
      <c r="D473" s="47">
        <v>100</v>
      </c>
      <c r="E473" s="28">
        <v>67.900000000000006</v>
      </c>
      <c r="F473" s="24">
        <v>138</v>
      </c>
      <c r="G473" s="28">
        <v>584</v>
      </c>
      <c r="H473" s="24">
        <v>27.1</v>
      </c>
      <c r="I473" s="24">
        <v>2.7</v>
      </c>
      <c r="J473" s="24">
        <v>1.4</v>
      </c>
      <c r="K473" s="28">
        <v>0</v>
      </c>
      <c r="L473" s="28">
        <v>0.14000000000000001</v>
      </c>
      <c r="M473" s="24">
        <v>0</v>
      </c>
      <c r="N473" s="28">
        <v>0.9</v>
      </c>
      <c r="O473" s="25">
        <v>17</v>
      </c>
      <c r="P473" s="25">
        <v>3.2</v>
      </c>
      <c r="Q473" s="28">
        <v>56</v>
      </c>
      <c r="R473" s="25">
        <v>189</v>
      </c>
      <c r="S473" s="28">
        <v>4.4000000000000004</v>
      </c>
      <c r="T473" s="28">
        <v>3</v>
      </c>
      <c r="U473" s="28">
        <v>179</v>
      </c>
      <c r="V473" s="28">
        <v>0.03</v>
      </c>
      <c r="W473" s="28">
        <v>0.21</v>
      </c>
      <c r="X473" s="28">
        <v>3.1</v>
      </c>
      <c r="Y473" s="28">
        <v>5</v>
      </c>
      <c r="Z473" s="28">
        <v>1.04</v>
      </c>
      <c r="AA473" s="25">
        <v>0</v>
      </c>
      <c r="AB473" s="25">
        <v>0</v>
      </c>
      <c r="AC473" s="25">
        <v>0</v>
      </c>
      <c r="AD473" s="28">
        <v>0.7</v>
      </c>
      <c r="AE473" s="28">
        <v>0.5</v>
      </c>
      <c r="AF473" s="28">
        <v>0.4</v>
      </c>
      <c r="AG473" s="28">
        <v>5</v>
      </c>
      <c r="AH473" s="24">
        <v>370</v>
      </c>
      <c r="AI473" s="28">
        <v>100</v>
      </c>
      <c r="AJ473" s="13" t="str">
        <f xml:space="preserve"> IF(AD473&gt;F473,"Exceso en grasa saturada",IFERROR(IF(F473=0,"No tiene sello",IF((AD473*9)*100/F473&gt;10,"Exceso en grasa saturada","No tiene sello")),"No tiene sello"))</f>
        <v>No tiene sello</v>
      </c>
      <c r="AK473" s="13">
        <f>IF(AJ473="No tiene sello",0,1)</f>
        <v>0</v>
      </c>
      <c r="AL473" s="13" t="str">
        <f>IF(Q473&gt;=300,"Exceso en sodio",IFERROR(IF(AND(F473=0,Q473&gt;0),"No tiene sello",IF(Q473/F473&gt;1,"Exceso en sodio","No tiene sello")),"No tiene sello"))</f>
        <v>No tiene sello</v>
      </c>
      <c r="AM473" s="13" t="str">
        <f>IFERROR(IF(F473=0,"No tiene sello",IF(+(AG473/1000)*9*100/F473&gt;1,"Exceso en grasa trans", "No tiene sello")),"No tiene sello")</f>
        <v>No tiene sello</v>
      </c>
    </row>
    <row r="474" spans="1:39" ht="13.5" customHeight="1" x14ac:dyDescent="0.25">
      <c r="A474" s="20" t="s">
        <v>699</v>
      </c>
      <c r="B474" s="20" t="s">
        <v>701</v>
      </c>
      <c r="C474" s="20" t="s">
        <v>700</v>
      </c>
      <c r="D474" s="46">
        <v>100</v>
      </c>
      <c r="E474" s="23">
        <v>79.3</v>
      </c>
      <c r="F474" s="24">
        <v>89</v>
      </c>
      <c r="G474" s="23">
        <v>375</v>
      </c>
      <c r="H474" s="24">
        <v>17.7</v>
      </c>
      <c r="I474" s="24">
        <v>2.1</v>
      </c>
      <c r="J474" s="24">
        <v>0</v>
      </c>
      <c r="K474" s="23">
        <v>0</v>
      </c>
      <c r="L474" s="23">
        <v>0</v>
      </c>
      <c r="M474" s="24">
        <v>0</v>
      </c>
      <c r="N474" s="23">
        <v>1</v>
      </c>
      <c r="O474" s="25">
        <v>11</v>
      </c>
      <c r="P474" s="25">
        <v>2.5</v>
      </c>
      <c r="Q474" s="23">
        <v>69</v>
      </c>
      <c r="R474" s="25">
        <v>148</v>
      </c>
      <c r="S474" s="23">
        <v>2.7</v>
      </c>
      <c r="T474" s="23">
        <v>15</v>
      </c>
      <c r="U474" s="23">
        <v>237</v>
      </c>
      <c r="V474" s="23">
        <v>0.03</v>
      </c>
      <c r="W474" s="23">
        <v>0.23</v>
      </c>
      <c r="X474" s="23">
        <v>3.7</v>
      </c>
      <c r="Y474" s="23">
        <v>5</v>
      </c>
      <c r="Z474" s="23">
        <v>1.21</v>
      </c>
      <c r="AA474" s="25">
        <v>4</v>
      </c>
      <c r="AB474" s="25">
        <v>19</v>
      </c>
      <c r="AC474" s="25">
        <v>0</v>
      </c>
      <c r="AD474" s="23">
        <v>0.5</v>
      </c>
      <c r="AE474" s="23">
        <v>0.5</v>
      </c>
      <c r="AF474" s="23">
        <v>0.4</v>
      </c>
      <c r="AG474" s="23">
        <v>5</v>
      </c>
      <c r="AH474" s="24">
        <v>240</v>
      </c>
      <c r="AI474" s="23">
        <v>100</v>
      </c>
      <c r="AJ474" s="13" t="str">
        <f xml:space="preserve"> IF(AD474&gt;F474,"Exceso en grasa saturada",IFERROR(IF(F474=0,"No tiene sello",IF((AD474*9)*100/F474&gt;10,"Exceso en grasa saturada","No tiene sello")),"No tiene sello"))</f>
        <v>No tiene sello</v>
      </c>
      <c r="AK474" s="13">
        <f>IF(AJ474="No tiene sello",0,1)</f>
        <v>0</v>
      </c>
      <c r="AL474" s="13" t="str">
        <f>IF(Q474&gt;=300,"Exceso en sodio",IFERROR(IF(AND(F474=0,Q474&gt;0),"No tiene sello",IF(Q474/F474&gt;1,"Exceso en sodio","No tiene sello")),"No tiene sello"))</f>
        <v>No tiene sello</v>
      </c>
      <c r="AM474" s="13" t="str">
        <f>IFERROR(IF(F474=0,"No tiene sello",IF(+(AG474/1000)*9*100/F474&gt;1,"Exceso en grasa trans", "No tiene sello")),"No tiene sello")</f>
        <v>No tiene sello</v>
      </c>
    </row>
    <row r="475" spans="1:39" ht="13.5" customHeight="1" x14ac:dyDescent="0.25">
      <c r="A475" s="26" t="s">
        <v>697</v>
      </c>
      <c r="B475" s="26" t="s">
        <v>698</v>
      </c>
      <c r="C475" s="26" t="s">
        <v>695</v>
      </c>
      <c r="D475" s="47">
        <v>100</v>
      </c>
      <c r="E475" s="28">
        <v>65.8</v>
      </c>
      <c r="F475" s="24">
        <v>174</v>
      </c>
      <c r="G475" s="28">
        <v>731</v>
      </c>
      <c r="H475" s="24">
        <v>26.9</v>
      </c>
      <c r="I475" s="24">
        <v>7.4</v>
      </c>
      <c r="J475" s="24">
        <v>0</v>
      </c>
      <c r="K475" s="28">
        <v>0</v>
      </c>
      <c r="L475" s="28">
        <v>0</v>
      </c>
      <c r="M475" s="24">
        <v>0</v>
      </c>
      <c r="N475" s="28">
        <v>0.8</v>
      </c>
      <c r="O475" s="25">
        <v>12</v>
      </c>
      <c r="P475" s="25">
        <v>0.9</v>
      </c>
      <c r="Q475" s="28">
        <v>61</v>
      </c>
      <c r="R475" s="25">
        <v>156</v>
      </c>
      <c r="S475" s="28">
        <v>1</v>
      </c>
      <c r="T475" s="28">
        <v>22</v>
      </c>
      <c r="U475" s="28">
        <v>178</v>
      </c>
      <c r="V475" s="28">
        <v>0.01</v>
      </c>
      <c r="W475" s="28">
        <v>0.13</v>
      </c>
      <c r="X475" s="28">
        <v>7.8</v>
      </c>
      <c r="Y475" s="28">
        <v>3</v>
      </c>
      <c r="Z475" s="28">
        <v>0.21</v>
      </c>
      <c r="AA475" s="25">
        <v>0</v>
      </c>
      <c r="AB475" s="25">
        <v>25</v>
      </c>
      <c r="AC475" s="25">
        <v>0</v>
      </c>
      <c r="AD475" s="28">
        <v>2.1</v>
      </c>
      <c r="AE475" s="28">
        <v>2.9</v>
      </c>
      <c r="AF475" s="28">
        <v>1.6</v>
      </c>
      <c r="AG475" s="28">
        <v>30</v>
      </c>
      <c r="AH475" s="24">
        <v>75</v>
      </c>
      <c r="AI475" s="28">
        <v>77</v>
      </c>
      <c r="AJ475" s="13" t="str">
        <f xml:space="preserve"> IF(AD475&gt;F475,"Exceso en grasa saturada",IFERROR(IF(F475=0,"No tiene sello",IF((AD475*9)*100/F475&gt;10,"Exceso en grasa saturada","No tiene sello")),"No tiene sello"))</f>
        <v>Exceso en grasa saturada</v>
      </c>
      <c r="AK475" s="13">
        <f>IF(AJ475="No tiene sello",0,1)</f>
        <v>1</v>
      </c>
      <c r="AL475" s="13" t="str">
        <f>IF(Q475&gt;=300,"Exceso en sodio",IFERROR(IF(AND(F475=0,Q475&gt;0),"No tiene sello",IF(Q475/F475&gt;1,"Exceso en sodio","No tiene sello")),"No tiene sello"))</f>
        <v>No tiene sello</v>
      </c>
      <c r="AM475" s="13" t="str">
        <f>IFERROR(IF(F475=0,"No tiene sello",IF(+(AG475/1000)*9*100/F475&gt;1,"Exceso en grasa trans", "No tiene sello")),"No tiene sello")</f>
        <v>No tiene sello</v>
      </c>
    </row>
    <row r="476" spans="1:39" ht="13.5" customHeight="1" x14ac:dyDescent="0.25">
      <c r="A476" s="20" t="s">
        <v>694</v>
      </c>
      <c r="B476" s="20" t="s">
        <v>696</v>
      </c>
      <c r="C476" s="20" t="s">
        <v>695</v>
      </c>
      <c r="D476" s="46">
        <v>100</v>
      </c>
      <c r="E476" s="23">
        <v>69.2</v>
      </c>
      <c r="F476" s="24">
        <v>166</v>
      </c>
      <c r="G476" s="23">
        <v>692</v>
      </c>
      <c r="H476" s="24">
        <v>20.7</v>
      </c>
      <c r="I476" s="24">
        <v>9.1999999999999993</v>
      </c>
      <c r="J476" s="24">
        <v>0.1</v>
      </c>
      <c r="K476" s="23">
        <v>0</v>
      </c>
      <c r="L476" s="23">
        <v>0.01</v>
      </c>
      <c r="M476" s="24">
        <v>0</v>
      </c>
      <c r="N476" s="23">
        <v>0.9</v>
      </c>
      <c r="O476" s="25">
        <v>11</v>
      </c>
      <c r="P476" s="25">
        <v>0.7</v>
      </c>
      <c r="Q476" s="23">
        <v>63</v>
      </c>
      <c r="R476" s="25">
        <v>174</v>
      </c>
      <c r="S476" s="23">
        <v>0.8</v>
      </c>
      <c r="T476" s="23">
        <v>25</v>
      </c>
      <c r="U476" s="23">
        <v>258</v>
      </c>
      <c r="V476" s="23">
        <v>7.0000000000000007E-2</v>
      </c>
      <c r="W476" s="23">
        <v>0.09</v>
      </c>
      <c r="X476" s="23">
        <v>9.9</v>
      </c>
      <c r="Y476" s="23">
        <v>4</v>
      </c>
      <c r="Z476" s="23">
        <v>0.34</v>
      </c>
      <c r="AA476" s="25">
        <v>0</v>
      </c>
      <c r="AB476" s="25">
        <v>24</v>
      </c>
      <c r="AC476" s="25">
        <v>0</v>
      </c>
      <c r="AD476" s="23">
        <v>2.7</v>
      </c>
      <c r="AE476" s="23">
        <v>3.8</v>
      </c>
      <c r="AF476" s="23">
        <v>2</v>
      </c>
      <c r="AG476" s="23">
        <v>30</v>
      </c>
      <c r="AH476" s="24">
        <v>64</v>
      </c>
      <c r="AI476" s="23">
        <v>93</v>
      </c>
      <c r="AJ476" s="13" t="str">
        <f xml:space="preserve"> IF(AD476&gt;F476,"Exceso en grasa saturada",IFERROR(IF(F476=0,"No tiene sello",IF((AD476*9)*100/F476&gt;10,"Exceso en grasa saturada","No tiene sello")),"No tiene sello"))</f>
        <v>Exceso en grasa saturada</v>
      </c>
      <c r="AK476" s="13">
        <f>IF(AJ476="No tiene sello",0,1)</f>
        <v>1</v>
      </c>
      <c r="AL476" s="13" t="str">
        <f>IF(Q476&gt;=300,"Exceso en sodio",IFERROR(IF(AND(F476=0,Q476&gt;0),"No tiene sello",IF(Q476/F476&gt;1,"Exceso en sodio","No tiene sello")),"No tiene sello"))</f>
        <v>No tiene sello</v>
      </c>
      <c r="AM476" s="13" t="str">
        <f>IFERROR(IF(F476=0,"No tiene sello",IF(+(AG476/1000)*9*100/F476&gt;1,"Exceso en grasa trans", "No tiene sello")),"No tiene sello")</f>
        <v>No tiene sello</v>
      </c>
    </row>
    <row r="477" spans="1:39" ht="13.5" customHeight="1" x14ac:dyDescent="0.25">
      <c r="A477" s="26" t="s">
        <v>692</v>
      </c>
      <c r="B477" s="26" t="s">
        <v>693</v>
      </c>
      <c r="C477" s="26" t="s">
        <v>688</v>
      </c>
      <c r="D477" s="47">
        <v>100</v>
      </c>
      <c r="E477" s="28">
        <v>63.8</v>
      </c>
      <c r="F477" s="24">
        <v>164</v>
      </c>
      <c r="G477" s="28">
        <v>689</v>
      </c>
      <c r="H477" s="24">
        <v>29.7</v>
      </c>
      <c r="I477" s="24">
        <v>4.9000000000000004</v>
      </c>
      <c r="J477" s="24">
        <v>0.2</v>
      </c>
      <c r="K477" s="28">
        <v>0</v>
      </c>
      <c r="L477" s="28">
        <v>0.02</v>
      </c>
      <c r="M477" s="24">
        <v>0</v>
      </c>
      <c r="N477" s="28">
        <v>1.4</v>
      </c>
      <c r="O477" s="25">
        <v>11</v>
      </c>
      <c r="P477" s="25">
        <v>1</v>
      </c>
      <c r="Q477" s="28">
        <v>53</v>
      </c>
      <c r="R477" s="25">
        <v>260</v>
      </c>
      <c r="S477" s="28">
        <v>0.9</v>
      </c>
      <c r="T477" s="28">
        <v>25</v>
      </c>
      <c r="U477" s="28">
        <v>252</v>
      </c>
      <c r="V477" s="28">
        <v>0.09</v>
      </c>
      <c r="W477" s="28">
        <v>0.12</v>
      </c>
      <c r="X477" s="28">
        <v>9.6</v>
      </c>
      <c r="Y477" s="28">
        <v>5</v>
      </c>
      <c r="Z477" s="28">
        <v>0.34</v>
      </c>
      <c r="AA477" s="25">
        <v>0</v>
      </c>
      <c r="AB477" s="25">
        <v>6</v>
      </c>
      <c r="AC477" s="25">
        <v>0</v>
      </c>
      <c r="AD477" s="28">
        <v>1</v>
      </c>
      <c r="AE477" s="28">
        <v>1.2</v>
      </c>
      <c r="AF477" s="28">
        <v>0.6</v>
      </c>
      <c r="AG477" s="28">
        <v>0</v>
      </c>
      <c r="AH477" s="24">
        <v>86</v>
      </c>
      <c r="AI477" s="28">
        <v>100</v>
      </c>
      <c r="AJ477" s="13" t="str">
        <f xml:space="preserve"> IF(AD477&gt;F477,"Exceso en grasa saturada",IFERROR(IF(F477=0,"No tiene sello",IF((AD477*9)*100/F477&gt;10,"Exceso en grasa saturada","No tiene sello")),"No tiene sello"))</f>
        <v>No tiene sello</v>
      </c>
      <c r="AK477" s="13">
        <f>IF(AJ477="No tiene sello",0,1)</f>
        <v>0</v>
      </c>
      <c r="AL477" s="13" t="str">
        <f>IF(Q477&gt;=300,"Exceso en sodio",IFERROR(IF(AND(F477=0,Q477&gt;0),"No tiene sello",IF(Q477/F477&gt;1,"Exceso en sodio","No tiene sello")),"No tiene sello"))</f>
        <v>No tiene sello</v>
      </c>
      <c r="AM477" s="13" t="str">
        <f>IFERROR(IF(F477=0,"No tiene sello",IF(+(AG477/1000)*9*100/F477&gt;1,"Exceso en grasa trans", "No tiene sello")),"No tiene sello")</f>
        <v>No tiene sello</v>
      </c>
    </row>
    <row r="478" spans="1:39" ht="13.5" customHeight="1" x14ac:dyDescent="0.25">
      <c r="A478" s="29" t="s">
        <v>690</v>
      </c>
      <c r="B478" s="29" t="s">
        <v>691</v>
      </c>
      <c r="C478" s="29" t="s">
        <v>688</v>
      </c>
      <c r="D478" s="46">
        <v>100</v>
      </c>
      <c r="E478" s="31">
        <v>67.5</v>
      </c>
      <c r="F478" s="24">
        <v>141</v>
      </c>
      <c r="G478" s="31">
        <v>597</v>
      </c>
      <c r="H478" s="24">
        <v>28.4</v>
      </c>
      <c r="I478" s="24">
        <v>3</v>
      </c>
      <c r="J478" s="24">
        <v>0.3</v>
      </c>
      <c r="K478" s="31">
        <v>0</v>
      </c>
      <c r="L478" s="31">
        <v>0.03</v>
      </c>
      <c r="M478" s="24">
        <v>0</v>
      </c>
      <c r="N478" s="31">
        <v>0.9</v>
      </c>
      <c r="O478" s="31">
        <v>13</v>
      </c>
      <c r="P478" s="31">
        <v>0.9</v>
      </c>
      <c r="Q478" s="31">
        <v>63</v>
      </c>
      <c r="R478" s="31">
        <v>165</v>
      </c>
      <c r="S478" s="31">
        <v>1</v>
      </c>
      <c r="T478" s="31">
        <v>25</v>
      </c>
      <c r="U478" s="31">
        <v>220</v>
      </c>
      <c r="V478" s="31">
        <v>0.05</v>
      </c>
      <c r="W478" s="31">
        <v>0.12</v>
      </c>
      <c r="X478" s="31">
        <v>8.5</v>
      </c>
      <c r="Y478" s="31">
        <v>3</v>
      </c>
      <c r="Z478" s="31">
        <v>0.23</v>
      </c>
      <c r="AA478" s="31">
        <v>0</v>
      </c>
      <c r="AB478" s="31">
        <v>6</v>
      </c>
      <c r="AC478" s="31">
        <v>0</v>
      </c>
      <c r="AD478" s="31">
        <v>0.8</v>
      </c>
      <c r="AE478" s="31">
        <v>1</v>
      </c>
      <c r="AF478" s="31">
        <v>0.7</v>
      </c>
      <c r="AG478" s="31">
        <v>0</v>
      </c>
      <c r="AH478" s="31">
        <v>77</v>
      </c>
      <c r="AI478" s="31">
        <v>69</v>
      </c>
      <c r="AJ478" s="13" t="str">
        <f xml:space="preserve"> IF(AD478&gt;F478,"Exceso en grasa saturada",IFERROR(IF(F478=0,"No tiene sello",IF((AD478*9)*100/F478&gt;10,"Exceso en grasa saturada","No tiene sello")),"No tiene sello"))</f>
        <v>No tiene sello</v>
      </c>
      <c r="AK478" s="13">
        <f>IF(AJ478="No tiene sello",0,1)</f>
        <v>0</v>
      </c>
      <c r="AL478" s="13" t="str">
        <f>IF(Q478&gt;=300,"Exceso en sodio",IFERROR(IF(AND(F478=0,Q478&gt;0),"No tiene sello",IF(Q478/F478&gt;1,"Exceso en sodio","No tiene sello")),"No tiene sello"))</f>
        <v>No tiene sello</v>
      </c>
      <c r="AM478" s="13" t="str">
        <f>IFERROR(IF(F478=0,"No tiene sello",IF(+(AG478/1000)*9*100/F478&gt;1,"Exceso en grasa trans", "No tiene sello")),"No tiene sello")</f>
        <v>No tiene sello</v>
      </c>
    </row>
    <row r="479" spans="1:39" ht="13.5" customHeight="1" x14ac:dyDescent="0.25">
      <c r="A479" s="33" t="s">
        <v>687</v>
      </c>
      <c r="B479" s="33" t="s">
        <v>689</v>
      </c>
      <c r="C479" s="33" t="s">
        <v>688</v>
      </c>
      <c r="D479" s="47">
        <v>100</v>
      </c>
      <c r="E479" s="35">
        <v>60.2</v>
      </c>
      <c r="F479" s="24">
        <v>178</v>
      </c>
      <c r="G479" s="35">
        <v>751</v>
      </c>
      <c r="H479" s="24">
        <v>33.4</v>
      </c>
      <c r="I479" s="24">
        <v>4.7</v>
      </c>
      <c r="J479" s="24">
        <v>0.5</v>
      </c>
      <c r="K479" s="35">
        <v>0</v>
      </c>
      <c r="L479" s="35">
        <v>0.05</v>
      </c>
      <c r="M479" s="24">
        <v>0</v>
      </c>
      <c r="N479" s="35">
        <v>1.1000000000000001</v>
      </c>
      <c r="O479" s="35">
        <v>17</v>
      </c>
      <c r="P479" s="35">
        <v>1.1000000000000001</v>
      </c>
      <c r="Q479" s="35">
        <v>79</v>
      </c>
      <c r="R479" s="35">
        <v>246</v>
      </c>
      <c r="S479" s="35">
        <v>1.1000000000000001</v>
      </c>
      <c r="T479" s="35">
        <v>28</v>
      </c>
      <c r="U479" s="35">
        <v>275</v>
      </c>
      <c r="V479" s="35">
        <v>0.08</v>
      </c>
      <c r="W479" s="35">
        <v>0.13</v>
      </c>
      <c r="X479" s="35">
        <v>7.6</v>
      </c>
      <c r="Y479" s="35">
        <v>4</v>
      </c>
      <c r="Z479" s="35">
        <v>0.37</v>
      </c>
      <c r="AA479" s="35">
        <v>0</v>
      </c>
      <c r="AB479" s="35">
        <v>7</v>
      </c>
      <c r="AC479" s="35">
        <v>0</v>
      </c>
      <c r="AD479" s="35">
        <v>1.5</v>
      </c>
      <c r="AE479" s="35">
        <v>2.6</v>
      </c>
      <c r="AF479" s="35">
        <v>2</v>
      </c>
      <c r="AG479" s="35">
        <v>50</v>
      </c>
      <c r="AH479" s="35">
        <v>91</v>
      </c>
      <c r="AI479" s="35">
        <v>100</v>
      </c>
      <c r="AJ479" s="13" t="str">
        <f xml:space="preserve"> IF(AD479&gt;F479,"Exceso en grasa saturada",IFERROR(IF(F479=0,"No tiene sello",IF((AD479*9)*100/F479&gt;10,"Exceso en grasa saturada","No tiene sello")),"No tiene sello"))</f>
        <v>No tiene sello</v>
      </c>
      <c r="AK479" s="13">
        <f>IF(AJ479="No tiene sello",0,1)</f>
        <v>0</v>
      </c>
      <c r="AL479" s="13" t="str">
        <f>IF(Q479&gt;=300,"Exceso en sodio",IFERROR(IF(AND(F479=0,Q479&gt;0),"No tiene sello",IF(Q479/F479&gt;1,"Exceso en sodio","No tiene sello")),"No tiene sello"))</f>
        <v>No tiene sello</v>
      </c>
      <c r="AM479" s="13" t="str">
        <f>IFERROR(IF(F479=0,"No tiene sello",IF(+(AG479/1000)*9*100/F479&gt;1,"Exceso en grasa trans", "No tiene sello")),"No tiene sello")</f>
        <v>No tiene sello</v>
      </c>
    </row>
    <row r="480" spans="1:39" ht="13.5" customHeight="1" x14ac:dyDescent="0.25">
      <c r="A480" s="20" t="s">
        <v>685</v>
      </c>
      <c r="B480" s="20" t="s">
        <v>686</v>
      </c>
      <c r="C480" s="20" t="s">
        <v>679</v>
      </c>
      <c r="D480" s="46">
        <v>100</v>
      </c>
      <c r="E480" s="23">
        <v>64.8</v>
      </c>
      <c r="F480" s="24">
        <v>183</v>
      </c>
      <c r="G480" s="23">
        <v>768</v>
      </c>
      <c r="H480" s="24">
        <v>24</v>
      </c>
      <c r="I480" s="24">
        <v>9.4</v>
      </c>
      <c r="J480" s="24">
        <v>0.6</v>
      </c>
      <c r="K480" s="23">
        <v>0</v>
      </c>
      <c r="L480" s="23">
        <v>0.06</v>
      </c>
      <c r="M480" s="24">
        <v>0</v>
      </c>
      <c r="N480" s="23">
        <v>1.1000000000000001</v>
      </c>
      <c r="O480" s="25">
        <v>12</v>
      </c>
      <c r="P480" s="25">
        <v>1.2</v>
      </c>
      <c r="Q480" s="23">
        <v>97</v>
      </c>
      <c r="R480" s="25">
        <v>191</v>
      </c>
      <c r="S480" s="23">
        <v>2.2000000000000002</v>
      </c>
      <c r="T480" s="23">
        <v>23</v>
      </c>
      <c r="U480" s="23">
        <v>310</v>
      </c>
      <c r="V480" s="23">
        <v>7.0000000000000007E-2</v>
      </c>
      <c r="W480" s="23">
        <v>0.21</v>
      </c>
      <c r="X480" s="23">
        <v>6.1</v>
      </c>
      <c r="Y480" s="23">
        <v>6</v>
      </c>
      <c r="Z480" s="23">
        <v>0.35</v>
      </c>
      <c r="AA480" s="25">
        <v>0</v>
      </c>
      <c r="AB480" s="25">
        <v>22</v>
      </c>
      <c r="AC480" s="25">
        <v>0</v>
      </c>
      <c r="AD480" s="23">
        <v>2.6</v>
      </c>
      <c r="AE480" s="23">
        <v>3.6</v>
      </c>
      <c r="AF480" s="23">
        <v>2</v>
      </c>
      <c r="AG480" s="23">
        <v>50</v>
      </c>
      <c r="AH480" s="24">
        <v>133</v>
      </c>
      <c r="AI480" s="23">
        <v>54</v>
      </c>
      <c r="AJ480" s="13" t="str">
        <f xml:space="preserve"> IF(AD480&gt;F480,"Exceso en grasa saturada",IFERROR(IF(F480=0,"No tiene sello",IF((AD480*9)*100/F480&gt;10,"Exceso en grasa saturada","No tiene sello")),"No tiene sello"))</f>
        <v>Exceso en grasa saturada</v>
      </c>
      <c r="AK480" s="13">
        <f>IF(AJ480="No tiene sello",0,1)</f>
        <v>1</v>
      </c>
      <c r="AL480" s="13" t="str">
        <f>IF(Q480&gt;=300,"Exceso en sodio",IFERROR(IF(AND(F480=0,Q480&gt;0),"No tiene sello",IF(Q480/F480&gt;1,"Exceso en sodio","No tiene sello")),"No tiene sello"))</f>
        <v>No tiene sello</v>
      </c>
      <c r="AM480" s="13" t="str">
        <f>IFERROR(IF(F480=0,"No tiene sello",IF(+(AG480/1000)*9*100/F480&gt;1,"Exceso en grasa trans", "No tiene sello")),"No tiene sello")</f>
        <v>No tiene sello</v>
      </c>
    </row>
    <row r="481" spans="1:39" ht="13.5" customHeight="1" x14ac:dyDescent="0.25">
      <c r="A481" s="33" t="s">
        <v>683</v>
      </c>
      <c r="B481" s="33" t="s">
        <v>684</v>
      </c>
      <c r="C481" s="33" t="s">
        <v>679</v>
      </c>
      <c r="D481" s="47">
        <v>100</v>
      </c>
      <c r="E481" s="35">
        <v>63.6</v>
      </c>
      <c r="F481" s="24">
        <v>208</v>
      </c>
      <c r="G481" s="35">
        <v>867</v>
      </c>
      <c r="H481" s="24">
        <v>22.9</v>
      </c>
      <c r="I481" s="24">
        <v>12.9</v>
      </c>
      <c r="J481" s="24">
        <v>0</v>
      </c>
      <c r="K481" s="35">
        <v>0</v>
      </c>
      <c r="L481" s="35">
        <v>0</v>
      </c>
      <c r="M481" s="24">
        <v>0</v>
      </c>
      <c r="N481" s="35">
        <v>0.8</v>
      </c>
      <c r="O481" s="35">
        <v>11</v>
      </c>
      <c r="P481" s="35">
        <v>1.3</v>
      </c>
      <c r="Q481" s="35">
        <v>73</v>
      </c>
      <c r="R481" s="35">
        <v>139</v>
      </c>
      <c r="S481" s="35">
        <v>2.4</v>
      </c>
      <c r="T481" s="35">
        <v>21</v>
      </c>
      <c r="U481" s="35">
        <v>190</v>
      </c>
      <c r="V481" s="35">
        <v>0.05</v>
      </c>
      <c r="W481" s="35">
        <v>0.19</v>
      </c>
      <c r="X481" s="35">
        <v>4.5999999999999996</v>
      </c>
      <c r="Y481" s="35">
        <v>6</v>
      </c>
      <c r="Z481" s="35">
        <v>0.2</v>
      </c>
      <c r="AA481" s="35">
        <v>0</v>
      </c>
      <c r="AB481" s="35">
        <v>36</v>
      </c>
      <c r="AC481" s="35">
        <v>0</v>
      </c>
      <c r="AD481" s="35">
        <v>3.6</v>
      </c>
      <c r="AE481" s="35">
        <v>5</v>
      </c>
      <c r="AF481" s="35">
        <v>2.9</v>
      </c>
      <c r="AG481" s="35">
        <v>50</v>
      </c>
      <c r="AH481" s="35">
        <v>84</v>
      </c>
      <c r="AI481" s="35">
        <v>57</v>
      </c>
      <c r="AJ481" s="13" t="str">
        <f xml:space="preserve"> IF(AD481&gt;F481,"Exceso en grasa saturada",IFERROR(IF(F481=0,"No tiene sello",IF((AD481*9)*100/F481&gt;10,"Exceso en grasa saturada","No tiene sello")),"No tiene sello"))</f>
        <v>Exceso en grasa saturada</v>
      </c>
      <c r="AK481" s="13">
        <f>IF(AJ481="No tiene sello",0,1)</f>
        <v>1</v>
      </c>
      <c r="AL481" s="13" t="str">
        <f>IF(Q481&gt;=300,"Exceso en sodio",IFERROR(IF(AND(F481=0,Q481&gt;0),"No tiene sello",IF(Q481/F481&gt;1,"Exceso en sodio","No tiene sello")),"No tiene sello"))</f>
        <v>No tiene sello</v>
      </c>
      <c r="AM481" s="13" t="str">
        <f>IFERROR(IF(F481=0,"No tiene sello",IF(+(AG481/1000)*9*100/F481&gt;1,"Exceso en grasa trans", "No tiene sello")),"No tiene sello")</f>
        <v>No tiene sello</v>
      </c>
    </row>
    <row r="482" spans="1:39" ht="13.5" customHeight="1" x14ac:dyDescent="0.25">
      <c r="A482" s="20" t="s">
        <v>681</v>
      </c>
      <c r="B482" s="20" t="s">
        <v>682</v>
      </c>
      <c r="C482" s="20" t="s">
        <v>679</v>
      </c>
      <c r="D482" s="46">
        <v>100</v>
      </c>
      <c r="E482" s="23">
        <v>68.900000000000006</v>
      </c>
      <c r="F482" s="24">
        <v>182</v>
      </c>
      <c r="G482" s="23">
        <v>756</v>
      </c>
      <c r="H482" s="24">
        <v>18.100000000000001</v>
      </c>
      <c r="I482" s="24">
        <v>12.1</v>
      </c>
      <c r="J482" s="24">
        <v>0.1</v>
      </c>
      <c r="K482" s="23">
        <v>0</v>
      </c>
      <c r="L482" s="23">
        <v>0.01</v>
      </c>
      <c r="M482" s="24">
        <v>0</v>
      </c>
      <c r="N482" s="23">
        <v>0.8</v>
      </c>
      <c r="O482" s="25">
        <v>10</v>
      </c>
      <c r="P482" s="25">
        <v>1</v>
      </c>
      <c r="Q482" s="23">
        <v>79</v>
      </c>
      <c r="R482" s="25">
        <v>149</v>
      </c>
      <c r="S482" s="23">
        <v>1.8</v>
      </c>
      <c r="T482" s="23">
        <v>21</v>
      </c>
      <c r="U482" s="23">
        <v>226</v>
      </c>
      <c r="V482" s="23">
        <v>7.0000000000000007E-2</v>
      </c>
      <c r="W482" s="23">
        <v>0.16</v>
      </c>
      <c r="X482" s="23">
        <v>5.3</v>
      </c>
      <c r="Y482" s="23">
        <v>6</v>
      </c>
      <c r="Z482" s="23">
        <v>0.56000000000000005</v>
      </c>
      <c r="AA482" s="25">
        <v>3</v>
      </c>
      <c r="AB482" s="25">
        <v>30</v>
      </c>
      <c r="AC482" s="25">
        <v>0</v>
      </c>
      <c r="AD482" s="23">
        <v>3.4</v>
      </c>
      <c r="AE482" s="23">
        <v>4.9000000000000004</v>
      </c>
      <c r="AF482" s="23">
        <v>2.8</v>
      </c>
      <c r="AG482" s="23">
        <v>50</v>
      </c>
      <c r="AH482" s="24">
        <v>83</v>
      </c>
      <c r="AI482" s="23">
        <v>73</v>
      </c>
      <c r="AJ482" s="13" t="str">
        <f xml:space="preserve"> IF(AD482&gt;F482,"Exceso en grasa saturada",IFERROR(IF(F482=0,"No tiene sello",IF((AD482*9)*100/F482&gt;10,"Exceso en grasa saturada","No tiene sello")),"No tiene sello"))</f>
        <v>Exceso en grasa saturada</v>
      </c>
      <c r="AK482" s="13">
        <f>IF(AJ482="No tiene sello",0,1)</f>
        <v>1</v>
      </c>
      <c r="AL482" s="13" t="str">
        <f>IF(Q482&gt;=300,"Exceso en sodio",IFERROR(IF(AND(F482=0,Q482&gt;0),"No tiene sello",IF(Q482/F482&gt;1,"Exceso en sodio","No tiene sello")),"No tiene sello"))</f>
        <v>No tiene sello</v>
      </c>
      <c r="AM482" s="13" t="str">
        <f>IFERROR(IF(F482=0,"No tiene sello",IF(+(AG482/1000)*9*100/F482&gt;1,"Exceso en grasa trans", "No tiene sello")),"No tiene sello")</f>
        <v>No tiene sello</v>
      </c>
    </row>
    <row r="483" spans="1:39" ht="13.5" customHeight="1" x14ac:dyDescent="0.25">
      <c r="A483" s="26" t="s">
        <v>678</v>
      </c>
      <c r="B483" s="26" t="s">
        <v>680</v>
      </c>
      <c r="C483" s="26" t="s">
        <v>679</v>
      </c>
      <c r="D483" s="47">
        <v>100</v>
      </c>
      <c r="E483" s="28">
        <v>55.3</v>
      </c>
      <c r="F483" s="24">
        <v>265</v>
      </c>
      <c r="G483" s="28">
        <v>1103</v>
      </c>
      <c r="H483" s="24">
        <v>17.100000000000001</v>
      </c>
      <c r="I483" s="24">
        <v>18.2</v>
      </c>
      <c r="J483" s="24">
        <v>8.1999999999999993</v>
      </c>
      <c r="K483" s="28">
        <v>0</v>
      </c>
      <c r="L483" s="28">
        <v>0.82</v>
      </c>
      <c r="M483" s="24">
        <v>0</v>
      </c>
      <c r="N483" s="28">
        <v>1.3</v>
      </c>
      <c r="O483" s="25">
        <v>11</v>
      </c>
      <c r="P483" s="25">
        <v>1.4</v>
      </c>
      <c r="Q483" s="28">
        <v>279</v>
      </c>
      <c r="R483" s="25">
        <v>158</v>
      </c>
      <c r="S483" s="28">
        <v>2.2000000000000002</v>
      </c>
      <c r="T483" s="28">
        <v>24</v>
      </c>
      <c r="U483" s="28">
        <v>189</v>
      </c>
      <c r="V483" s="28">
        <v>0.1</v>
      </c>
      <c r="W483" s="28">
        <v>0.22</v>
      </c>
      <c r="X483" s="28">
        <v>7.3</v>
      </c>
      <c r="Y483" s="28">
        <v>13</v>
      </c>
      <c r="Z483" s="28">
        <v>0.28999999999999998</v>
      </c>
      <c r="AA483" s="25">
        <v>0</v>
      </c>
      <c r="AB483" s="25">
        <v>43</v>
      </c>
      <c r="AC483" s="25">
        <v>0</v>
      </c>
      <c r="AD483" s="28">
        <v>2.7</v>
      </c>
      <c r="AE483" s="28">
        <v>8.5</v>
      </c>
      <c r="AF483" s="28">
        <v>1.6</v>
      </c>
      <c r="AG483" s="28">
        <v>100</v>
      </c>
      <c r="AH483" s="24">
        <v>93</v>
      </c>
      <c r="AI483" s="28">
        <v>42</v>
      </c>
      <c r="AJ483" s="13" t="str">
        <f xml:space="preserve"> IF(AD483&gt;F483,"Exceso en grasa saturada",IFERROR(IF(F483=0,"No tiene sello",IF((AD483*9)*100/F483&gt;10,"Exceso en grasa saturada","No tiene sello")),"No tiene sello"))</f>
        <v>No tiene sello</v>
      </c>
      <c r="AK483" s="13">
        <f>IF(AJ483="No tiene sello",0,1)</f>
        <v>0</v>
      </c>
      <c r="AL483" s="13" t="str">
        <f>IF(Q483&gt;=300,"Exceso en sodio",IFERROR(IF(AND(F483=0,Q483&gt;0),"No tiene sello",IF(Q483/F483&gt;1,"Exceso en sodio","No tiene sello")),"No tiene sello"))</f>
        <v>Exceso en sodio</v>
      </c>
      <c r="AM483" s="13" t="str">
        <f>IFERROR(IF(F483=0,"No tiene sello",IF(+(AG483/1000)*9*100/F483&gt;1,"Exceso en grasa trans", "No tiene sello")),"No tiene sello")</f>
        <v>No tiene sello</v>
      </c>
    </row>
    <row r="484" spans="1:39" ht="13.5" customHeight="1" x14ac:dyDescent="0.25">
      <c r="A484" s="20" t="s">
        <v>675</v>
      </c>
      <c r="B484" s="20" t="s">
        <v>677</v>
      </c>
      <c r="C484" s="20" t="s">
        <v>676</v>
      </c>
      <c r="D484" s="46">
        <v>100</v>
      </c>
      <c r="E484" s="23">
        <v>66.400000000000006</v>
      </c>
      <c r="F484" s="24">
        <v>173</v>
      </c>
      <c r="G484" s="23">
        <v>725</v>
      </c>
      <c r="H484" s="24">
        <v>25</v>
      </c>
      <c r="I484" s="24">
        <v>8.1</v>
      </c>
      <c r="J484" s="24">
        <v>0</v>
      </c>
      <c r="K484" s="23">
        <v>0</v>
      </c>
      <c r="L484" s="23">
        <v>0</v>
      </c>
      <c r="M484" s="24">
        <v>0</v>
      </c>
      <c r="N484" s="23">
        <v>0.9</v>
      </c>
      <c r="O484" s="25">
        <v>11</v>
      </c>
      <c r="P484" s="25">
        <v>1.4</v>
      </c>
      <c r="Q484" s="23">
        <v>78</v>
      </c>
      <c r="R484" s="25">
        <v>149</v>
      </c>
      <c r="S484" s="23">
        <v>2.8</v>
      </c>
      <c r="T484" s="23">
        <v>21</v>
      </c>
      <c r="U484" s="23">
        <v>198</v>
      </c>
      <c r="V484" s="23">
        <v>0.06</v>
      </c>
      <c r="W484" s="23">
        <v>0.22</v>
      </c>
      <c r="X484" s="23">
        <v>4.8</v>
      </c>
      <c r="Y484" s="23">
        <v>8</v>
      </c>
      <c r="Z484" s="23">
        <v>0.23</v>
      </c>
      <c r="AA484" s="25">
        <v>0</v>
      </c>
      <c r="AB484" s="25">
        <v>18</v>
      </c>
      <c r="AC484" s="25">
        <v>0</v>
      </c>
      <c r="AD484" s="23">
        <v>2.2000000000000002</v>
      </c>
      <c r="AE484" s="23">
        <v>2.9</v>
      </c>
      <c r="AF484" s="23">
        <v>1.9</v>
      </c>
      <c r="AG484" s="23">
        <v>0</v>
      </c>
      <c r="AH484" s="24">
        <v>89</v>
      </c>
      <c r="AI484" s="23">
        <v>52</v>
      </c>
      <c r="AJ484" s="13" t="str">
        <f xml:space="preserve"> IF(AD484&gt;F484,"Exceso en grasa saturada",IFERROR(IF(F484=0,"No tiene sello",IF((AD484*9)*100/F484&gt;10,"Exceso en grasa saturada","No tiene sello")),"No tiene sello"))</f>
        <v>Exceso en grasa saturada</v>
      </c>
      <c r="AK484" s="13">
        <f>IF(AJ484="No tiene sello",0,1)</f>
        <v>1</v>
      </c>
      <c r="AL484" s="13" t="str">
        <f>IF(Q484&gt;=300,"Exceso en sodio",IFERROR(IF(AND(F484=0,Q484&gt;0),"No tiene sello",IF(Q484/F484&gt;1,"Exceso en sodio","No tiene sello")),"No tiene sello"))</f>
        <v>No tiene sello</v>
      </c>
      <c r="AM484" s="13" t="str">
        <f>IFERROR(IF(F484=0,"No tiene sello",IF(+(AG484/1000)*9*100/F484&gt;1,"Exceso en grasa trans", "No tiene sello")),"No tiene sello")</f>
        <v>No tiene sello</v>
      </c>
    </row>
    <row r="485" spans="1:39" ht="13.5" customHeight="1" x14ac:dyDescent="0.25">
      <c r="A485" s="26" t="s">
        <v>672</v>
      </c>
      <c r="B485" s="26" t="s">
        <v>674</v>
      </c>
      <c r="C485" s="26" t="s">
        <v>673</v>
      </c>
      <c r="D485" s="47">
        <v>100</v>
      </c>
      <c r="E485" s="28">
        <v>79.400000000000006</v>
      </c>
      <c r="F485" s="24">
        <v>90</v>
      </c>
      <c r="G485" s="28">
        <v>380</v>
      </c>
      <c r="H485" s="24">
        <v>16.600000000000001</v>
      </c>
      <c r="I485" s="24">
        <v>2.5</v>
      </c>
      <c r="J485" s="24">
        <v>0.3</v>
      </c>
      <c r="K485" s="28">
        <v>0</v>
      </c>
      <c r="L485" s="28">
        <v>0.03</v>
      </c>
      <c r="M485" s="24">
        <v>0</v>
      </c>
      <c r="N485" s="28">
        <v>1.2</v>
      </c>
      <c r="O485" s="25">
        <v>13</v>
      </c>
      <c r="P485" s="25">
        <v>7.5</v>
      </c>
      <c r="Q485" s="28">
        <v>198</v>
      </c>
      <c r="R485" s="25">
        <v>220</v>
      </c>
      <c r="S485" s="28">
        <v>1.6</v>
      </c>
      <c r="T485" s="28">
        <v>14</v>
      </c>
      <c r="U485" s="28">
        <v>340</v>
      </c>
      <c r="V485" s="28">
        <v>0.05</v>
      </c>
      <c r="W485" s="28">
        <v>0.23</v>
      </c>
      <c r="X485" s="28">
        <v>4</v>
      </c>
      <c r="Y485" s="28">
        <v>11</v>
      </c>
      <c r="Z485" s="28">
        <v>3.81</v>
      </c>
      <c r="AA485" s="25">
        <v>39</v>
      </c>
      <c r="AB485" s="25">
        <v>14</v>
      </c>
      <c r="AC485" s="25">
        <v>0</v>
      </c>
      <c r="AD485" s="28">
        <v>0.9</v>
      </c>
      <c r="AE485" s="28">
        <v>0.6</v>
      </c>
      <c r="AF485" s="28">
        <v>0.3</v>
      </c>
      <c r="AG485" s="28">
        <v>5</v>
      </c>
      <c r="AH485" s="24">
        <v>242</v>
      </c>
      <c r="AI485" s="28">
        <v>90</v>
      </c>
      <c r="AJ485" s="13" t="str">
        <f xml:space="preserve"> IF(AD485&gt;F485,"Exceso en grasa saturada",IFERROR(IF(F485=0,"No tiene sello",IF((AD485*9)*100/F485&gt;10,"Exceso en grasa saturada","No tiene sello")),"No tiene sello"))</f>
        <v>No tiene sello</v>
      </c>
      <c r="AK485" s="13">
        <f>IF(AJ485="No tiene sello",0,1)</f>
        <v>0</v>
      </c>
      <c r="AL485" s="13" t="str">
        <f>IF(Q485&gt;=300,"Exceso en sodio",IFERROR(IF(AND(F485=0,Q485&gt;0),"No tiene sello",IF(Q485/F485&gt;1,"Exceso en sodio","No tiene sello")),"No tiene sello"))</f>
        <v>Exceso en sodio</v>
      </c>
      <c r="AM485" s="13" t="str">
        <f>IFERROR(IF(F485=0,"No tiene sello",IF(+(AG485/1000)*9*100/F485&gt;1,"Exceso en grasa trans", "No tiene sello")),"No tiene sello")</f>
        <v>No tiene sello</v>
      </c>
    </row>
    <row r="486" spans="1:39" ht="13.5" customHeight="1" x14ac:dyDescent="0.25">
      <c r="A486" s="20" t="s">
        <v>669</v>
      </c>
      <c r="B486" s="20" t="s">
        <v>671</v>
      </c>
      <c r="C486" s="20" t="s">
        <v>670</v>
      </c>
      <c r="D486" s="46">
        <v>100</v>
      </c>
      <c r="E486" s="23">
        <v>62.8</v>
      </c>
      <c r="F486" s="24">
        <v>176</v>
      </c>
      <c r="G486" s="23">
        <v>740</v>
      </c>
      <c r="H486" s="24">
        <v>28.7</v>
      </c>
      <c r="I486" s="24">
        <v>6.6</v>
      </c>
      <c r="J486" s="24">
        <v>0.5</v>
      </c>
      <c r="K486" s="23">
        <v>0</v>
      </c>
      <c r="L486" s="23">
        <v>0.05</v>
      </c>
      <c r="M486" s="24">
        <v>0</v>
      </c>
      <c r="N486" s="23">
        <v>1.4</v>
      </c>
      <c r="O486" s="25">
        <v>10</v>
      </c>
      <c r="P486" s="25">
        <v>3</v>
      </c>
      <c r="Q486" s="23">
        <v>78</v>
      </c>
      <c r="R486" s="25">
        <v>245</v>
      </c>
      <c r="S486" s="23">
        <v>5.2</v>
      </c>
      <c r="T486" s="23">
        <v>31</v>
      </c>
      <c r="U486" s="23">
        <v>390</v>
      </c>
      <c r="V486" s="23">
        <v>7.0000000000000007E-2</v>
      </c>
      <c r="W486" s="23">
        <v>0.26</v>
      </c>
      <c r="X486" s="23">
        <v>5.9</v>
      </c>
      <c r="Y486" s="23">
        <v>5</v>
      </c>
      <c r="Z486" s="23">
        <v>2</v>
      </c>
      <c r="AA486" s="25">
        <v>0</v>
      </c>
      <c r="AB486" s="25">
        <v>1</v>
      </c>
      <c r="AC486" s="25">
        <v>0</v>
      </c>
      <c r="AD486" s="23">
        <v>2.4</v>
      </c>
      <c r="AE486" s="23">
        <v>2.5</v>
      </c>
      <c r="AF486" s="23">
        <v>0.9</v>
      </c>
      <c r="AG486" s="23">
        <v>50</v>
      </c>
      <c r="AH486" s="24">
        <v>86</v>
      </c>
      <c r="AI486" s="23">
        <v>100</v>
      </c>
      <c r="AJ486" s="13" t="str">
        <f xml:space="preserve"> IF(AD486&gt;F486,"Exceso en grasa saturada",IFERROR(IF(F486=0,"No tiene sello",IF((AD486*9)*100/F486&gt;10,"Exceso en grasa saturada","No tiene sello")),"No tiene sello"))</f>
        <v>Exceso en grasa saturada</v>
      </c>
      <c r="AK486" s="13">
        <f>IF(AJ486="No tiene sello",0,1)</f>
        <v>1</v>
      </c>
      <c r="AL486" s="13" t="str">
        <f>IF(Q486&gt;=300,"Exceso en sodio",IFERROR(IF(AND(F486=0,Q486&gt;0),"No tiene sello",IF(Q486/F486&gt;1,"Exceso en sodio","No tiene sello")),"No tiene sello"))</f>
        <v>No tiene sello</v>
      </c>
      <c r="AM486" s="13" t="str">
        <f>IFERROR(IF(F486=0,"No tiene sello",IF(+(AG486/1000)*9*100/F486&gt;1,"Exceso en grasa trans", "No tiene sello")),"No tiene sello")</f>
        <v>No tiene sello</v>
      </c>
    </row>
    <row r="487" spans="1:39" ht="13.5" customHeight="1" x14ac:dyDescent="0.25">
      <c r="A487" s="26" t="s">
        <v>667</v>
      </c>
      <c r="B487" s="26" t="s">
        <v>668</v>
      </c>
      <c r="C487" s="26" t="s">
        <v>665</v>
      </c>
      <c r="D487" s="47">
        <v>100</v>
      </c>
      <c r="E487" s="28">
        <v>79.099999999999994</v>
      </c>
      <c r="F487" s="24">
        <v>102</v>
      </c>
      <c r="G487" s="28">
        <v>427</v>
      </c>
      <c r="H487" s="24">
        <v>15</v>
      </c>
      <c r="I487" s="24">
        <v>4.0999999999999996</v>
      </c>
      <c r="J487" s="24">
        <v>1.1000000000000001</v>
      </c>
      <c r="K487" s="28">
        <v>0</v>
      </c>
      <c r="L487" s="28">
        <v>0.11</v>
      </c>
      <c r="M487" s="24">
        <v>0</v>
      </c>
      <c r="N487" s="28">
        <v>0.6</v>
      </c>
      <c r="O487" s="25">
        <v>81</v>
      </c>
      <c r="P487" s="25">
        <v>0.6</v>
      </c>
      <c r="Q487" s="28">
        <v>68</v>
      </c>
      <c r="R487" s="25">
        <v>65</v>
      </c>
      <c r="S487" s="28">
        <v>1.7</v>
      </c>
      <c r="T487" s="28">
        <v>16</v>
      </c>
      <c r="U487" s="28">
        <v>42</v>
      </c>
      <c r="V487" s="28">
        <v>0</v>
      </c>
      <c r="W487" s="28">
        <v>0.02</v>
      </c>
      <c r="X487" s="28">
        <v>1.6</v>
      </c>
      <c r="Y487" s="28">
        <v>3</v>
      </c>
      <c r="Z487" s="28">
        <v>0.72</v>
      </c>
      <c r="AA487" s="25">
        <v>0</v>
      </c>
      <c r="AB487" s="25">
        <v>0</v>
      </c>
      <c r="AC487" s="25">
        <v>0</v>
      </c>
      <c r="AD487" s="28">
        <v>1.4</v>
      </c>
      <c r="AE487" s="28">
        <v>1.6</v>
      </c>
      <c r="AF487" s="28">
        <v>0.2</v>
      </c>
      <c r="AG487" s="28">
        <v>5</v>
      </c>
      <c r="AH487" s="24">
        <v>157</v>
      </c>
      <c r="AI487" s="28">
        <v>100</v>
      </c>
      <c r="AJ487" s="13" t="str">
        <f xml:space="preserve"> IF(AD487&gt;F487,"Exceso en grasa saturada",IFERROR(IF(F487=0,"No tiene sello",IF((AD487*9)*100/F487&gt;10,"Exceso en grasa saturada","No tiene sello")),"No tiene sello"))</f>
        <v>Exceso en grasa saturada</v>
      </c>
      <c r="AK487" s="13">
        <f>IF(AJ487="No tiene sello",0,1)</f>
        <v>1</v>
      </c>
      <c r="AL487" s="13" t="str">
        <f>IF(Q487&gt;=300,"Exceso en sodio",IFERROR(IF(AND(F487=0,Q487&gt;0),"No tiene sello",IF(Q487/F487&gt;1,"Exceso en sodio","No tiene sello")),"No tiene sello"))</f>
        <v>No tiene sello</v>
      </c>
      <c r="AM487" s="13" t="str">
        <f>IFERROR(IF(F487=0,"No tiene sello",IF(+(AG487/1000)*9*100/F487&gt;1,"Exceso en grasa trans", "No tiene sello")),"No tiene sello")</f>
        <v>No tiene sello</v>
      </c>
    </row>
    <row r="488" spans="1:39" ht="13.5" customHeight="1" x14ac:dyDescent="0.25">
      <c r="A488" s="20" t="s">
        <v>664</v>
      </c>
      <c r="B488" s="20" t="s">
        <v>666</v>
      </c>
      <c r="C488" s="20" t="s">
        <v>665</v>
      </c>
      <c r="D488" s="46">
        <v>100</v>
      </c>
      <c r="E488" s="23">
        <v>81</v>
      </c>
      <c r="F488" s="24">
        <v>95</v>
      </c>
      <c r="G488" s="23">
        <v>400</v>
      </c>
      <c r="H488" s="24">
        <v>14.6</v>
      </c>
      <c r="I488" s="24">
        <v>4.0999999999999996</v>
      </c>
      <c r="J488" s="24">
        <v>0</v>
      </c>
      <c r="K488" s="23">
        <v>0</v>
      </c>
      <c r="L488" s="23">
        <v>0</v>
      </c>
      <c r="M488" s="24">
        <v>0</v>
      </c>
      <c r="N488" s="23">
        <v>0.3</v>
      </c>
      <c r="O488" s="25">
        <v>67</v>
      </c>
      <c r="P488" s="25">
        <v>0.8</v>
      </c>
      <c r="Q488" s="23">
        <v>97</v>
      </c>
      <c r="R488" s="25">
        <v>63</v>
      </c>
      <c r="S488" s="23">
        <v>1.4</v>
      </c>
      <c r="T488" s="23">
        <v>13</v>
      </c>
      <c r="U488" s="23">
        <v>67</v>
      </c>
      <c r="V488" s="23">
        <v>0.03</v>
      </c>
      <c r="W488" s="23">
        <v>0.11</v>
      </c>
      <c r="X488" s="23">
        <v>0.7</v>
      </c>
      <c r="Y488" s="23">
        <v>5</v>
      </c>
      <c r="Z488" s="23">
        <v>1.39</v>
      </c>
      <c r="AA488" s="25">
        <v>0</v>
      </c>
      <c r="AB488" s="25">
        <v>0</v>
      </c>
      <c r="AC488" s="25">
        <v>0</v>
      </c>
      <c r="AD488" s="23">
        <v>1.6</v>
      </c>
      <c r="AE488" s="23">
        <v>1.5</v>
      </c>
      <c r="AF488" s="23">
        <v>0.2</v>
      </c>
      <c r="AG488" s="23">
        <v>5</v>
      </c>
      <c r="AH488" s="24">
        <v>122</v>
      </c>
      <c r="AI488" s="23">
        <v>100</v>
      </c>
      <c r="AJ488" s="13" t="str">
        <f xml:space="preserve"> IF(AD488&gt;F488,"Exceso en grasa saturada",IFERROR(IF(F488=0,"No tiene sello",IF((AD488*9)*100/F488&gt;10,"Exceso en grasa saturada","No tiene sello")),"No tiene sello"))</f>
        <v>Exceso en grasa saturada</v>
      </c>
      <c r="AK488" s="13">
        <f>IF(AJ488="No tiene sello",0,1)</f>
        <v>1</v>
      </c>
      <c r="AL488" s="13" t="str">
        <f>IF(Q488&gt;=300,"Exceso en sodio",IFERROR(IF(AND(F488=0,Q488&gt;0),"No tiene sello",IF(Q488/F488&gt;1,"Exceso en sodio","No tiene sello")),"No tiene sello"))</f>
        <v>Exceso en sodio</v>
      </c>
      <c r="AM488" s="13" t="str">
        <f>IFERROR(IF(F488=0,"No tiene sello",IF(+(AG488/1000)*9*100/F488&gt;1,"Exceso en grasa trans", "No tiene sello")),"No tiene sello")</f>
        <v>No tiene sello</v>
      </c>
    </row>
    <row r="489" spans="1:39" ht="13.5" customHeight="1" x14ac:dyDescent="0.25">
      <c r="A489" s="26" t="s">
        <v>662</v>
      </c>
      <c r="B489" s="26" t="s">
        <v>663</v>
      </c>
      <c r="C489" s="27"/>
      <c r="D489" s="47">
        <v>100</v>
      </c>
      <c r="E489" s="28">
        <v>60.2</v>
      </c>
      <c r="F489" s="24">
        <v>257</v>
      </c>
      <c r="G489" s="28">
        <v>1066</v>
      </c>
      <c r="H489" s="24">
        <v>18.399999999999999</v>
      </c>
      <c r="I489" s="24">
        <v>20.3</v>
      </c>
      <c r="J489" s="24">
        <v>0.2</v>
      </c>
      <c r="K489" s="28">
        <v>0</v>
      </c>
      <c r="L489" s="28">
        <v>0.02</v>
      </c>
      <c r="M489" s="24">
        <v>0</v>
      </c>
      <c r="N489" s="28">
        <v>0.9</v>
      </c>
      <c r="O489" s="25">
        <v>8</v>
      </c>
      <c r="P489" s="25">
        <v>1.5</v>
      </c>
      <c r="Q489" s="28">
        <v>58</v>
      </c>
      <c r="R489" s="25">
        <v>174</v>
      </c>
      <c r="S489" s="28">
        <v>3.5</v>
      </c>
      <c r="T489" s="28">
        <v>19</v>
      </c>
      <c r="U489" s="28">
        <v>267</v>
      </c>
      <c r="V489" s="28">
        <v>0.09</v>
      </c>
      <c r="W489" s="28">
        <v>0.16</v>
      </c>
      <c r="X489" s="28">
        <v>3.2</v>
      </c>
      <c r="Y489" s="28">
        <v>6</v>
      </c>
      <c r="Z489" s="28">
        <v>2.2200000000000002</v>
      </c>
      <c r="AA489" s="25">
        <v>0</v>
      </c>
      <c r="AB489" s="25">
        <v>0</v>
      </c>
      <c r="AC489" s="25">
        <v>0</v>
      </c>
      <c r="AD489" s="28">
        <v>6.9</v>
      </c>
      <c r="AE489" s="28">
        <v>6.2</v>
      </c>
      <c r="AF489" s="28">
        <v>0.1</v>
      </c>
      <c r="AG489" s="28">
        <v>10</v>
      </c>
      <c r="AH489" s="24">
        <v>63</v>
      </c>
      <c r="AI489" s="28">
        <v>100</v>
      </c>
      <c r="AJ489" s="13" t="str">
        <f xml:space="preserve"> IF(AD489&gt;F489,"Exceso en grasa saturada",IFERROR(IF(F489=0,"No tiene sello",IF((AD489*9)*100/F489&gt;10,"Exceso en grasa saturada","No tiene sello")),"No tiene sello"))</f>
        <v>Exceso en grasa saturada</v>
      </c>
      <c r="AK489" s="13">
        <f>IF(AJ489="No tiene sello",0,1)</f>
        <v>1</v>
      </c>
      <c r="AL489" s="13" t="str">
        <f>IF(Q489&gt;=300,"Exceso en sodio",IFERROR(IF(AND(F489=0,Q489&gt;0),"No tiene sello",IF(Q489/F489&gt;1,"Exceso en sodio","No tiene sello")),"No tiene sello"))</f>
        <v>No tiene sello</v>
      </c>
      <c r="AM489" s="13" t="str">
        <f>IFERROR(IF(F489=0,"No tiene sello",IF(+(AG489/1000)*9*100/F489&gt;1,"Exceso en grasa trans", "No tiene sello")),"No tiene sello")</f>
        <v>No tiene sello</v>
      </c>
    </row>
    <row r="490" spans="1:39" s="5" customFormat="1" ht="13.5" customHeight="1" x14ac:dyDescent="0.25">
      <c r="A490" s="20" t="s">
        <v>660</v>
      </c>
      <c r="B490" s="20" t="s">
        <v>661</v>
      </c>
      <c r="C490" s="21"/>
      <c r="D490" s="46">
        <v>100</v>
      </c>
      <c r="E490" s="23">
        <v>71.599999999999994</v>
      </c>
      <c r="F490" s="24">
        <v>139</v>
      </c>
      <c r="G490" s="23">
        <v>582</v>
      </c>
      <c r="H490" s="24">
        <v>21.8</v>
      </c>
      <c r="I490" s="24">
        <v>5.7</v>
      </c>
      <c r="J490" s="24">
        <v>0</v>
      </c>
      <c r="K490" s="23">
        <v>0</v>
      </c>
      <c r="L490" s="23">
        <v>0</v>
      </c>
      <c r="M490" s="24">
        <v>0</v>
      </c>
      <c r="N490" s="23">
        <v>1.2</v>
      </c>
      <c r="O490" s="25">
        <v>6</v>
      </c>
      <c r="P490" s="25">
        <v>2.7</v>
      </c>
      <c r="Q490" s="23">
        <v>51</v>
      </c>
      <c r="R490" s="25">
        <v>215</v>
      </c>
      <c r="S490" s="23">
        <v>3.6</v>
      </c>
      <c r="T490" s="23">
        <v>18</v>
      </c>
      <c r="U490" s="23">
        <v>337</v>
      </c>
      <c r="V490" s="23">
        <v>0.08</v>
      </c>
      <c r="W490" s="23">
        <v>0.23</v>
      </c>
      <c r="X490" s="23">
        <v>5.0999999999999996</v>
      </c>
      <c r="Y490" s="23">
        <v>7</v>
      </c>
      <c r="Z490" s="23">
        <v>2.65</v>
      </c>
      <c r="AA490" s="25">
        <v>0</v>
      </c>
      <c r="AB490" s="25">
        <v>0</v>
      </c>
      <c r="AC490" s="25">
        <v>0</v>
      </c>
      <c r="AD490" s="23">
        <v>2.4</v>
      </c>
      <c r="AE490" s="23">
        <v>2.4</v>
      </c>
      <c r="AF490" s="23">
        <v>0.3</v>
      </c>
      <c r="AG490" s="23">
        <v>5</v>
      </c>
      <c r="AH490" s="24">
        <v>59</v>
      </c>
      <c r="AI490" s="23">
        <v>100</v>
      </c>
      <c r="AJ490" s="13" t="str">
        <f xml:space="preserve"> IF(AD490&gt;F490,"Exceso en grasa saturada",IFERROR(IF(F490=0,"No tiene sello",IF((AD490*9)*100/F490&gt;10,"Exceso en grasa saturada","No tiene sello")),"No tiene sello"))</f>
        <v>Exceso en grasa saturada</v>
      </c>
      <c r="AK490" s="13">
        <f>IF(AJ490="No tiene sello",0,1)</f>
        <v>1</v>
      </c>
      <c r="AL490" s="13" t="str">
        <f>IF(Q490&gt;=300,"Exceso en sodio",IFERROR(IF(AND(F490=0,Q490&gt;0),"No tiene sello",IF(Q490/F490&gt;1,"Exceso en sodio","No tiene sello")),"No tiene sello"))</f>
        <v>No tiene sello</v>
      </c>
      <c r="AM490" s="13" t="str">
        <f>IFERROR(IF(F490=0,"No tiene sello",IF(+(AG490/1000)*9*100/F490&gt;1,"Exceso en grasa trans", "No tiene sello")),"No tiene sello")</f>
        <v>No tiene sello</v>
      </c>
    </row>
    <row r="491" spans="1:39" ht="13.5" customHeight="1" x14ac:dyDescent="0.25">
      <c r="A491" s="26" t="s">
        <v>658</v>
      </c>
      <c r="B491" s="26" t="s">
        <v>659</v>
      </c>
      <c r="C491" s="27"/>
      <c r="D491" s="47">
        <v>100</v>
      </c>
      <c r="E491" s="28">
        <v>62</v>
      </c>
      <c r="F491" s="24">
        <v>223</v>
      </c>
      <c r="G491" s="28">
        <v>930</v>
      </c>
      <c r="H491" s="24">
        <v>21.6</v>
      </c>
      <c r="I491" s="24">
        <v>15.1</v>
      </c>
      <c r="J491" s="24">
        <v>0.3</v>
      </c>
      <c r="K491" s="28">
        <v>0</v>
      </c>
      <c r="L491" s="28">
        <v>0.03</v>
      </c>
      <c r="M491" s="24">
        <v>0</v>
      </c>
      <c r="N491" s="28">
        <v>1</v>
      </c>
      <c r="O491" s="25">
        <v>6</v>
      </c>
      <c r="P491" s="25">
        <v>1.9</v>
      </c>
      <c r="Q491" s="28">
        <v>50</v>
      </c>
      <c r="R491" s="25">
        <v>182</v>
      </c>
      <c r="S491" s="28">
        <v>3.5</v>
      </c>
      <c r="T491" s="28">
        <v>13</v>
      </c>
      <c r="U491" s="28">
        <v>291</v>
      </c>
      <c r="V491" s="28">
        <v>0.06</v>
      </c>
      <c r="W491" s="28">
        <v>0.17</v>
      </c>
      <c r="X491" s="28">
        <v>4.3</v>
      </c>
      <c r="Y491" s="28">
        <v>3</v>
      </c>
      <c r="Z491" s="28">
        <v>2.13</v>
      </c>
      <c r="AA491" s="25">
        <v>0</v>
      </c>
      <c r="AB491" s="25">
        <v>2</v>
      </c>
      <c r="AC491" s="25">
        <v>0</v>
      </c>
      <c r="AD491" s="28">
        <v>2.8</v>
      </c>
      <c r="AE491" s="28">
        <v>2.2999999999999998</v>
      </c>
      <c r="AF491" s="28">
        <v>0.2</v>
      </c>
      <c r="AG491" s="28">
        <v>10</v>
      </c>
      <c r="AH491" s="24">
        <v>53</v>
      </c>
      <c r="AI491" s="28">
        <v>100</v>
      </c>
      <c r="AJ491" s="13" t="str">
        <f xml:space="preserve"> IF(AD491&gt;F491,"Exceso en grasa saturada",IFERROR(IF(F491=0,"No tiene sello",IF((AD491*9)*100/F491&gt;10,"Exceso en grasa saturada","No tiene sello")),"No tiene sello"))</f>
        <v>Exceso en grasa saturada</v>
      </c>
      <c r="AK491" s="13">
        <f>IF(AJ491="No tiene sello",0,1)</f>
        <v>1</v>
      </c>
      <c r="AL491" s="13" t="str">
        <f>IF(Q491&gt;=300,"Exceso en sodio",IFERROR(IF(AND(F491=0,Q491&gt;0),"No tiene sello",IF(Q491/F491&gt;1,"Exceso en sodio","No tiene sello")),"No tiene sello"))</f>
        <v>No tiene sello</v>
      </c>
      <c r="AM491" s="13" t="str">
        <f>IFERROR(IF(F491=0,"No tiene sello",IF(+(AG491/1000)*9*100/F491&gt;1,"Exceso en grasa trans", "No tiene sello")),"No tiene sello")</f>
        <v>No tiene sello</v>
      </c>
    </row>
    <row r="492" spans="1:39" ht="13.5" customHeight="1" x14ac:dyDescent="0.25">
      <c r="A492" s="20" t="s">
        <v>656</v>
      </c>
      <c r="B492" s="20" t="s">
        <v>657</v>
      </c>
      <c r="C492" s="21"/>
      <c r="D492" s="46">
        <v>100</v>
      </c>
      <c r="E492" s="23">
        <v>66.5</v>
      </c>
      <c r="F492" s="24">
        <v>194</v>
      </c>
      <c r="G492" s="23">
        <v>807</v>
      </c>
      <c r="H492" s="24">
        <v>19.600000000000001</v>
      </c>
      <c r="I492" s="24">
        <v>12.7</v>
      </c>
      <c r="J492" s="24">
        <v>0.2</v>
      </c>
      <c r="K492" s="23">
        <v>0</v>
      </c>
      <c r="L492" s="23">
        <v>0.02</v>
      </c>
      <c r="M492" s="24">
        <v>0</v>
      </c>
      <c r="N492" s="23">
        <v>1</v>
      </c>
      <c r="O492" s="25">
        <v>11</v>
      </c>
      <c r="P492" s="25">
        <v>1.8</v>
      </c>
      <c r="Q492" s="23">
        <v>60</v>
      </c>
      <c r="R492" s="25">
        <v>157</v>
      </c>
      <c r="S492" s="23">
        <v>4.5999999999999996</v>
      </c>
      <c r="T492" s="23">
        <v>19</v>
      </c>
      <c r="U492" s="23">
        <v>256</v>
      </c>
      <c r="V492" s="23">
        <v>0.12</v>
      </c>
      <c r="W492" s="23">
        <v>0.21</v>
      </c>
      <c r="X492" s="23">
        <v>4.9000000000000004</v>
      </c>
      <c r="Y492" s="23">
        <v>8</v>
      </c>
      <c r="Z492" s="23">
        <v>2.35</v>
      </c>
      <c r="AA492" s="25">
        <v>0</v>
      </c>
      <c r="AB492" s="25">
        <v>3</v>
      </c>
      <c r="AC492" s="25">
        <v>0</v>
      </c>
      <c r="AD492" s="23">
        <v>5.5</v>
      </c>
      <c r="AE492" s="23">
        <v>6.1</v>
      </c>
      <c r="AF492" s="23">
        <v>0.4</v>
      </c>
      <c r="AG492" s="23">
        <v>10</v>
      </c>
      <c r="AH492" s="24">
        <v>60</v>
      </c>
      <c r="AI492" s="23">
        <v>100</v>
      </c>
      <c r="AJ492" s="13" t="str">
        <f xml:space="preserve"> IF(AD492&gt;F492,"Exceso en grasa saturada",IFERROR(IF(F492=0,"No tiene sello",IF((AD492*9)*100/F492&gt;10,"Exceso en grasa saturada","No tiene sello")),"No tiene sello"))</f>
        <v>Exceso en grasa saturada</v>
      </c>
      <c r="AK492" s="13">
        <f>IF(AJ492="No tiene sello",0,1)</f>
        <v>1</v>
      </c>
      <c r="AL492" s="13" t="str">
        <f>IF(Q492&gt;=300,"Exceso en sodio",IFERROR(IF(AND(F492=0,Q492&gt;0),"No tiene sello",IF(Q492/F492&gt;1,"Exceso en sodio","No tiene sello")),"No tiene sello"))</f>
        <v>No tiene sello</v>
      </c>
      <c r="AM492" s="13" t="str">
        <f>IFERROR(IF(F492=0,"No tiene sello",IF(+(AG492/1000)*9*100/F492&gt;1,"Exceso en grasa trans", "No tiene sello")),"No tiene sello")</f>
        <v>No tiene sello</v>
      </c>
    </row>
    <row r="493" spans="1:39" ht="13.5" customHeight="1" x14ac:dyDescent="0.25">
      <c r="A493" s="26" t="s">
        <v>655</v>
      </c>
      <c r="B493" s="38" t="s">
        <v>1871</v>
      </c>
      <c r="C493" s="26" t="s">
        <v>653</v>
      </c>
      <c r="D493" s="47">
        <v>100</v>
      </c>
      <c r="E493" s="28">
        <v>69.2</v>
      </c>
      <c r="F493" s="24">
        <v>216</v>
      </c>
      <c r="G493" s="28">
        <v>894</v>
      </c>
      <c r="H493" s="24">
        <v>11</v>
      </c>
      <c r="I493" s="24">
        <v>19.100000000000001</v>
      </c>
      <c r="J493" s="24">
        <v>0</v>
      </c>
      <c r="K493" s="28">
        <v>0</v>
      </c>
      <c r="L493" s="28">
        <v>0</v>
      </c>
      <c r="M493" s="24">
        <v>0</v>
      </c>
      <c r="N493" s="28">
        <v>0.7</v>
      </c>
      <c r="O493" s="25">
        <v>12</v>
      </c>
      <c r="P493" s="25">
        <v>18</v>
      </c>
      <c r="Q493" s="28">
        <v>46</v>
      </c>
      <c r="R493" s="25">
        <v>110</v>
      </c>
      <c r="S493" s="28">
        <v>2.5</v>
      </c>
      <c r="T493" s="28">
        <v>25</v>
      </c>
      <c r="U493" s="28">
        <v>237</v>
      </c>
      <c r="V493" s="28">
        <v>0.04</v>
      </c>
      <c r="W493" s="28">
        <v>0.16</v>
      </c>
      <c r="X493" s="28">
        <v>2</v>
      </c>
      <c r="Y493" s="28">
        <v>0</v>
      </c>
      <c r="Z493" s="28">
        <v>0.1</v>
      </c>
      <c r="AA493" s="25">
        <v>0</v>
      </c>
      <c r="AB493" s="25">
        <v>53</v>
      </c>
      <c r="AC493" s="25">
        <v>0</v>
      </c>
      <c r="AD493" s="28">
        <v>15</v>
      </c>
      <c r="AE493" s="28">
        <v>1.3</v>
      </c>
      <c r="AF493" s="28">
        <v>1.1000000000000001</v>
      </c>
      <c r="AG493" s="28">
        <v>50</v>
      </c>
      <c r="AH493" s="24">
        <v>150</v>
      </c>
      <c r="AI493" s="28">
        <v>100</v>
      </c>
      <c r="AJ493" s="13" t="str">
        <f xml:space="preserve"> IF(AD493&gt;F493,"Exceso en grasa saturada",IFERROR(IF(F493=0,"No tiene sello",IF((AD493*9)*100/F493&gt;10,"Exceso en grasa saturada","No tiene sello")),"No tiene sello"))</f>
        <v>Exceso en grasa saturada</v>
      </c>
      <c r="AK493" s="13">
        <f>IF(AJ493="No tiene sello",0,1)</f>
        <v>1</v>
      </c>
      <c r="AL493" s="13" t="str">
        <f>IF(Q493&gt;=300,"Exceso en sodio",IFERROR(IF(AND(F493=0,Q493&gt;0),"No tiene sello",IF(Q493/F493&gt;1,"Exceso en sodio","No tiene sello")),"No tiene sello"))</f>
        <v>No tiene sello</v>
      </c>
      <c r="AM493" s="13" t="str">
        <f>IFERROR(IF(F493=0,"No tiene sello",IF(+(AG493/1000)*9*100/F493&gt;1,"Exceso en grasa trans", "No tiene sello")),"No tiene sello")</f>
        <v>No tiene sello</v>
      </c>
    </row>
    <row r="494" spans="1:39" s="5" customFormat="1" ht="13.5" customHeight="1" x14ac:dyDescent="0.25">
      <c r="A494" s="20" t="s">
        <v>652</v>
      </c>
      <c r="B494" s="20" t="s">
        <v>654</v>
      </c>
      <c r="C494" s="20" t="s">
        <v>653</v>
      </c>
      <c r="D494" s="46">
        <v>100</v>
      </c>
      <c r="E494" s="23">
        <v>44.8</v>
      </c>
      <c r="F494" s="24">
        <v>341</v>
      </c>
      <c r="G494" s="23">
        <v>1415</v>
      </c>
      <c r="H494" s="24">
        <v>24.5</v>
      </c>
      <c r="I494" s="24">
        <v>26.2</v>
      </c>
      <c r="J494" s="24">
        <v>1.7</v>
      </c>
      <c r="K494" s="23">
        <v>0</v>
      </c>
      <c r="L494" s="23">
        <v>0.17</v>
      </c>
      <c r="M494" s="24">
        <v>0</v>
      </c>
      <c r="N494" s="23">
        <v>2.8</v>
      </c>
      <c r="O494" s="25">
        <v>0</v>
      </c>
      <c r="P494" s="25">
        <v>0</v>
      </c>
      <c r="Q494" s="23">
        <v>0</v>
      </c>
      <c r="R494" s="25">
        <v>0</v>
      </c>
      <c r="S494" s="23">
        <v>0</v>
      </c>
      <c r="T494" s="23">
        <v>0</v>
      </c>
      <c r="U494" s="23">
        <v>0</v>
      </c>
      <c r="V494" s="23">
        <v>0.04</v>
      </c>
      <c r="W494" s="23">
        <v>0.21</v>
      </c>
      <c r="X494" s="23">
        <v>2.4</v>
      </c>
      <c r="Y494" s="23">
        <v>0</v>
      </c>
      <c r="Z494" s="23">
        <v>0</v>
      </c>
      <c r="AA494" s="25">
        <v>0</v>
      </c>
      <c r="AB494" s="25">
        <v>0</v>
      </c>
      <c r="AC494" s="25">
        <v>0</v>
      </c>
      <c r="AD494" s="23">
        <v>0</v>
      </c>
      <c r="AE494" s="23">
        <v>0</v>
      </c>
      <c r="AF494" s="23">
        <v>0</v>
      </c>
      <c r="AG494" s="23">
        <v>50</v>
      </c>
      <c r="AH494" s="24">
        <v>0</v>
      </c>
      <c r="AI494" s="23">
        <v>100</v>
      </c>
      <c r="AJ494" s="13" t="str">
        <f xml:space="preserve"> IF(AD494&gt;F494,"Exceso en grasa saturada",IFERROR(IF(F494=0,"No tiene sello",IF((AD494*9)*100/F494&gt;10,"Exceso en grasa saturada","No tiene sello")),"No tiene sello"))</f>
        <v>No tiene sello</v>
      </c>
      <c r="AK494" s="13">
        <f>IF(AJ494="No tiene sello",0,1)</f>
        <v>0</v>
      </c>
      <c r="AL494" s="13" t="str">
        <f>IF(Q494&gt;=300,"Exceso en sodio",IFERROR(IF(AND(F494=0,Q494&gt;0),"No tiene sello",IF(Q494/F494&gt;1,"Exceso en sodio","No tiene sello")),"No tiene sello"))</f>
        <v>No tiene sello</v>
      </c>
      <c r="AM494" s="13" t="str">
        <f>IFERROR(IF(F494=0,"No tiene sello",IF(+(AG494/1000)*9*100/F494&gt;1,"Exceso en grasa trans", "No tiene sello")),"No tiene sello")</f>
        <v>No tiene sello</v>
      </c>
    </row>
    <row r="495" spans="1:39" ht="13.5" customHeight="1" x14ac:dyDescent="0.25">
      <c r="A495" s="26" t="s">
        <v>649</v>
      </c>
      <c r="B495" s="26" t="s">
        <v>651</v>
      </c>
      <c r="C495" s="26" t="s">
        <v>650</v>
      </c>
      <c r="D495" s="47">
        <v>100</v>
      </c>
      <c r="E495" s="28">
        <v>60.7</v>
      </c>
      <c r="F495" s="24">
        <v>175</v>
      </c>
      <c r="G495" s="28">
        <v>737</v>
      </c>
      <c r="H495" s="24">
        <v>33.200000000000003</v>
      </c>
      <c r="I495" s="24">
        <v>4.5</v>
      </c>
      <c r="J495" s="24">
        <v>0.4</v>
      </c>
      <c r="K495" s="28">
        <v>0</v>
      </c>
      <c r="L495" s="28">
        <v>0.04</v>
      </c>
      <c r="M495" s="24">
        <v>0</v>
      </c>
      <c r="N495" s="28">
        <v>1.2</v>
      </c>
      <c r="O495" s="25">
        <v>5</v>
      </c>
      <c r="P495" s="25">
        <v>3.1</v>
      </c>
      <c r="Q495" s="28">
        <v>67</v>
      </c>
      <c r="R495" s="25">
        <v>206</v>
      </c>
      <c r="S495" s="28">
        <v>4.3</v>
      </c>
      <c r="T495" s="28">
        <v>31</v>
      </c>
      <c r="U495" s="28">
        <v>401</v>
      </c>
      <c r="V495" s="28">
        <v>0.08</v>
      </c>
      <c r="W495" s="28">
        <v>0.23</v>
      </c>
      <c r="X495" s="28">
        <v>6.7</v>
      </c>
      <c r="Y495" s="28">
        <v>5</v>
      </c>
      <c r="Z495" s="28">
        <v>2.3199999999999998</v>
      </c>
      <c r="AA495" s="25">
        <v>0</v>
      </c>
      <c r="AB495" s="25">
        <v>4</v>
      </c>
      <c r="AC495" s="25">
        <v>0</v>
      </c>
      <c r="AD495" s="28">
        <v>1.6</v>
      </c>
      <c r="AE495" s="28">
        <v>1.9</v>
      </c>
      <c r="AF495" s="28">
        <v>0.3</v>
      </c>
      <c r="AG495" s="28">
        <v>50</v>
      </c>
      <c r="AH495" s="24">
        <v>89</v>
      </c>
      <c r="AI495" s="28">
        <v>100</v>
      </c>
      <c r="AJ495" s="13" t="str">
        <f xml:space="preserve"> IF(AD495&gt;F495,"Exceso en grasa saturada",IFERROR(IF(F495=0,"No tiene sello",IF((AD495*9)*100/F495&gt;10,"Exceso en grasa saturada","No tiene sello")),"No tiene sello"))</f>
        <v>No tiene sello</v>
      </c>
      <c r="AK495" s="13">
        <f>IF(AJ495="No tiene sello",0,1)</f>
        <v>0</v>
      </c>
      <c r="AL495" s="13" t="str">
        <f>IF(Q495&gt;=300,"Exceso en sodio",IFERROR(IF(AND(F495=0,Q495&gt;0),"No tiene sello",IF(Q495/F495&gt;1,"Exceso en sodio","No tiene sello")),"No tiene sello"))</f>
        <v>No tiene sello</v>
      </c>
      <c r="AM495" s="13" t="str">
        <f>IFERROR(IF(F495=0,"No tiene sello",IF(+(AG495/1000)*9*100/F495&gt;1,"Exceso en grasa trans", "No tiene sello")),"No tiene sello")</f>
        <v>No tiene sello</v>
      </c>
    </row>
    <row r="496" spans="1:39" ht="13.5" customHeight="1" x14ac:dyDescent="0.25">
      <c r="A496" s="20" t="s">
        <v>647</v>
      </c>
      <c r="B496" s="20" t="s">
        <v>648</v>
      </c>
      <c r="C496" s="20" t="s">
        <v>645</v>
      </c>
      <c r="D496" s="46">
        <v>100</v>
      </c>
      <c r="E496" s="23">
        <v>77.099999999999994</v>
      </c>
      <c r="F496" s="24">
        <v>106</v>
      </c>
      <c r="G496" s="23">
        <v>445</v>
      </c>
      <c r="H496" s="24">
        <v>16.8</v>
      </c>
      <c r="I496" s="24">
        <v>3.7</v>
      </c>
      <c r="J496" s="24">
        <v>1.4</v>
      </c>
      <c r="K496" s="23">
        <v>0</v>
      </c>
      <c r="L496" s="23">
        <v>0.14000000000000001</v>
      </c>
      <c r="M496" s="24">
        <v>0</v>
      </c>
      <c r="N496" s="23">
        <v>1</v>
      </c>
      <c r="O496" s="25">
        <v>8</v>
      </c>
      <c r="P496" s="25">
        <v>5</v>
      </c>
      <c r="Q496" s="23">
        <v>94</v>
      </c>
      <c r="R496" s="25">
        <v>200</v>
      </c>
      <c r="S496" s="23">
        <v>1.8</v>
      </c>
      <c r="T496" s="23">
        <v>22</v>
      </c>
      <c r="U496" s="23">
        <v>281</v>
      </c>
      <c r="V496" s="23">
        <v>0.35</v>
      </c>
      <c r="W496" s="23">
        <v>0.87</v>
      </c>
      <c r="X496" s="23">
        <v>7.1</v>
      </c>
      <c r="Y496" s="23">
        <v>3</v>
      </c>
      <c r="Z496" s="23">
        <v>13</v>
      </c>
      <c r="AA496" s="25">
        <v>5</v>
      </c>
      <c r="AB496" s="25">
        <v>0</v>
      </c>
      <c r="AC496" s="25">
        <v>0</v>
      </c>
      <c r="AD496" s="23">
        <v>1.5</v>
      </c>
      <c r="AE496" s="23">
        <v>1.1000000000000001</v>
      </c>
      <c r="AF496" s="23">
        <v>0.4</v>
      </c>
      <c r="AG496" s="23">
        <v>10</v>
      </c>
      <c r="AH496" s="24">
        <v>131</v>
      </c>
      <c r="AI496" s="23">
        <v>100</v>
      </c>
      <c r="AJ496" s="13" t="str">
        <f xml:space="preserve"> IF(AD496&gt;F496,"Exceso en grasa saturada",IFERROR(IF(F496=0,"No tiene sello",IF((AD496*9)*100/F496&gt;10,"Exceso en grasa saturada","No tiene sello")),"No tiene sello"))</f>
        <v>Exceso en grasa saturada</v>
      </c>
      <c r="AK496" s="13">
        <f>IF(AJ496="No tiene sello",0,1)</f>
        <v>1</v>
      </c>
      <c r="AL496" s="13" t="str">
        <f>IF(Q496&gt;=300,"Exceso en sodio",IFERROR(IF(AND(F496=0,Q496&gt;0),"No tiene sello",IF(Q496/F496&gt;1,"Exceso en sodio","No tiene sello")),"No tiene sello"))</f>
        <v>No tiene sello</v>
      </c>
      <c r="AM496" s="13" t="str">
        <f>IFERROR(IF(F496=0,"No tiene sello",IF(+(AG496/1000)*9*100/F496&gt;1,"Exceso en grasa trans", "No tiene sello")),"No tiene sello")</f>
        <v>No tiene sello</v>
      </c>
    </row>
    <row r="497" spans="1:39" s="4" customFormat="1" ht="13.5" customHeight="1" x14ac:dyDescent="0.25">
      <c r="A497" s="26" t="s">
        <v>644</v>
      </c>
      <c r="B497" s="26" t="s">
        <v>646</v>
      </c>
      <c r="C497" s="26" t="s">
        <v>645</v>
      </c>
      <c r="D497" s="47">
        <v>100</v>
      </c>
      <c r="E497" s="28">
        <v>51.7</v>
      </c>
      <c r="F497" s="24">
        <v>260</v>
      </c>
      <c r="G497" s="28">
        <v>1084</v>
      </c>
      <c r="H497" s="24">
        <v>28.3</v>
      </c>
      <c r="I497" s="24">
        <v>15.5</v>
      </c>
      <c r="J497" s="24">
        <v>1.7</v>
      </c>
      <c r="K497" s="28">
        <v>0</v>
      </c>
      <c r="L497" s="28">
        <v>0.17</v>
      </c>
      <c r="M497" s="24">
        <v>0</v>
      </c>
      <c r="N497" s="28">
        <v>2.8</v>
      </c>
      <c r="O497" s="25">
        <v>8</v>
      </c>
      <c r="P497" s="25">
        <v>6.1</v>
      </c>
      <c r="Q497" s="28">
        <v>0</v>
      </c>
      <c r="R497" s="25">
        <v>249</v>
      </c>
      <c r="S497" s="28">
        <v>0</v>
      </c>
      <c r="T497" s="28">
        <v>0</v>
      </c>
      <c r="U497" s="28">
        <v>0</v>
      </c>
      <c r="V497" s="28">
        <v>0.49</v>
      </c>
      <c r="W497" s="28">
        <v>1.98</v>
      </c>
      <c r="X497" s="28">
        <v>7.2</v>
      </c>
      <c r="Y497" s="28">
        <v>0</v>
      </c>
      <c r="Z497" s="28">
        <v>0</v>
      </c>
      <c r="AA497" s="25">
        <v>6</v>
      </c>
      <c r="AB497" s="25">
        <v>45</v>
      </c>
      <c r="AC497" s="25">
        <v>0</v>
      </c>
      <c r="AD497" s="28">
        <v>0</v>
      </c>
      <c r="AE497" s="28">
        <v>0</v>
      </c>
      <c r="AF497" s="28">
        <v>0</v>
      </c>
      <c r="AG497" s="28">
        <v>50</v>
      </c>
      <c r="AH497" s="24">
        <v>0</v>
      </c>
      <c r="AI497" s="28">
        <v>100</v>
      </c>
      <c r="AJ497" s="13" t="str">
        <f xml:space="preserve"> IF(AD497&gt;F497,"Exceso en grasa saturada",IFERROR(IF(F497=0,"No tiene sello",IF((AD497*9)*100/F497&gt;10,"Exceso en grasa saturada","No tiene sello")),"No tiene sello"))</f>
        <v>No tiene sello</v>
      </c>
      <c r="AK497" s="13">
        <f>IF(AJ497="No tiene sello",0,1)</f>
        <v>0</v>
      </c>
      <c r="AL497" s="13" t="str">
        <f>IF(Q497&gt;=300,"Exceso en sodio",IFERROR(IF(AND(F497=0,Q497&gt;0),"No tiene sello",IF(Q497/F497&gt;1,"Exceso en sodio","No tiene sello")),"No tiene sello"))</f>
        <v>No tiene sello</v>
      </c>
      <c r="AM497" s="13" t="str">
        <f>IFERROR(IF(F497=0,"No tiene sello",IF(+(AG497/1000)*9*100/F497&gt;1,"Exceso en grasa trans", "No tiene sello")),"No tiene sello")</f>
        <v>No tiene sello</v>
      </c>
    </row>
    <row r="498" spans="1:39" ht="13.5" customHeight="1" x14ac:dyDescent="0.25">
      <c r="A498" s="20" t="s">
        <v>641</v>
      </c>
      <c r="B498" s="20" t="s">
        <v>643</v>
      </c>
      <c r="C498" s="20" t="s">
        <v>642</v>
      </c>
      <c r="D498" s="46">
        <v>100</v>
      </c>
      <c r="E498" s="23">
        <v>56.6</v>
      </c>
      <c r="F498" s="24">
        <v>287</v>
      </c>
      <c r="G498" s="23">
        <v>1189</v>
      </c>
      <c r="H498" s="24">
        <v>17.100000000000001</v>
      </c>
      <c r="I498" s="24">
        <v>23.3</v>
      </c>
      <c r="J498" s="24">
        <v>2.2999999999999998</v>
      </c>
      <c r="K498" s="23">
        <v>0</v>
      </c>
      <c r="L498" s="23">
        <v>0.23</v>
      </c>
      <c r="M498" s="24">
        <v>0</v>
      </c>
      <c r="N498" s="23">
        <v>0.8</v>
      </c>
      <c r="O498" s="25">
        <v>9</v>
      </c>
      <c r="P498" s="25">
        <v>1.6</v>
      </c>
      <c r="Q498" s="23">
        <v>60</v>
      </c>
      <c r="R498" s="25">
        <v>176</v>
      </c>
      <c r="S498" s="23">
        <v>3.5</v>
      </c>
      <c r="T498" s="23">
        <v>16</v>
      </c>
      <c r="U498" s="23">
        <v>258</v>
      </c>
      <c r="V498" s="23">
        <v>0.1</v>
      </c>
      <c r="W498" s="23">
        <v>0.18</v>
      </c>
      <c r="X498" s="23">
        <v>4.0999999999999996</v>
      </c>
      <c r="Y498" s="23">
        <v>5</v>
      </c>
      <c r="Z498" s="23">
        <v>2.34</v>
      </c>
      <c r="AA498" s="25">
        <v>0</v>
      </c>
      <c r="AB498" s="25">
        <v>5</v>
      </c>
      <c r="AC498" s="25">
        <v>0</v>
      </c>
      <c r="AD498" s="23">
        <v>11</v>
      </c>
      <c r="AE498" s="23">
        <v>11.1</v>
      </c>
      <c r="AF498" s="23">
        <v>0.7</v>
      </c>
      <c r="AG498" s="23">
        <v>15</v>
      </c>
      <c r="AH498" s="24">
        <v>59</v>
      </c>
      <c r="AI498" s="23">
        <v>73</v>
      </c>
      <c r="AJ498" s="13" t="str">
        <f xml:space="preserve"> IF(AD498&gt;F498,"Exceso en grasa saturada",IFERROR(IF(F498=0,"No tiene sello",IF((AD498*9)*100/F498&gt;10,"Exceso en grasa saturada","No tiene sello")),"No tiene sello"))</f>
        <v>Exceso en grasa saturada</v>
      </c>
      <c r="AK498" s="13">
        <f>IF(AJ498="No tiene sello",0,1)</f>
        <v>1</v>
      </c>
      <c r="AL498" s="13" t="str">
        <f>IF(Q498&gt;=300,"Exceso en sodio",IFERROR(IF(AND(F498=0,Q498&gt;0),"No tiene sello",IF(Q498/F498&gt;1,"Exceso en sodio","No tiene sello")),"No tiene sello"))</f>
        <v>No tiene sello</v>
      </c>
      <c r="AM498" s="13" t="str">
        <f>IFERROR(IF(F498=0,"No tiene sello",IF(+(AG498/1000)*9*100/F498&gt;1,"Exceso en grasa trans", "No tiene sello")),"No tiene sello")</f>
        <v>No tiene sello</v>
      </c>
    </row>
    <row r="499" spans="1:39" ht="13.5" customHeight="1" x14ac:dyDescent="0.25">
      <c r="A499" s="26" t="s">
        <v>639</v>
      </c>
      <c r="B499" s="26" t="s">
        <v>640</v>
      </c>
      <c r="C499" s="26" t="s">
        <v>635</v>
      </c>
      <c r="D499" s="47">
        <v>100</v>
      </c>
      <c r="E499" s="28">
        <v>58.8</v>
      </c>
      <c r="F499" s="24">
        <v>184</v>
      </c>
      <c r="G499" s="28">
        <v>776</v>
      </c>
      <c r="H499" s="24">
        <v>29.1</v>
      </c>
      <c r="I499" s="24">
        <v>5.3</v>
      </c>
      <c r="J499" s="24">
        <v>5.0999999999999996</v>
      </c>
      <c r="K499" s="28">
        <v>0</v>
      </c>
      <c r="L499" s="28">
        <v>0.51</v>
      </c>
      <c r="M499" s="24">
        <v>0</v>
      </c>
      <c r="N499" s="28">
        <v>1.7</v>
      </c>
      <c r="O499" s="25">
        <v>7</v>
      </c>
      <c r="P499" s="25">
        <v>6.5</v>
      </c>
      <c r="Q499" s="28">
        <v>79</v>
      </c>
      <c r="R499" s="25">
        <v>497</v>
      </c>
      <c r="S499" s="28">
        <v>5.3</v>
      </c>
      <c r="T499" s="28">
        <v>21</v>
      </c>
      <c r="U499" s="28">
        <v>352</v>
      </c>
      <c r="V499" s="28">
        <v>0.19</v>
      </c>
      <c r="W499" s="28">
        <v>3.42</v>
      </c>
      <c r="X499" s="28">
        <v>17.5</v>
      </c>
      <c r="Y499" s="28">
        <v>253</v>
      </c>
      <c r="Z499" s="28">
        <v>70.58</v>
      </c>
      <c r="AA499" s="25">
        <v>2</v>
      </c>
      <c r="AB499" s="25">
        <v>9491</v>
      </c>
      <c r="AC499" s="25">
        <v>0.5</v>
      </c>
      <c r="AD499" s="28">
        <v>1.9</v>
      </c>
      <c r="AE499" s="28">
        <v>0.6</v>
      </c>
      <c r="AF499" s="28">
        <v>1.1000000000000001</v>
      </c>
      <c r="AG499" s="28">
        <v>10</v>
      </c>
      <c r="AH499" s="24">
        <v>389</v>
      </c>
      <c r="AI499" s="28">
        <v>100</v>
      </c>
      <c r="AJ499" s="13" t="str">
        <f xml:space="preserve"> IF(AD499&gt;F499,"Exceso en grasa saturada",IFERROR(IF(F499=0,"No tiene sello",IF((AD499*9)*100/F499&gt;10,"Exceso en grasa saturada","No tiene sello")),"No tiene sello"))</f>
        <v>No tiene sello</v>
      </c>
      <c r="AK499" s="13">
        <f>IF(AJ499="No tiene sello",0,1)</f>
        <v>0</v>
      </c>
      <c r="AL499" s="13" t="str">
        <f>IF(Q499&gt;=300,"Exceso en sodio",IFERROR(IF(AND(F499=0,Q499&gt;0),"No tiene sello",IF(Q499/F499&gt;1,"Exceso en sodio","No tiene sello")),"No tiene sello"))</f>
        <v>No tiene sello</v>
      </c>
      <c r="AM499" s="13" t="str">
        <f>IFERROR(IF(F499=0,"No tiene sello",IF(+(AG499/1000)*9*100/F499&gt;1,"Exceso en grasa trans", "No tiene sello")),"No tiene sello")</f>
        <v>No tiene sello</v>
      </c>
    </row>
    <row r="500" spans="1:39" ht="13.5" customHeight="1" x14ac:dyDescent="0.25">
      <c r="A500" s="20" t="s">
        <v>637</v>
      </c>
      <c r="B500" s="20" t="s">
        <v>638</v>
      </c>
      <c r="C500" s="20" t="s">
        <v>635</v>
      </c>
      <c r="D500" s="46">
        <v>100</v>
      </c>
      <c r="E500" s="23">
        <v>69.7</v>
      </c>
      <c r="F500" s="24">
        <v>138</v>
      </c>
      <c r="G500" s="23">
        <v>580</v>
      </c>
      <c r="H500" s="24">
        <v>20.399999999999999</v>
      </c>
      <c r="I500" s="24">
        <v>4.5</v>
      </c>
      <c r="J500" s="24">
        <v>3.9</v>
      </c>
      <c r="K500" s="23">
        <v>0</v>
      </c>
      <c r="L500" s="23">
        <v>0.39</v>
      </c>
      <c r="M500" s="24">
        <v>0</v>
      </c>
      <c r="N500" s="23">
        <v>1.5</v>
      </c>
      <c r="O500" s="25">
        <v>9</v>
      </c>
      <c r="P500" s="25">
        <v>8.4</v>
      </c>
      <c r="Q500" s="23">
        <v>76</v>
      </c>
      <c r="R500" s="25">
        <v>340</v>
      </c>
      <c r="S500" s="23">
        <v>4</v>
      </c>
      <c r="T500" s="23">
        <v>20</v>
      </c>
      <c r="U500" s="23">
        <v>318</v>
      </c>
      <c r="V500" s="23">
        <v>0.2</v>
      </c>
      <c r="W500" s="23">
        <v>2.52</v>
      </c>
      <c r="X500" s="23">
        <v>12.9</v>
      </c>
      <c r="Y500" s="23">
        <v>293</v>
      </c>
      <c r="Z500" s="23">
        <v>59.3</v>
      </c>
      <c r="AA500" s="25">
        <v>24</v>
      </c>
      <c r="AB500" s="25">
        <v>10089</v>
      </c>
      <c r="AC500" s="25">
        <v>0.5</v>
      </c>
      <c r="AD500" s="23">
        <v>2.8</v>
      </c>
      <c r="AE500" s="23">
        <v>1.5</v>
      </c>
      <c r="AF500" s="23">
        <v>0.1</v>
      </c>
      <c r="AG500" s="23">
        <v>10</v>
      </c>
      <c r="AH500" s="24">
        <v>274</v>
      </c>
      <c r="AI500" s="23">
        <v>100</v>
      </c>
      <c r="AJ500" s="13" t="str">
        <f xml:space="preserve"> IF(AD500&gt;F500,"Exceso en grasa saturada",IFERROR(IF(F500=0,"No tiene sello",IF((AD500*9)*100/F500&gt;10,"Exceso en grasa saturada","No tiene sello")),"No tiene sello"))</f>
        <v>Exceso en grasa saturada</v>
      </c>
      <c r="AK500" s="13">
        <f>IF(AJ500="No tiene sello",0,1)</f>
        <v>1</v>
      </c>
      <c r="AL500" s="13" t="str">
        <f>IF(Q500&gt;=300,"Exceso en sodio",IFERROR(IF(AND(F500=0,Q500&gt;0),"No tiene sello",IF(Q500/F500&gt;1,"Exceso en sodio","No tiene sello")),"No tiene sello"))</f>
        <v>No tiene sello</v>
      </c>
      <c r="AM500" s="13" t="str">
        <f>IFERROR(IF(F500=0,"No tiene sello",IF(+(AG500/1000)*9*100/F500&gt;1,"Exceso en grasa trans", "No tiene sello")),"No tiene sello")</f>
        <v>No tiene sello</v>
      </c>
    </row>
    <row r="501" spans="1:39" ht="13.5" customHeight="1" x14ac:dyDescent="0.25">
      <c r="A501" s="26" t="s">
        <v>634</v>
      </c>
      <c r="B501" s="26" t="s">
        <v>636</v>
      </c>
      <c r="C501" s="26" t="s">
        <v>635</v>
      </c>
      <c r="D501" s="47">
        <v>100</v>
      </c>
      <c r="E501" s="28">
        <v>56</v>
      </c>
      <c r="F501" s="24">
        <v>211</v>
      </c>
      <c r="G501" s="28">
        <v>883</v>
      </c>
      <c r="H501" s="24">
        <v>25.9</v>
      </c>
      <c r="I501" s="24">
        <v>11</v>
      </c>
      <c r="J501" s="24">
        <v>2.1</v>
      </c>
      <c r="K501" s="28">
        <v>0</v>
      </c>
      <c r="L501" s="28">
        <v>0.21</v>
      </c>
      <c r="M501" s="24">
        <v>0</v>
      </c>
      <c r="N501" s="28">
        <v>5</v>
      </c>
      <c r="O501" s="25">
        <v>6</v>
      </c>
      <c r="P501" s="25">
        <v>13.6</v>
      </c>
      <c r="Q501" s="28">
        <v>0</v>
      </c>
      <c r="R501" s="25">
        <v>414</v>
      </c>
      <c r="S501" s="28">
        <v>0</v>
      </c>
      <c r="T501" s="28">
        <v>0</v>
      </c>
      <c r="U501" s="28">
        <v>0</v>
      </c>
      <c r="V501" s="28">
        <v>0.21</v>
      </c>
      <c r="W501" s="28">
        <v>4.32</v>
      </c>
      <c r="X501" s="28">
        <v>10.8</v>
      </c>
      <c r="Y501" s="28">
        <v>0</v>
      </c>
      <c r="Z501" s="28">
        <v>0</v>
      </c>
      <c r="AA501" s="25">
        <v>27</v>
      </c>
      <c r="AB501" s="25">
        <v>8404</v>
      </c>
      <c r="AC501" s="25">
        <v>0.5</v>
      </c>
      <c r="AD501" s="28">
        <v>0</v>
      </c>
      <c r="AE501" s="28">
        <v>0</v>
      </c>
      <c r="AF501" s="28">
        <v>0</v>
      </c>
      <c r="AG501" s="28">
        <v>50</v>
      </c>
      <c r="AH501" s="24">
        <v>0</v>
      </c>
      <c r="AI501" s="28">
        <v>100</v>
      </c>
      <c r="AJ501" s="13" t="str">
        <f xml:space="preserve"> IF(AD501&gt;F501,"Exceso en grasa saturada",IFERROR(IF(F501=0,"No tiene sello",IF((AD501*9)*100/F501&gt;10,"Exceso en grasa saturada","No tiene sello")),"No tiene sello"))</f>
        <v>No tiene sello</v>
      </c>
      <c r="AK501" s="13">
        <f>IF(AJ501="No tiene sello",0,1)</f>
        <v>0</v>
      </c>
      <c r="AL501" s="13" t="str">
        <f>IF(Q501&gt;=300,"Exceso en sodio",IFERROR(IF(AND(F501=0,Q501&gt;0),"No tiene sello",IF(Q501/F501&gt;1,"Exceso en sodio","No tiene sello")),"No tiene sello"))</f>
        <v>No tiene sello</v>
      </c>
      <c r="AM501" s="13" t="str">
        <f>IFERROR(IF(F501=0,"No tiene sello",IF(+(AG501/1000)*9*100/F501&gt;1,"Exceso en grasa trans", "No tiene sello")),"No tiene sello")</f>
        <v>No tiene sello</v>
      </c>
    </row>
    <row r="502" spans="1:39" ht="13.5" customHeight="1" x14ac:dyDescent="0.25">
      <c r="A502" s="20" t="s">
        <v>632</v>
      </c>
      <c r="B502" s="20" t="s">
        <v>633</v>
      </c>
      <c r="C502" s="21"/>
      <c r="D502" s="46">
        <v>100</v>
      </c>
      <c r="E502" s="23">
        <v>62</v>
      </c>
      <c r="F502" s="24">
        <v>169</v>
      </c>
      <c r="G502" s="23">
        <v>712</v>
      </c>
      <c r="H502" s="24">
        <v>26.7</v>
      </c>
      <c r="I502" s="24">
        <v>4.7</v>
      </c>
      <c r="J502" s="24">
        <v>4.9000000000000004</v>
      </c>
      <c r="K502" s="23">
        <v>0</v>
      </c>
      <c r="L502" s="23">
        <v>0.49</v>
      </c>
      <c r="M502" s="24">
        <v>0</v>
      </c>
      <c r="N502" s="23">
        <v>1.6</v>
      </c>
      <c r="O502" s="25">
        <v>6</v>
      </c>
      <c r="P502" s="25">
        <v>7.1</v>
      </c>
      <c r="Q502" s="23">
        <v>77</v>
      </c>
      <c r="R502" s="25">
        <v>485</v>
      </c>
      <c r="S502" s="23">
        <v>5.2</v>
      </c>
      <c r="T502" s="23">
        <v>22</v>
      </c>
      <c r="U502" s="23">
        <v>351</v>
      </c>
      <c r="V502" s="23">
        <v>0.18</v>
      </c>
      <c r="W502" s="23">
        <v>3.42</v>
      </c>
      <c r="X502" s="23">
        <v>17.5</v>
      </c>
      <c r="Y502" s="23">
        <v>260</v>
      </c>
      <c r="Z502" s="23">
        <v>83.13</v>
      </c>
      <c r="AA502" s="25">
        <v>1</v>
      </c>
      <c r="AB502" s="25">
        <v>7799</v>
      </c>
      <c r="AC502" s="25">
        <v>0.5</v>
      </c>
      <c r="AD502" s="23">
        <v>2.2000000000000002</v>
      </c>
      <c r="AE502" s="23">
        <v>1</v>
      </c>
      <c r="AF502" s="23">
        <v>1</v>
      </c>
      <c r="AG502" s="23">
        <v>50</v>
      </c>
      <c r="AH502" s="24">
        <v>381</v>
      </c>
      <c r="AI502" s="23">
        <v>100</v>
      </c>
      <c r="AJ502" s="13" t="str">
        <f xml:space="preserve"> IF(AD502&gt;F502,"Exceso en grasa saturada",IFERROR(IF(F502=0,"No tiene sello",IF((AD502*9)*100/F502&gt;10,"Exceso en grasa saturada","No tiene sello")),"No tiene sello"))</f>
        <v>Exceso en grasa saturada</v>
      </c>
      <c r="AK502" s="13">
        <f>IF(AJ502="No tiene sello",0,1)</f>
        <v>1</v>
      </c>
      <c r="AL502" s="13" t="str">
        <f>IF(Q502&gt;=300,"Exceso en sodio",IFERROR(IF(AND(F502=0,Q502&gt;0),"No tiene sello",IF(Q502/F502&gt;1,"Exceso en sodio","No tiene sello")),"No tiene sello"))</f>
        <v>No tiene sello</v>
      </c>
      <c r="AM502" s="13" t="str">
        <f>IFERROR(IF(F502=0,"No tiene sello",IF(+(AG502/1000)*9*100/F502&gt;1,"Exceso en grasa trans", "No tiene sello")),"No tiene sello")</f>
        <v>No tiene sello</v>
      </c>
    </row>
    <row r="503" spans="1:39" ht="13.5" customHeight="1" x14ac:dyDescent="0.25">
      <c r="A503" s="26" t="s">
        <v>629</v>
      </c>
      <c r="B503" s="26" t="s">
        <v>631</v>
      </c>
      <c r="C503" s="26" t="s">
        <v>630</v>
      </c>
      <c r="D503" s="47">
        <v>100</v>
      </c>
      <c r="E503" s="28">
        <v>69.5</v>
      </c>
      <c r="F503" s="24">
        <v>164</v>
      </c>
      <c r="G503" s="28">
        <v>686</v>
      </c>
      <c r="H503" s="24">
        <v>21.2</v>
      </c>
      <c r="I503" s="24">
        <v>8.8000000000000007</v>
      </c>
      <c r="J503" s="24">
        <v>0</v>
      </c>
      <c r="K503" s="28">
        <v>0</v>
      </c>
      <c r="L503" s="28">
        <v>0</v>
      </c>
      <c r="M503" s="24">
        <v>0</v>
      </c>
      <c r="N503" s="28">
        <v>1</v>
      </c>
      <c r="O503" s="25">
        <v>6</v>
      </c>
      <c r="P503" s="25">
        <v>2.7</v>
      </c>
      <c r="Q503" s="28">
        <v>66</v>
      </c>
      <c r="R503" s="25">
        <v>215</v>
      </c>
      <c r="S503" s="28">
        <v>6.3</v>
      </c>
      <c r="T503" s="28">
        <v>21</v>
      </c>
      <c r="U503" s="28">
        <v>240</v>
      </c>
      <c r="V503" s="28">
        <v>0.08</v>
      </c>
      <c r="W503" s="28">
        <v>0.23</v>
      </c>
      <c r="X503" s="28">
        <v>5.0999999999999996</v>
      </c>
      <c r="Y503" s="28">
        <v>3</v>
      </c>
      <c r="Z503" s="28">
        <v>2.38</v>
      </c>
      <c r="AA503" s="25">
        <v>0</v>
      </c>
      <c r="AB503" s="25">
        <v>2</v>
      </c>
      <c r="AC503" s="25">
        <v>0</v>
      </c>
      <c r="AD503" s="28">
        <v>3.2</v>
      </c>
      <c r="AE503" s="28">
        <v>3.9</v>
      </c>
      <c r="AF503" s="28">
        <v>0.4</v>
      </c>
      <c r="AG503" s="28">
        <v>10</v>
      </c>
      <c r="AH503" s="24">
        <v>64</v>
      </c>
      <c r="AI503" s="28">
        <v>68</v>
      </c>
      <c r="AJ503" s="13" t="str">
        <f xml:space="preserve"> IF(AD503&gt;F503,"Exceso en grasa saturada",IFERROR(IF(F503=0,"No tiene sello",IF((AD503*9)*100/F503&gt;10,"Exceso en grasa saturada","No tiene sello")),"No tiene sello"))</f>
        <v>Exceso en grasa saturada</v>
      </c>
      <c r="AK503" s="13">
        <f>IF(AJ503="No tiene sello",0,1)</f>
        <v>1</v>
      </c>
      <c r="AL503" s="13" t="str">
        <f>IF(Q503&gt;=300,"Exceso en sodio",IFERROR(IF(AND(F503=0,Q503&gt;0),"No tiene sello",IF(Q503/F503&gt;1,"Exceso en sodio","No tiene sello")),"No tiene sello"))</f>
        <v>No tiene sello</v>
      </c>
      <c r="AM503" s="13" t="str">
        <f>IFERROR(IF(F503=0,"No tiene sello",IF(+(AG503/1000)*9*100/F503&gt;1,"Exceso en grasa trans", "No tiene sello")),"No tiene sello")</f>
        <v>No tiene sello</v>
      </c>
    </row>
    <row r="504" spans="1:39" ht="13.5" customHeight="1" x14ac:dyDescent="0.25">
      <c r="A504" s="20" t="s">
        <v>626</v>
      </c>
      <c r="B504" s="20" t="s">
        <v>628</v>
      </c>
      <c r="C504" s="20" t="s">
        <v>627</v>
      </c>
      <c r="D504" s="46">
        <v>100</v>
      </c>
      <c r="E504" s="23">
        <v>64.8</v>
      </c>
      <c r="F504" s="24">
        <v>219</v>
      </c>
      <c r="G504" s="23">
        <v>909</v>
      </c>
      <c r="H504" s="24">
        <v>16.5</v>
      </c>
      <c r="I504" s="24">
        <v>16.100000000000001</v>
      </c>
      <c r="J504" s="24">
        <v>1.9</v>
      </c>
      <c r="K504" s="23">
        <v>0</v>
      </c>
      <c r="L504" s="23">
        <v>0.19</v>
      </c>
      <c r="M504" s="24">
        <v>0</v>
      </c>
      <c r="N504" s="23">
        <v>0.7</v>
      </c>
      <c r="O504" s="25">
        <v>9</v>
      </c>
      <c r="P504" s="25">
        <v>2.7</v>
      </c>
      <c r="Q504" s="23">
        <v>70</v>
      </c>
      <c r="R504" s="25">
        <v>150</v>
      </c>
      <c r="S504" s="23">
        <v>2.9</v>
      </c>
      <c r="T504" s="23">
        <v>16</v>
      </c>
      <c r="U504" s="23">
        <v>311</v>
      </c>
      <c r="V504" s="23">
        <v>0.09</v>
      </c>
      <c r="W504" s="23">
        <v>0.36</v>
      </c>
      <c r="X504" s="23">
        <v>4.0999999999999996</v>
      </c>
      <c r="Y504" s="23">
        <v>7</v>
      </c>
      <c r="Z504" s="23">
        <v>3.79</v>
      </c>
      <c r="AA504" s="25">
        <v>3</v>
      </c>
      <c r="AB504" s="25">
        <v>0</v>
      </c>
      <c r="AC504" s="25">
        <v>0</v>
      </c>
      <c r="AD504" s="23">
        <v>7</v>
      </c>
      <c r="AE504" s="23">
        <v>7.2</v>
      </c>
      <c r="AF504" s="23">
        <v>0.9</v>
      </c>
      <c r="AG504" s="23">
        <v>15</v>
      </c>
      <c r="AH504" s="24">
        <v>87</v>
      </c>
      <c r="AI504" s="23">
        <v>95</v>
      </c>
      <c r="AJ504" s="13" t="str">
        <f xml:space="preserve"> IF(AD504&gt;F504,"Exceso en grasa saturada",IFERROR(IF(F504=0,"No tiene sello",IF((AD504*9)*100/F504&gt;10,"Exceso en grasa saturada","No tiene sello")),"No tiene sello"))</f>
        <v>Exceso en grasa saturada</v>
      </c>
      <c r="AK504" s="13">
        <f>IF(AJ504="No tiene sello",0,1)</f>
        <v>1</v>
      </c>
      <c r="AL504" s="13" t="str">
        <f>IF(Q504&gt;=300,"Exceso en sodio",IFERROR(IF(AND(F504=0,Q504&gt;0),"No tiene sello",IF(Q504/F504&gt;1,"Exceso en sodio","No tiene sello")),"No tiene sello"))</f>
        <v>No tiene sello</v>
      </c>
      <c r="AM504" s="13" t="str">
        <f>IFERROR(IF(F504=0,"No tiene sello",IF(+(AG504/1000)*9*100/F504&gt;1,"Exceso en grasa trans", "No tiene sello")),"No tiene sello")</f>
        <v>No tiene sello</v>
      </c>
    </row>
    <row r="505" spans="1:39" ht="13.5" customHeight="1" x14ac:dyDescent="0.25">
      <c r="A505" s="26" t="s">
        <v>623</v>
      </c>
      <c r="B505" s="26" t="s">
        <v>625</v>
      </c>
      <c r="C505" s="26" t="s">
        <v>624</v>
      </c>
      <c r="D505" s="47">
        <v>100</v>
      </c>
      <c r="E505" s="28">
        <v>53.7</v>
      </c>
      <c r="F505" s="24">
        <v>218</v>
      </c>
      <c r="G505" s="28">
        <v>915</v>
      </c>
      <c r="H505" s="24">
        <v>36.1</v>
      </c>
      <c r="I505" s="24">
        <v>7.9</v>
      </c>
      <c r="J505" s="24">
        <v>0.5</v>
      </c>
      <c r="K505" s="28">
        <v>0</v>
      </c>
      <c r="L505" s="28">
        <v>0.05</v>
      </c>
      <c r="M505" s="24">
        <v>0</v>
      </c>
      <c r="N505" s="28">
        <v>1.8</v>
      </c>
      <c r="O505" s="25">
        <v>5</v>
      </c>
      <c r="P505" s="25">
        <v>3.1</v>
      </c>
      <c r="Q505" s="28">
        <v>48</v>
      </c>
      <c r="R505" s="25">
        <v>202</v>
      </c>
      <c r="S505" s="28">
        <v>6.2</v>
      </c>
      <c r="T505" s="28">
        <v>26</v>
      </c>
      <c r="U505" s="28">
        <v>334</v>
      </c>
      <c r="V505" s="28">
        <v>7.0000000000000007E-2</v>
      </c>
      <c r="W505" s="28">
        <v>0.24</v>
      </c>
      <c r="X505" s="28">
        <v>4.3</v>
      </c>
      <c r="Y505" s="28">
        <v>9</v>
      </c>
      <c r="Z505" s="28">
        <v>2.74</v>
      </c>
      <c r="AA505" s="25">
        <v>0</v>
      </c>
      <c r="AB505" s="25">
        <v>0</v>
      </c>
      <c r="AC505" s="25">
        <v>0</v>
      </c>
      <c r="AD505" s="28">
        <v>3.4</v>
      </c>
      <c r="AE505" s="28">
        <v>3.3</v>
      </c>
      <c r="AF505" s="28">
        <v>0.5</v>
      </c>
      <c r="AG505" s="28">
        <v>10</v>
      </c>
      <c r="AH505" s="24">
        <v>90</v>
      </c>
      <c r="AI505" s="28">
        <v>100</v>
      </c>
      <c r="AJ505" s="13" t="str">
        <f xml:space="preserve"> IF(AD505&gt;F505,"Exceso en grasa saturada",IFERROR(IF(F505=0,"No tiene sello",IF((AD505*9)*100/F505&gt;10,"Exceso en grasa saturada","No tiene sello")),"No tiene sello"))</f>
        <v>Exceso en grasa saturada</v>
      </c>
      <c r="AK505" s="13">
        <f>IF(AJ505="No tiene sello",0,1)</f>
        <v>1</v>
      </c>
      <c r="AL505" s="13" t="str">
        <f>IF(Q505&gt;=300,"Exceso en sodio",IFERROR(IF(AND(F505=0,Q505&gt;0),"No tiene sello",IF(Q505/F505&gt;1,"Exceso en sodio","No tiene sello")),"No tiene sello"))</f>
        <v>No tiene sello</v>
      </c>
      <c r="AM505" s="13" t="str">
        <f>IFERROR(IF(F505=0,"No tiene sello",IF(+(AG505/1000)*9*100/F505&gt;1,"Exceso en grasa trans", "No tiene sello")),"No tiene sello")</f>
        <v>No tiene sello</v>
      </c>
    </row>
    <row r="506" spans="1:39" s="5" customFormat="1" ht="13.5" customHeight="1" x14ac:dyDescent="0.25">
      <c r="A506" s="20" t="s">
        <v>621</v>
      </c>
      <c r="B506" s="20" t="s">
        <v>622</v>
      </c>
      <c r="C506" s="20" t="s">
        <v>619</v>
      </c>
      <c r="D506" s="46">
        <v>100</v>
      </c>
      <c r="E506" s="23">
        <v>77.2</v>
      </c>
      <c r="F506" s="24">
        <v>102</v>
      </c>
      <c r="G506" s="23">
        <v>431</v>
      </c>
      <c r="H506" s="24">
        <v>18.399999999999999</v>
      </c>
      <c r="I506" s="24">
        <v>3.2</v>
      </c>
      <c r="J506" s="24">
        <v>0</v>
      </c>
      <c r="K506" s="23">
        <v>0</v>
      </c>
      <c r="L506" s="23">
        <v>0</v>
      </c>
      <c r="M506" s="24">
        <v>0</v>
      </c>
      <c r="N506" s="23">
        <v>1.2</v>
      </c>
      <c r="O506" s="25">
        <v>10</v>
      </c>
      <c r="P506" s="25">
        <v>44.5</v>
      </c>
      <c r="Q506" s="23">
        <v>85</v>
      </c>
      <c r="R506" s="25">
        <v>270</v>
      </c>
      <c r="S506" s="23">
        <v>2.1</v>
      </c>
      <c r="T506" s="23">
        <v>22</v>
      </c>
      <c r="U506" s="23">
        <v>429</v>
      </c>
      <c r="V506" s="23">
        <v>0.16</v>
      </c>
      <c r="W506" s="23">
        <v>0.37</v>
      </c>
      <c r="X506" s="23">
        <v>8.4</v>
      </c>
      <c r="Y506" s="23">
        <v>4</v>
      </c>
      <c r="Z506" s="23">
        <v>5.68</v>
      </c>
      <c r="AA506" s="25">
        <v>41</v>
      </c>
      <c r="AB506" s="25">
        <v>0</v>
      </c>
      <c r="AC506" s="25">
        <v>0</v>
      </c>
      <c r="AD506" s="23">
        <v>1</v>
      </c>
      <c r="AE506" s="23">
        <v>0.8</v>
      </c>
      <c r="AF506" s="23">
        <v>0.2</v>
      </c>
      <c r="AG506" s="23">
        <v>5</v>
      </c>
      <c r="AH506" s="24">
        <v>263</v>
      </c>
      <c r="AI506" s="23">
        <v>100</v>
      </c>
      <c r="AJ506" s="13" t="str">
        <f xml:space="preserve"> IF(AD506&gt;F506,"Exceso en grasa saturada",IFERROR(IF(F506=0,"No tiene sello",IF((AD506*9)*100/F506&gt;10,"Exceso en grasa saturada","No tiene sello")),"No tiene sello"))</f>
        <v>No tiene sello</v>
      </c>
      <c r="AK506" s="13">
        <f>IF(AJ506="No tiene sello",0,1)</f>
        <v>0</v>
      </c>
      <c r="AL506" s="13" t="str">
        <f>IF(Q506&gt;=300,"Exceso en sodio",IFERROR(IF(AND(F506=0,Q506&gt;0),"No tiene sello",IF(Q506/F506&gt;1,"Exceso en sodio","No tiene sello")),"No tiene sello"))</f>
        <v>No tiene sello</v>
      </c>
      <c r="AM506" s="13" t="str">
        <f>IFERROR(IF(F506=0,"No tiene sello",IF(+(AG506/1000)*9*100/F506&gt;1,"Exceso en grasa trans", "No tiene sello")),"No tiene sello")</f>
        <v>No tiene sello</v>
      </c>
    </row>
    <row r="507" spans="1:39" ht="13.5" customHeight="1" x14ac:dyDescent="0.25">
      <c r="A507" s="26" t="s">
        <v>618</v>
      </c>
      <c r="B507" s="26" t="s">
        <v>620</v>
      </c>
      <c r="C507" s="26" t="s">
        <v>619</v>
      </c>
      <c r="D507" s="16">
        <v>100</v>
      </c>
      <c r="E507" s="28">
        <v>63.2</v>
      </c>
      <c r="F507" s="24">
        <v>156</v>
      </c>
      <c r="G507" s="28">
        <v>655</v>
      </c>
      <c r="H507" s="24">
        <v>26.1</v>
      </c>
      <c r="I507" s="24">
        <v>5.7</v>
      </c>
      <c r="J507" s="24">
        <v>0</v>
      </c>
      <c r="K507" s="28">
        <v>0</v>
      </c>
      <c r="L507" s="28">
        <v>0</v>
      </c>
      <c r="M507" s="24">
        <v>0</v>
      </c>
      <c r="N507" s="28">
        <v>5</v>
      </c>
      <c r="O507" s="25">
        <v>5</v>
      </c>
      <c r="P507" s="25">
        <v>45.1</v>
      </c>
      <c r="Q507" s="28">
        <v>0</v>
      </c>
      <c r="R507" s="25">
        <v>378</v>
      </c>
      <c r="S507" s="28">
        <v>0</v>
      </c>
      <c r="T507" s="28">
        <v>0</v>
      </c>
      <c r="U507" s="28">
        <v>0</v>
      </c>
      <c r="V507" s="28">
        <v>0.15</v>
      </c>
      <c r="W507" s="28">
        <v>0.44</v>
      </c>
      <c r="X507" s="28">
        <v>4.5</v>
      </c>
      <c r="Y507" s="28">
        <v>0</v>
      </c>
      <c r="Z507" s="28">
        <v>0</v>
      </c>
      <c r="AA507" s="25">
        <v>0</v>
      </c>
      <c r="AB507" s="25">
        <v>0</v>
      </c>
      <c r="AC507" s="25">
        <v>0</v>
      </c>
      <c r="AD507" s="28">
        <v>0</v>
      </c>
      <c r="AE507" s="28">
        <v>0</v>
      </c>
      <c r="AF507" s="28">
        <v>0</v>
      </c>
      <c r="AG507" s="28">
        <v>50</v>
      </c>
      <c r="AH507" s="24">
        <v>0</v>
      </c>
      <c r="AI507" s="28">
        <v>100</v>
      </c>
      <c r="AJ507" s="13" t="str">
        <f xml:space="preserve"> IF(AD507&gt;F507,"Exceso en grasa saturada",IFERROR(IF(F507=0,"No tiene sello",IF((AD507*9)*100/F507&gt;10,"Exceso en grasa saturada","No tiene sello")),"No tiene sello"))</f>
        <v>No tiene sello</v>
      </c>
      <c r="AK507" s="13">
        <f>IF(AJ507="No tiene sello",0,1)</f>
        <v>0</v>
      </c>
      <c r="AL507" s="13" t="str">
        <f>IF(Q507&gt;=300,"Exceso en sodio",IFERROR(IF(AND(F507=0,Q507&gt;0),"No tiene sello",IF(Q507/F507&gt;1,"Exceso en sodio","No tiene sello")),"No tiene sello"))</f>
        <v>No tiene sello</v>
      </c>
      <c r="AM507" s="13" t="str">
        <f>IFERROR(IF(F507=0,"No tiene sello",IF(+(AG507/1000)*9*100/F507&gt;1,"Exceso en grasa trans", "No tiene sello")),"No tiene sello")</f>
        <v>No tiene sello</v>
      </c>
    </row>
    <row r="508" spans="1:39" s="4" customFormat="1" ht="13.5" customHeight="1" x14ac:dyDescent="0.25">
      <c r="A508" s="20" t="s">
        <v>615</v>
      </c>
      <c r="B508" s="20" t="s">
        <v>617</v>
      </c>
      <c r="C508" s="20" t="s">
        <v>616</v>
      </c>
      <c r="D508" s="22">
        <v>100</v>
      </c>
      <c r="E508" s="23">
        <v>69.7</v>
      </c>
      <c r="F508" s="24">
        <v>125</v>
      </c>
      <c r="G508" s="23">
        <v>531</v>
      </c>
      <c r="H508" s="24">
        <v>28.2</v>
      </c>
      <c r="I508" s="24">
        <v>1.4</v>
      </c>
      <c r="J508" s="24">
        <v>0</v>
      </c>
      <c r="K508" s="23">
        <v>0</v>
      </c>
      <c r="L508" s="23">
        <v>0</v>
      </c>
      <c r="M508" s="24">
        <v>0</v>
      </c>
      <c r="N508" s="23">
        <v>0.7</v>
      </c>
      <c r="O508" s="25">
        <v>15</v>
      </c>
      <c r="P508" s="25">
        <v>6.5</v>
      </c>
      <c r="Q508" s="23">
        <v>0</v>
      </c>
      <c r="R508" s="25">
        <v>41</v>
      </c>
      <c r="S508" s="23">
        <v>0</v>
      </c>
      <c r="T508" s="23">
        <v>29</v>
      </c>
      <c r="U508" s="23">
        <v>292</v>
      </c>
      <c r="V508" s="23">
        <v>0.01</v>
      </c>
      <c r="W508" s="23">
        <v>0.2</v>
      </c>
      <c r="X508" s="23">
        <v>0.4</v>
      </c>
      <c r="Y508" s="23">
        <v>0</v>
      </c>
      <c r="Z508" s="23">
        <v>0</v>
      </c>
      <c r="AA508" s="25">
        <v>0</v>
      </c>
      <c r="AB508" s="25">
        <v>0</v>
      </c>
      <c r="AC508" s="25">
        <v>0</v>
      </c>
      <c r="AD508" s="23">
        <v>0</v>
      </c>
      <c r="AE508" s="23">
        <v>0</v>
      </c>
      <c r="AF508" s="23">
        <v>0</v>
      </c>
      <c r="AG508" s="23">
        <v>0</v>
      </c>
      <c r="AH508" s="24">
        <v>0</v>
      </c>
      <c r="AI508" s="23">
        <v>49</v>
      </c>
      <c r="AJ508" s="13" t="str">
        <f xml:space="preserve"> IF(AD508&gt;F508,"Exceso en grasa saturada",IFERROR(IF(F508=0,"No tiene sello",IF((AD508*9)*100/F508&gt;10,"Exceso en grasa saturada","No tiene sello")),"No tiene sello"))</f>
        <v>No tiene sello</v>
      </c>
      <c r="AK508" s="13">
        <f>IF(AJ508="No tiene sello",0,1)</f>
        <v>0</v>
      </c>
      <c r="AL508" s="13" t="str">
        <f>IF(Q508&gt;=300,"Exceso en sodio",IFERROR(IF(AND(F508=0,Q508&gt;0),"No tiene sello",IF(Q508/F508&gt;1,"Exceso en sodio","No tiene sello")),"No tiene sello"))</f>
        <v>No tiene sello</v>
      </c>
      <c r="AM508" s="13" t="str">
        <f>IFERROR(IF(F508=0,"No tiene sello",IF(+(AG508/1000)*9*100/F508&gt;1,"Exceso en grasa trans", "No tiene sello")),"No tiene sello")</f>
        <v>No tiene sello</v>
      </c>
    </row>
    <row r="509" spans="1:39" s="5" customFormat="1" ht="13.5" customHeight="1" x14ac:dyDescent="0.25">
      <c r="A509" s="26" t="s">
        <v>612</v>
      </c>
      <c r="B509" s="26" t="s">
        <v>614</v>
      </c>
      <c r="C509" s="26" t="s">
        <v>613</v>
      </c>
      <c r="D509" s="16">
        <v>100</v>
      </c>
      <c r="E509" s="28">
        <v>73</v>
      </c>
      <c r="F509" s="24">
        <v>121</v>
      </c>
      <c r="G509" s="28">
        <v>511</v>
      </c>
      <c r="H509" s="24">
        <v>21.8</v>
      </c>
      <c r="I509" s="24">
        <v>3.8</v>
      </c>
      <c r="J509" s="24">
        <v>0</v>
      </c>
      <c r="K509" s="28">
        <v>0</v>
      </c>
      <c r="L509" s="28">
        <v>0</v>
      </c>
      <c r="M509" s="24">
        <v>0</v>
      </c>
      <c r="N509" s="28">
        <v>1.4</v>
      </c>
      <c r="O509" s="25">
        <v>20</v>
      </c>
      <c r="P509" s="25">
        <v>2.2999999999999998</v>
      </c>
      <c r="Q509" s="28">
        <v>63</v>
      </c>
      <c r="R509" s="25">
        <v>204</v>
      </c>
      <c r="S509" s="28">
        <v>6.9</v>
      </c>
      <c r="T509" s="28">
        <v>14</v>
      </c>
      <c r="U509" s="28">
        <v>387</v>
      </c>
      <c r="V509" s="28">
        <v>0.1</v>
      </c>
      <c r="W509" s="28">
        <v>0.22</v>
      </c>
      <c r="X509" s="28">
        <v>5.7</v>
      </c>
      <c r="Y509" s="28">
        <v>8</v>
      </c>
      <c r="Z509" s="28">
        <v>3.33</v>
      </c>
      <c r="AA509" s="25">
        <v>0</v>
      </c>
      <c r="AB509" s="25">
        <v>0</v>
      </c>
      <c r="AC509" s="25">
        <v>0</v>
      </c>
      <c r="AD509" s="28">
        <v>1.3</v>
      </c>
      <c r="AE509" s="28">
        <v>1.8</v>
      </c>
      <c r="AF509" s="28">
        <v>0.2</v>
      </c>
      <c r="AG509" s="28">
        <v>5</v>
      </c>
      <c r="AH509" s="24">
        <v>39</v>
      </c>
      <c r="AI509" s="28">
        <v>100</v>
      </c>
      <c r="AJ509" s="13" t="str">
        <f xml:space="preserve"> IF(AD509&gt;F509,"Exceso en grasa saturada",IFERROR(IF(F509=0,"No tiene sello",IF((AD509*9)*100/F509&gt;10,"Exceso en grasa saturada","No tiene sello")),"No tiene sello"))</f>
        <v>No tiene sello</v>
      </c>
      <c r="AK509" s="13">
        <f>IF(AJ509="No tiene sello",0,1)</f>
        <v>0</v>
      </c>
      <c r="AL509" s="13" t="str">
        <f>IF(Q509&gt;=300,"Exceso en sodio",IFERROR(IF(AND(F509=0,Q509&gt;0),"No tiene sello",IF(Q509/F509&gt;1,"Exceso en sodio","No tiene sello")),"No tiene sello"))</f>
        <v>No tiene sello</v>
      </c>
      <c r="AM509" s="13" t="str">
        <f>IFERROR(IF(F509=0,"No tiene sello",IF(+(AG509/1000)*9*100/F509&gt;1,"Exceso en grasa trans", "No tiene sello")),"No tiene sello")</f>
        <v>No tiene sello</v>
      </c>
    </row>
    <row r="510" spans="1:39" s="4" customFormat="1" ht="13.5" customHeight="1" x14ac:dyDescent="0.25">
      <c r="A510" s="20" t="s">
        <v>610</v>
      </c>
      <c r="B510" s="20" t="s">
        <v>611</v>
      </c>
      <c r="C510" s="20" t="s">
        <v>608</v>
      </c>
      <c r="D510" s="22">
        <v>100</v>
      </c>
      <c r="E510" s="23">
        <v>80.7</v>
      </c>
      <c r="F510" s="24">
        <v>87</v>
      </c>
      <c r="G510" s="23">
        <v>365</v>
      </c>
      <c r="H510" s="24">
        <v>15.3</v>
      </c>
      <c r="I510" s="24">
        <v>2.8</v>
      </c>
      <c r="J510" s="24">
        <v>0.1</v>
      </c>
      <c r="K510" s="23">
        <v>0</v>
      </c>
      <c r="L510" s="23">
        <v>0.01</v>
      </c>
      <c r="M510" s="24">
        <v>0</v>
      </c>
      <c r="N510" s="23">
        <v>1.1000000000000001</v>
      </c>
      <c r="O510" s="25">
        <v>13</v>
      </c>
      <c r="P510" s="25">
        <v>5.7</v>
      </c>
      <c r="Q510" s="23">
        <v>182</v>
      </c>
      <c r="R510" s="25">
        <v>260</v>
      </c>
      <c r="S510" s="23">
        <v>1.9</v>
      </c>
      <c r="T510" s="23">
        <v>17</v>
      </c>
      <c r="U510" s="23">
        <v>251</v>
      </c>
      <c r="V510" s="23">
        <v>0.26</v>
      </c>
      <c r="W510" s="23">
        <v>2.6</v>
      </c>
      <c r="X510" s="23">
        <v>7.3</v>
      </c>
      <c r="Y510" s="23">
        <v>98</v>
      </c>
      <c r="Z510" s="23">
        <v>27.5</v>
      </c>
      <c r="AA510" s="25">
        <v>10</v>
      </c>
      <c r="AB510" s="25">
        <v>419</v>
      </c>
      <c r="AC510" s="25">
        <v>0</v>
      </c>
      <c r="AD510" s="23">
        <v>0.8</v>
      </c>
      <c r="AE510" s="23">
        <v>0.5</v>
      </c>
      <c r="AF510" s="23">
        <v>0.5</v>
      </c>
      <c r="AG510" s="23">
        <v>10</v>
      </c>
      <c r="AH510" s="24">
        <v>411</v>
      </c>
      <c r="AI510" s="23">
        <v>100</v>
      </c>
      <c r="AJ510" s="13" t="str">
        <f xml:space="preserve"> IF(AD510&gt;F510,"Exceso en grasa saturada",IFERROR(IF(F510=0,"No tiene sello",IF((AD510*9)*100/F510&gt;10,"Exceso en grasa saturada","No tiene sello")),"No tiene sello"))</f>
        <v>No tiene sello</v>
      </c>
      <c r="AK510" s="13">
        <f>IF(AJ510="No tiene sello",0,1)</f>
        <v>0</v>
      </c>
      <c r="AL510" s="13" t="str">
        <f>IF(Q510&gt;=300,"Exceso en sodio",IFERROR(IF(AND(F510=0,Q510&gt;0),"No tiene sello",IF(Q510/F510&gt;1,"Exceso en sodio","No tiene sello")),"No tiene sello"))</f>
        <v>Exceso en sodio</v>
      </c>
      <c r="AM510" s="13" t="str">
        <f>IFERROR(IF(F510=0,"No tiene sello",IF(+(AG510/1000)*9*100/F510&gt;1,"Exceso en grasa trans", "No tiene sello")),"No tiene sello")</f>
        <v>No tiene sello</v>
      </c>
    </row>
    <row r="511" spans="1:39" ht="13.5" customHeight="1" x14ac:dyDescent="0.25">
      <c r="A511" s="26" t="s">
        <v>607</v>
      </c>
      <c r="B511" s="26" t="s">
        <v>609</v>
      </c>
      <c r="C511" s="26" t="s">
        <v>608</v>
      </c>
      <c r="D511" s="16">
        <v>100</v>
      </c>
      <c r="E511" s="28">
        <v>59.6</v>
      </c>
      <c r="F511" s="24">
        <v>182</v>
      </c>
      <c r="G511" s="28">
        <v>766</v>
      </c>
      <c r="H511" s="24">
        <v>27.2</v>
      </c>
      <c r="I511" s="24">
        <v>7.3</v>
      </c>
      <c r="J511" s="24">
        <v>2</v>
      </c>
      <c r="K511" s="28">
        <v>0</v>
      </c>
      <c r="L511" s="28">
        <v>0.2</v>
      </c>
      <c r="M511" s="24">
        <v>0</v>
      </c>
      <c r="N511" s="28">
        <v>3.9</v>
      </c>
      <c r="O511" s="25">
        <v>0</v>
      </c>
      <c r="P511" s="25">
        <v>0</v>
      </c>
      <c r="Q511" s="28">
        <v>0</v>
      </c>
      <c r="R511" s="25">
        <v>0</v>
      </c>
      <c r="S511" s="28">
        <v>0</v>
      </c>
      <c r="T511" s="28">
        <v>0</v>
      </c>
      <c r="U511" s="28">
        <v>0</v>
      </c>
      <c r="V511" s="28">
        <v>0.28999999999999998</v>
      </c>
      <c r="W511" s="28">
        <v>3.74</v>
      </c>
      <c r="X511" s="28">
        <v>6.8</v>
      </c>
      <c r="Y511" s="28">
        <v>0</v>
      </c>
      <c r="Z511" s="28">
        <v>0</v>
      </c>
      <c r="AA511" s="25">
        <v>9</v>
      </c>
      <c r="AB511" s="25">
        <v>359</v>
      </c>
      <c r="AC511" s="25">
        <v>0</v>
      </c>
      <c r="AD511" s="28">
        <v>0</v>
      </c>
      <c r="AE511" s="28">
        <v>0</v>
      </c>
      <c r="AF511" s="28">
        <v>0</v>
      </c>
      <c r="AG511" s="28">
        <v>50</v>
      </c>
      <c r="AH511" s="24">
        <v>0</v>
      </c>
      <c r="AI511" s="28">
        <v>100</v>
      </c>
      <c r="AJ511" s="13" t="str">
        <f xml:space="preserve"> IF(AD511&gt;F511,"Exceso en grasa saturada",IFERROR(IF(F511=0,"No tiene sello",IF((AD511*9)*100/F511&gt;10,"Exceso en grasa saturada","No tiene sello")),"No tiene sello"))</f>
        <v>No tiene sello</v>
      </c>
      <c r="AK511" s="13">
        <f>IF(AJ511="No tiene sello",0,1)</f>
        <v>0</v>
      </c>
      <c r="AL511" s="13" t="str">
        <f>IF(Q511&gt;=300,"Exceso en sodio",IFERROR(IF(AND(F511=0,Q511&gt;0),"No tiene sello",IF(Q511/F511&gt;1,"Exceso en sodio","No tiene sello")),"No tiene sello"))</f>
        <v>No tiene sello</v>
      </c>
      <c r="AM511" s="13" t="str">
        <f>IFERROR(IF(F511=0,"No tiene sello",IF(+(AG511/1000)*9*100/F511&gt;1,"Exceso en grasa trans", "No tiene sello")),"No tiene sello")</f>
        <v>No tiene sello</v>
      </c>
    </row>
    <row r="512" spans="1:39" ht="13.5" customHeight="1" x14ac:dyDescent="0.25">
      <c r="A512" s="20" t="s">
        <v>605</v>
      </c>
      <c r="B512" s="20" t="s">
        <v>606</v>
      </c>
      <c r="C512" s="21"/>
      <c r="D512" s="22">
        <v>100</v>
      </c>
      <c r="E512" s="23">
        <v>74.900000000000006</v>
      </c>
      <c r="F512" s="24">
        <v>147</v>
      </c>
      <c r="G512" s="23">
        <v>613</v>
      </c>
      <c r="H512" s="24">
        <v>11.7</v>
      </c>
      <c r="I512" s="24">
        <v>10.5</v>
      </c>
      <c r="J512" s="24">
        <v>1.5</v>
      </c>
      <c r="K512" s="23">
        <v>0</v>
      </c>
      <c r="L512" s="23">
        <v>0.15</v>
      </c>
      <c r="M512" s="24">
        <v>0</v>
      </c>
      <c r="N512" s="23">
        <v>1.5</v>
      </c>
      <c r="O512" s="25">
        <v>9</v>
      </c>
      <c r="P512" s="25">
        <v>2.2000000000000002</v>
      </c>
      <c r="Q512" s="23">
        <v>108</v>
      </c>
      <c r="R512" s="25">
        <v>335</v>
      </c>
      <c r="S512" s="23">
        <v>1.1000000000000001</v>
      </c>
      <c r="T512" s="23">
        <v>12</v>
      </c>
      <c r="U512" s="23">
        <v>244</v>
      </c>
      <c r="V512" s="23">
        <v>7.0000000000000007E-2</v>
      </c>
      <c r="W512" s="23">
        <v>0.22</v>
      </c>
      <c r="X512" s="23">
        <v>3.6</v>
      </c>
      <c r="Y512" s="23">
        <v>5</v>
      </c>
      <c r="Z512" s="23">
        <v>10.1</v>
      </c>
      <c r="AA512" s="25">
        <v>11</v>
      </c>
      <c r="AB512" s="25">
        <v>6</v>
      </c>
      <c r="AC512" s="25">
        <v>0</v>
      </c>
      <c r="AD512" s="23">
        <v>2.4</v>
      </c>
      <c r="AE512" s="23">
        <v>1.9</v>
      </c>
      <c r="AF512" s="23">
        <v>1.6</v>
      </c>
      <c r="AG512" s="23">
        <v>10</v>
      </c>
      <c r="AH512" s="24">
        <v>3100</v>
      </c>
      <c r="AI512" s="23">
        <v>100</v>
      </c>
      <c r="AJ512" s="13" t="str">
        <f xml:space="preserve"> IF(AD512&gt;F512,"Exceso en grasa saturada",IFERROR(IF(F512=0,"No tiene sello",IF((AD512*9)*100/F512&gt;10,"Exceso en grasa saturada","No tiene sello")),"No tiene sello"))</f>
        <v>Exceso en grasa saturada</v>
      </c>
      <c r="AK512" s="13">
        <f>IF(AJ512="No tiene sello",0,1)</f>
        <v>1</v>
      </c>
      <c r="AL512" s="13" t="str">
        <f>IF(Q512&gt;=300,"Exceso en sodio",IFERROR(IF(AND(F512=0,Q512&gt;0),"No tiene sello",IF(Q512/F512&gt;1,"Exceso en sodio","No tiene sello")),"No tiene sello"))</f>
        <v>No tiene sello</v>
      </c>
      <c r="AM512" s="13" t="str">
        <f>IFERROR(IF(F512=0,"No tiene sello",IF(+(AG512/1000)*9*100/F512&gt;1,"Exceso en grasa trans", "No tiene sello")),"No tiene sello")</f>
        <v>No tiene sello</v>
      </c>
    </row>
    <row r="513" spans="1:39" ht="13.5" customHeight="1" x14ac:dyDescent="0.25">
      <c r="A513" s="26" t="s">
        <v>602</v>
      </c>
      <c r="B513" s="26" t="s">
        <v>604</v>
      </c>
      <c r="C513" s="26" t="s">
        <v>603</v>
      </c>
      <c r="D513" s="16">
        <v>100</v>
      </c>
      <c r="E513" s="28">
        <v>78</v>
      </c>
      <c r="F513" s="24">
        <v>130</v>
      </c>
      <c r="G513" s="28">
        <v>542</v>
      </c>
      <c r="H513" s="24">
        <v>10.8</v>
      </c>
      <c r="I513" s="24">
        <v>9.6999999999999993</v>
      </c>
      <c r="J513" s="24">
        <v>0</v>
      </c>
      <c r="K513" s="28">
        <v>0</v>
      </c>
      <c r="L513" s="28">
        <v>0</v>
      </c>
      <c r="M513" s="24">
        <v>0</v>
      </c>
      <c r="N513" s="28">
        <v>1.5</v>
      </c>
      <c r="O513" s="25">
        <v>8</v>
      </c>
      <c r="P513" s="25">
        <v>2.5</v>
      </c>
      <c r="Q513" s="28">
        <v>126</v>
      </c>
      <c r="R513" s="25">
        <v>260</v>
      </c>
      <c r="S513" s="28">
        <v>1</v>
      </c>
      <c r="T513" s="28">
        <v>13</v>
      </c>
      <c r="U513" s="28">
        <v>274</v>
      </c>
      <c r="V513" s="28">
        <v>0.12</v>
      </c>
      <c r="W513" s="28">
        <v>0.2</v>
      </c>
      <c r="X513" s="28">
        <v>3.5</v>
      </c>
      <c r="Y513" s="28">
        <v>3</v>
      </c>
      <c r="Z513" s="28">
        <v>9.51</v>
      </c>
      <c r="AA513" s="25">
        <v>11</v>
      </c>
      <c r="AB513" s="25">
        <v>7</v>
      </c>
      <c r="AC513" s="25">
        <v>0</v>
      </c>
      <c r="AD513" s="28">
        <v>2.2999999999999998</v>
      </c>
      <c r="AE513" s="28">
        <v>1.9</v>
      </c>
      <c r="AF513" s="28">
        <v>1.6</v>
      </c>
      <c r="AG513" s="28">
        <v>10</v>
      </c>
      <c r="AH513" s="24">
        <v>3010</v>
      </c>
      <c r="AI513" s="28">
        <v>100</v>
      </c>
      <c r="AJ513" s="13" t="str">
        <f xml:space="preserve"> IF(AD513&gt;F513,"Exceso en grasa saturada",IFERROR(IF(F513=0,"No tiene sello",IF((AD513*9)*100/F513&gt;10,"Exceso en grasa saturada","No tiene sello")),"No tiene sello"))</f>
        <v>Exceso en grasa saturada</v>
      </c>
      <c r="AK513" s="13">
        <f>IF(AJ513="No tiene sello",0,1)</f>
        <v>1</v>
      </c>
      <c r="AL513" s="13" t="str">
        <f>IF(Q513&gt;=300,"Exceso en sodio",IFERROR(IF(AND(F513=0,Q513&gt;0),"No tiene sello",IF(Q513/F513&gt;1,"Exceso en sodio","No tiene sello")),"No tiene sello"))</f>
        <v>No tiene sello</v>
      </c>
      <c r="AM513" s="13" t="str">
        <f>IFERROR(IF(F513=0,"No tiene sello",IF(+(AG513/1000)*9*100/F513&gt;1,"Exceso en grasa trans", "No tiene sello")),"No tiene sello")</f>
        <v>No tiene sello</v>
      </c>
    </row>
    <row r="514" spans="1:39" ht="13.5" customHeight="1" x14ac:dyDescent="0.25">
      <c r="A514" s="20" t="s">
        <v>599</v>
      </c>
      <c r="B514" s="20" t="s">
        <v>601</v>
      </c>
      <c r="C514" s="20" t="s">
        <v>600</v>
      </c>
      <c r="D514" s="22">
        <v>100</v>
      </c>
      <c r="E514" s="23">
        <v>49.7</v>
      </c>
      <c r="F514" s="24">
        <v>331</v>
      </c>
      <c r="G514" s="23">
        <v>1373</v>
      </c>
      <c r="H514" s="24">
        <v>24.2</v>
      </c>
      <c r="I514" s="24">
        <v>26</v>
      </c>
      <c r="J514" s="24">
        <v>0</v>
      </c>
      <c r="K514" s="23">
        <v>0</v>
      </c>
      <c r="L514" s="23">
        <v>0</v>
      </c>
      <c r="M514" s="24">
        <v>0</v>
      </c>
      <c r="N514" s="23">
        <v>0.7</v>
      </c>
      <c r="O514" s="25">
        <v>21</v>
      </c>
      <c r="P514" s="25">
        <v>2.1</v>
      </c>
      <c r="Q514" s="23">
        <v>39</v>
      </c>
      <c r="R514" s="25">
        <v>161</v>
      </c>
      <c r="S514" s="23">
        <v>6.5</v>
      </c>
      <c r="T514" s="23">
        <v>21</v>
      </c>
      <c r="U514" s="23">
        <v>207</v>
      </c>
      <c r="V514" s="23">
        <v>0.04</v>
      </c>
      <c r="W514" s="23">
        <v>0.12</v>
      </c>
      <c r="X514" s="23">
        <v>1.6</v>
      </c>
      <c r="Y514" s="23">
        <v>8</v>
      </c>
      <c r="Z514" s="23">
        <v>1.56</v>
      </c>
      <c r="AA514" s="25">
        <v>0</v>
      </c>
      <c r="AB514" s="25">
        <v>0</v>
      </c>
      <c r="AC514" s="25">
        <v>0</v>
      </c>
      <c r="AD514" s="23">
        <v>12.1</v>
      </c>
      <c r="AE514" s="23">
        <v>10.4</v>
      </c>
      <c r="AF514" s="23">
        <v>0.5</v>
      </c>
      <c r="AG514" s="23">
        <v>15</v>
      </c>
      <c r="AH514" s="24">
        <v>65</v>
      </c>
      <c r="AI514" s="23">
        <v>100</v>
      </c>
      <c r="AJ514" s="13" t="str">
        <f xml:space="preserve"> IF(AD514&gt;F514,"Exceso en grasa saturada",IFERROR(IF(F514=0,"No tiene sello",IF((AD514*9)*100/F514&gt;10,"Exceso en grasa saturada","No tiene sello")),"No tiene sello"))</f>
        <v>Exceso en grasa saturada</v>
      </c>
      <c r="AK514" s="13">
        <f>IF(AJ514="No tiene sello",0,1)</f>
        <v>1</v>
      </c>
      <c r="AL514" s="13" t="str">
        <f>IF(Q514&gt;=300,"Exceso en sodio",IFERROR(IF(AND(F514=0,Q514&gt;0),"No tiene sello",IF(Q514/F514&gt;1,"Exceso en sodio","No tiene sello")),"No tiene sello"))</f>
        <v>No tiene sello</v>
      </c>
      <c r="AM514" s="13" t="str">
        <f>IFERROR(IF(F514=0,"No tiene sello",IF(+(AG514/1000)*9*100/F514&gt;1,"Exceso en grasa trans", "No tiene sello")),"No tiene sello")</f>
        <v>No tiene sello</v>
      </c>
    </row>
    <row r="515" spans="1:39" ht="13.5" customHeight="1" x14ac:dyDescent="0.25">
      <c r="A515" s="26" t="s">
        <v>596</v>
      </c>
      <c r="B515" s="26" t="s">
        <v>598</v>
      </c>
      <c r="C515" s="26" t="s">
        <v>597</v>
      </c>
      <c r="D515" s="16">
        <v>100</v>
      </c>
      <c r="E515" s="28">
        <v>64.900000000000006</v>
      </c>
      <c r="F515" s="24">
        <v>230</v>
      </c>
      <c r="G515" s="28">
        <v>954</v>
      </c>
      <c r="H515" s="24">
        <v>15.4</v>
      </c>
      <c r="I515" s="24">
        <v>18.7</v>
      </c>
      <c r="J515" s="24">
        <v>0</v>
      </c>
      <c r="K515" s="28">
        <v>0</v>
      </c>
      <c r="L515" s="28">
        <v>0</v>
      </c>
      <c r="M515" s="24">
        <v>0</v>
      </c>
      <c r="N515" s="28">
        <v>1</v>
      </c>
      <c r="O515" s="25">
        <v>70</v>
      </c>
      <c r="P515" s="25">
        <v>2.6</v>
      </c>
      <c r="Q515" s="28">
        <v>0</v>
      </c>
      <c r="R515" s="25">
        <v>160</v>
      </c>
      <c r="S515" s="28">
        <v>0</v>
      </c>
      <c r="T515" s="28">
        <v>0</v>
      </c>
      <c r="U515" s="28">
        <v>0</v>
      </c>
      <c r="V515" s="28">
        <v>0.09</v>
      </c>
      <c r="W515" s="28">
        <v>0.18</v>
      </c>
      <c r="X515" s="28">
        <v>1.3</v>
      </c>
      <c r="Y515" s="28">
        <v>0</v>
      </c>
      <c r="Z515" s="28">
        <v>0</v>
      </c>
      <c r="AA515" s="25">
        <v>0</v>
      </c>
      <c r="AB515" s="25">
        <v>0</v>
      </c>
      <c r="AC515" s="25">
        <v>0</v>
      </c>
      <c r="AD515" s="28">
        <v>0</v>
      </c>
      <c r="AE515" s="28">
        <v>0</v>
      </c>
      <c r="AF515" s="28">
        <v>0</v>
      </c>
      <c r="AG515" s="28">
        <v>10</v>
      </c>
      <c r="AH515" s="24">
        <v>0</v>
      </c>
      <c r="AI515" s="28">
        <v>100</v>
      </c>
      <c r="AJ515" s="13" t="str">
        <f xml:space="preserve"> IF(AD515&gt;F515,"Exceso en grasa saturada",IFERROR(IF(F515=0,"No tiene sello",IF((AD515*9)*100/F515&gt;10,"Exceso en grasa saturada","No tiene sello")),"No tiene sello"))</f>
        <v>No tiene sello</v>
      </c>
      <c r="AK515" s="13">
        <f>IF(AJ515="No tiene sello",0,1)</f>
        <v>0</v>
      </c>
      <c r="AL515" s="13" t="str">
        <f>IF(Q515&gt;=300,"Exceso en sodio",IFERROR(IF(AND(F515=0,Q515&gt;0),"No tiene sello",IF(Q515/F515&gt;1,"Exceso en sodio","No tiene sello")),"No tiene sello"))</f>
        <v>No tiene sello</v>
      </c>
      <c r="AM515" s="13" t="str">
        <f>IFERROR(IF(F515=0,"No tiene sello",IF(+(AG515/1000)*9*100/F515&gt;1,"Exceso en grasa trans", "No tiene sello")),"No tiene sello")</f>
        <v>No tiene sello</v>
      </c>
    </row>
    <row r="516" spans="1:39" ht="13.5" customHeight="1" x14ac:dyDescent="0.25">
      <c r="A516" s="20" t="s">
        <v>594</v>
      </c>
      <c r="B516" s="20" t="s">
        <v>595</v>
      </c>
      <c r="C516" s="21"/>
      <c r="D516" s="22">
        <v>100</v>
      </c>
      <c r="E516" s="23">
        <v>56.1</v>
      </c>
      <c r="F516" s="24">
        <v>266</v>
      </c>
      <c r="G516" s="23">
        <v>1104</v>
      </c>
      <c r="H516" s="24">
        <v>13.8</v>
      </c>
      <c r="I516" s="24">
        <v>20.7</v>
      </c>
      <c r="J516" s="24">
        <v>6.1</v>
      </c>
      <c r="K516" s="23">
        <v>0</v>
      </c>
      <c r="L516" s="23">
        <v>0.61</v>
      </c>
      <c r="M516" s="24">
        <v>0</v>
      </c>
      <c r="N516" s="23">
        <v>3.3</v>
      </c>
      <c r="O516" s="25">
        <v>23</v>
      </c>
      <c r="P516" s="25">
        <v>1.1000000000000001</v>
      </c>
      <c r="Q516" s="23">
        <v>1137</v>
      </c>
      <c r="R516" s="25">
        <v>164</v>
      </c>
      <c r="S516" s="23">
        <v>1.8</v>
      </c>
      <c r="T516" s="23">
        <v>12</v>
      </c>
      <c r="U516" s="23">
        <v>228</v>
      </c>
      <c r="V516" s="23">
        <v>0.22</v>
      </c>
      <c r="W516" s="23">
        <v>0.01</v>
      </c>
      <c r="X516" s="23">
        <v>0.3</v>
      </c>
      <c r="Y516" s="23">
        <v>4</v>
      </c>
      <c r="Z516" s="23">
        <v>1.37</v>
      </c>
      <c r="AA516" s="25">
        <v>0</v>
      </c>
      <c r="AB516" s="25">
        <v>0</v>
      </c>
      <c r="AC516" s="25">
        <v>0</v>
      </c>
      <c r="AD516" s="23">
        <v>7.5</v>
      </c>
      <c r="AE516" s="23">
        <v>9.1999999999999993</v>
      </c>
      <c r="AF516" s="23">
        <v>2.4</v>
      </c>
      <c r="AG516" s="23">
        <v>80</v>
      </c>
      <c r="AH516" s="24">
        <v>55</v>
      </c>
      <c r="AI516" s="23">
        <v>100</v>
      </c>
      <c r="AJ516" s="13" t="str">
        <f xml:space="preserve"> IF(AD516&gt;F516,"Exceso en grasa saturada",IFERROR(IF(F516=0,"No tiene sello",IF((AD516*9)*100/F516&gt;10,"Exceso en grasa saturada","No tiene sello")),"No tiene sello"))</f>
        <v>Exceso en grasa saturada</v>
      </c>
      <c r="AK516" s="13">
        <f>IF(AJ516="No tiene sello",0,1)</f>
        <v>1</v>
      </c>
      <c r="AL516" s="13" t="str">
        <f>IF(Q516&gt;=300,"Exceso en sodio",IFERROR(IF(AND(F516=0,Q516&gt;0),"No tiene sello",IF(Q516/F516&gt;1,"Exceso en sodio","No tiene sello")),"No tiene sello"))</f>
        <v>Exceso en sodio</v>
      </c>
      <c r="AM516" s="13" t="str">
        <f>IFERROR(IF(F516=0,"No tiene sello",IF(+(AG516/1000)*9*100/F516&gt;1,"Exceso en grasa trans", "No tiene sello")),"No tiene sello")</f>
        <v>No tiene sello</v>
      </c>
    </row>
    <row r="517" spans="1:39" ht="13.5" customHeight="1" x14ac:dyDescent="0.25">
      <c r="A517" s="26" t="s">
        <v>592</v>
      </c>
      <c r="B517" s="26" t="s">
        <v>593</v>
      </c>
      <c r="C517" s="27"/>
      <c r="D517" s="16">
        <v>100</v>
      </c>
      <c r="E517" s="28">
        <v>58.1</v>
      </c>
      <c r="F517" s="24">
        <v>271</v>
      </c>
      <c r="G517" s="28">
        <v>1123</v>
      </c>
      <c r="H517" s="24">
        <v>13.5</v>
      </c>
      <c r="I517" s="24">
        <v>23.1</v>
      </c>
      <c r="J517" s="24">
        <v>2.2000000000000002</v>
      </c>
      <c r="K517" s="28">
        <v>0</v>
      </c>
      <c r="L517" s="28">
        <v>0.22</v>
      </c>
      <c r="M517" s="24">
        <v>0</v>
      </c>
      <c r="N517" s="28">
        <v>3.1</v>
      </c>
      <c r="O517" s="25">
        <v>20</v>
      </c>
      <c r="P517" s="25">
        <v>1</v>
      </c>
      <c r="Q517" s="28">
        <v>900</v>
      </c>
      <c r="R517" s="25">
        <v>173</v>
      </c>
      <c r="S517" s="28">
        <v>1.4</v>
      </c>
      <c r="T517" s="28">
        <v>14</v>
      </c>
      <c r="U517" s="28">
        <v>248</v>
      </c>
      <c r="V517" s="28">
        <v>0.37</v>
      </c>
      <c r="W517" s="28">
        <v>0.17</v>
      </c>
      <c r="X517" s="28">
        <v>2.1</v>
      </c>
      <c r="Y517" s="28">
        <v>3</v>
      </c>
      <c r="Z517" s="28">
        <v>0.48</v>
      </c>
      <c r="AA517" s="25">
        <v>0</v>
      </c>
      <c r="AB517" s="25">
        <v>0</v>
      </c>
      <c r="AC517" s="25">
        <v>0</v>
      </c>
      <c r="AD517" s="28">
        <v>8.6999999999999993</v>
      </c>
      <c r="AE517" s="28">
        <v>10.5</v>
      </c>
      <c r="AF517" s="28">
        <v>2.5</v>
      </c>
      <c r="AG517" s="28">
        <v>80</v>
      </c>
      <c r="AH517" s="24">
        <v>67</v>
      </c>
      <c r="AI517" s="28">
        <v>100</v>
      </c>
      <c r="AJ517" s="13" t="str">
        <f xml:space="preserve"> IF(AD517&gt;F517,"Exceso en grasa saturada",IFERROR(IF(F517=0,"No tiene sello",IF((AD517*9)*100/F517&gt;10,"Exceso en grasa saturada","No tiene sello")),"No tiene sello"))</f>
        <v>Exceso en grasa saturada</v>
      </c>
      <c r="AK517" s="13">
        <f>IF(AJ517="No tiene sello",0,1)</f>
        <v>1</v>
      </c>
      <c r="AL517" s="13" t="str">
        <f>IF(Q517&gt;=300,"Exceso en sodio",IFERROR(IF(AND(F517=0,Q517&gt;0),"No tiene sello",IF(Q517/F517&gt;1,"Exceso en sodio","No tiene sello")),"No tiene sello"))</f>
        <v>Exceso en sodio</v>
      </c>
      <c r="AM517" s="13" t="str">
        <f>IFERROR(IF(F517=0,"No tiene sello",IF(+(AG517/1000)*9*100/F517&gt;1,"Exceso en grasa trans", "No tiene sello")),"No tiene sello")</f>
        <v>No tiene sello</v>
      </c>
    </row>
    <row r="518" spans="1:39" ht="13.5" customHeight="1" x14ac:dyDescent="0.25">
      <c r="A518" s="20" t="s">
        <v>590</v>
      </c>
      <c r="B518" s="20" t="s">
        <v>591</v>
      </c>
      <c r="C518" s="21"/>
      <c r="D518" s="22">
        <v>100</v>
      </c>
      <c r="E518" s="23">
        <v>61.6</v>
      </c>
      <c r="F518" s="24">
        <v>248</v>
      </c>
      <c r="G518" s="23">
        <v>1026</v>
      </c>
      <c r="H518" s="24">
        <v>13.8</v>
      </c>
      <c r="I518" s="24">
        <v>21.4</v>
      </c>
      <c r="J518" s="24">
        <v>0</v>
      </c>
      <c r="K518" s="23">
        <v>0</v>
      </c>
      <c r="L518" s="23">
        <v>0</v>
      </c>
      <c r="M518" s="24">
        <v>0</v>
      </c>
      <c r="N518" s="23">
        <v>3.2</v>
      </c>
      <c r="O518" s="25">
        <v>37</v>
      </c>
      <c r="P518" s="25">
        <v>1.1000000000000001</v>
      </c>
      <c r="Q518" s="23">
        <v>1050</v>
      </c>
      <c r="R518" s="25">
        <v>167</v>
      </c>
      <c r="S518" s="23">
        <v>1.8</v>
      </c>
      <c r="T518" s="23">
        <v>17</v>
      </c>
      <c r="U518" s="23">
        <v>243</v>
      </c>
      <c r="V518" s="23">
        <v>0.12</v>
      </c>
      <c r="W518" s="23">
        <v>0.14000000000000001</v>
      </c>
      <c r="X518" s="23">
        <v>4.2</v>
      </c>
      <c r="Y518" s="23">
        <v>4</v>
      </c>
      <c r="Z518" s="23">
        <v>0.24</v>
      </c>
      <c r="AA518" s="25">
        <v>0</v>
      </c>
      <c r="AB518" s="25">
        <v>0</v>
      </c>
      <c r="AC518" s="25">
        <v>0</v>
      </c>
      <c r="AD518" s="23">
        <v>5.2</v>
      </c>
      <c r="AE518" s="23">
        <v>9.5</v>
      </c>
      <c r="AF518" s="23">
        <v>3.3</v>
      </c>
      <c r="AG518" s="23">
        <v>60</v>
      </c>
      <c r="AH518" s="24">
        <v>64</v>
      </c>
      <c r="AI518" s="23">
        <v>100</v>
      </c>
      <c r="AJ518" s="13" t="str">
        <f xml:space="preserve"> IF(AD518&gt;F518,"Exceso en grasa saturada",IFERROR(IF(F518=0,"No tiene sello",IF((AD518*9)*100/F518&gt;10,"Exceso en grasa saturada","No tiene sello")),"No tiene sello"))</f>
        <v>Exceso en grasa saturada</v>
      </c>
      <c r="AK518" s="13">
        <f>IF(AJ518="No tiene sello",0,1)</f>
        <v>1</v>
      </c>
      <c r="AL518" s="13" t="str">
        <f>IF(Q518&gt;=300,"Exceso en sodio",IFERROR(IF(AND(F518=0,Q518&gt;0),"No tiene sello",IF(Q518/F518&gt;1,"Exceso en sodio","No tiene sello")),"No tiene sello"))</f>
        <v>Exceso en sodio</v>
      </c>
      <c r="AM518" s="13" t="str">
        <f>IFERROR(IF(F518=0,"No tiene sello",IF(+(AG518/1000)*9*100/F518&gt;1,"Exceso en grasa trans", "No tiene sello")),"No tiene sello")</f>
        <v>No tiene sello</v>
      </c>
    </row>
    <row r="519" spans="1:39" ht="13.5" customHeight="1" x14ac:dyDescent="0.25">
      <c r="A519" s="26" t="s">
        <v>588</v>
      </c>
      <c r="B519" s="26" t="s">
        <v>589</v>
      </c>
      <c r="C519" s="27"/>
      <c r="D519" s="16">
        <v>100</v>
      </c>
      <c r="E519" s="28">
        <v>62.6</v>
      </c>
      <c r="F519" s="24">
        <v>199</v>
      </c>
      <c r="G519" s="28">
        <v>829</v>
      </c>
      <c r="H519" s="24">
        <v>14</v>
      </c>
      <c r="I519" s="24">
        <v>15.3</v>
      </c>
      <c r="J519" s="24">
        <v>1.4</v>
      </c>
      <c r="K519" s="28">
        <v>0</v>
      </c>
      <c r="L519" s="28">
        <v>0.14000000000000001</v>
      </c>
      <c r="M519" s="24">
        <v>0</v>
      </c>
      <c r="N519" s="28">
        <v>6.7</v>
      </c>
      <c r="O519" s="25">
        <v>0</v>
      </c>
      <c r="P519" s="25">
        <v>0</v>
      </c>
      <c r="Q519" s="28">
        <v>0</v>
      </c>
      <c r="R519" s="25">
        <v>0</v>
      </c>
      <c r="S519" s="28">
        <v>0</v>
      </c>
      <c r="T519" s="28">
        <v>0</v>
      </c>
      <c r="U519" s="28">
        <v>0</v>
      </c>
      <c r="V519" s="28">
        <v>0</v>
      </c>
      <c r="W519" s="28">
        <v>0</v>
      </c>
      <c r="X519" s="28">
        <v>0</v>
      </c>
      <c r="Y519" s="28">
        <v>0</v>
      </c>
      <c r="Z519" s="28">
        <v>0</v>
      </c>
      <c r="AA519" s="25">
        <v>0</v>
      </c>
      <c r="AB519" s="25">
        <v>0</v>
      </c>
      <c r="AC519" s="25">
        <v>0</v>
      </c>
      <c r="AD519" s="28">
        <v>0</v>
      </c>
      <c r="AE519" s="28">
        <v>0</v>
      </c>
      <c r="AF519" s="28">
        <v>0</v>
      </c>
      <c r="AG519" s="28">
        <v>50</v>
      </c>
      <c r="AH519" s="24">
        <v>0</v>
      </c>
      <c r="AI519" s="28">
        <v>100</v>
      </c>
      <c r="AJ519" s="13" t="str">
        <f xml:space="preserve"> IF(AD519&gt;F519,"Exceso en grasa saturada",IFERROR(IF(F519=0,"No tiene sello",IF((AD519*9)*100/F519&gt;10,"Exceso en grasa saturada","No tiene sello")),"No tiene sello"))</f>
        <v>No tiene sello</v>
      </c>
      <c r="AK519" s="13">
        <f>IF(AJ519="No tiene sello",0,1)</f>
        <v>0</v>
      </c>
      <c r="AL519" s="13" t="str">
        <f>IF(Q519&gt;=300,"Exceso en sodio",IFERROR(IF(AND(F519=0,Q519&gt;0),"No tiene sello",IF(Q519/F519&gt;1,"Exceso en sodio","No tiene sello")),"No tiene sello"))</f>
        <v>No tiene sello</v>
      </c>
      <c r="AM519" s="13" t="str">
        <f>IFERROR(IF(F519=0,"No tiene sello",IF(+(AG519/1000)*9*100/F519&gt;1,"Exceso en grasa trans", "No tiene sello")),"No tiene sello")</f>
        <v>No tiene sello</v>
      </c>
    </row>
    <row r="520" spans="1:39" ht="13.5" customHeight="1" x14ac:dyDescent="0.25">
      <c r="A520" s="20" t="s">
        <v>586</v>
      </c>
      <c r="B520" s="20" t="s">
        <v>587</v>
      </c>
      <c r="C520" s="21"/>
      <c r="D520" s="22">
        <v>100</v>
      </c>
      <c r="E520" s="23">
        <v>60.6</v>
      </c>
      <c r="F520" s="24">
        <v>243</v>
      </c>
      <c r="G520" s="23">
        <v>1008</v>
      </c>
      <c r="H520" s="24">
        <v>15.3</v>
      </c>
      <c r="I520" s="24">
        <v>19.899999999999999</v>
      </c>
      <c r="J520" s="24">
        <v>0.7</v>
      </c>
      <c r="K520" s="23">
        <v>0</v>
      </c>
      <c r="L520" s="23">
        <v>7.0000000000000007E-2</v>
      </c>
      <c r="M520" s="24">
        <v>0</v>
      </c>
      <c r="N520" s="23">
        <v>3.5</v>
      </c>
      <c r="O520" s="25">
        <v>15</v>
      </c>
      <c r="P520" s="25">
        <v>1.9</v>
      </c>
      <c r="Q520" s="23">
        <v>1060</v>
      </c>
      <c r="R520" s="25">
        <v>231</v>
      </c>
      <c r="S520" s="23">
        <v>1.6</v>
      </c>
      <c r="T520" s="23">
        <v>10</v>
      </c>
      <c r="U520" s="23">
        <v>213</v>
      </c>
      <c r="V520" s="23">
        <v>0.2</v>
      </c>
      <c r="W520" s="23">
        <v>0.21</v>
      </c>
      <c r="X520" s="23">
        <v>10</v>
      </c>
      <c r="Y520" s="23">
        <v>3</v>
      </c>
      <c r="Z520" s="23">
        <v>1</v>
      </c>
      <c r="AA520" s="25">
        <v>0</v>
      </c>
      <c r="AB520" s="25">
        <v>0</v>
      </c>
      <c r="AC520" s="25">
        <v>0</v>
      </c>
      <c r="AD520" s="23">
        <v>5.9</v>
      </c>
      <c r="AE520" s="23">
        <v>6.2</v>
      </c>
      <c r="AF520" s="23">
        <v>2.7</v>
      </c>
      <c r="AG520" s="23">
        <v>80</v>
      </c>
      <c r="AH520" s="24">
        <v>70</v>
      </c>
      <c r="AI520" s="23">
        <v>100</v>
      </c>
      <c r="AJ520" s="13" t="str">
        <f xml:space="preserve"> IF(AD520&gt;F520,"Exceso en grasa saturada",IFERROR(IF(F520=0,"No tiene sello",IF((AD520*9)*100/F520&gt;10,"Exceso en grasa saturada","No tiene sello")),"No tiene sello"))</f>
        <v>Exceso en grasa saturada</v>
      </c>
      <c r="AK520" s="13">
        <f>IF(AJ520="No tiene sello",0,1)</f>
        <v>1</v>
      </c>
      <c r="AL520" s="13" t="str">
        <f>IF(Q520&gt;=300,"Exceso en sodio",IFERROR(IF(AND(F520=0,Q520&gt;0),"No tiene sello",IF(Q520/F520&gt;1,"Exceso en sodio","No tiene sello")),"No tiene sello"))</f>
        <v>Exceso en sodio</v>
      </c>
      <c r="AM520" s="13" t="str">
        <f>IFERROR(IF(F520=0,"No tiene sello",IF(+(AG520/1000)*9*100/F520&gt;1,"Exceso en grasa trans", "No tiene sello")),"No tiene sello")</f>
        <v>No tiene sello</v>
      </c>
    </row>
    <row r="521" spans="1:39" ht="13.5" customHeight="1" x14ac:dyDescent="0.25">
      <c r="A521" s="26" t="s">
        <v>584</v>
      </c>
      <c r="B521" s="26" t="s">
        <v>585</v>
      </c>
      <c r="C521" s="27"/>
      <c r="D521" s="16">
        <v>100</v>
      </c>
      <c r="E521" s="28">
        <v>60.6</v>
      </c>
      <c r="F521" s="24">
        <v>243</v>
      </c>
      <c r="G521" s="28">
        <v>1008</v>
      </c>
      <c r="H521" s="24">
        <v>15.5</v>
      </c>
      <c r="I521" s="24">
        <v>19.899999999999999</v>
      </c>
      <c r="J521" s="24">
        <v>0.7</v>
      </c>
      <c r="K521" s="28">
        <v>0</v>
      </c>
      <c r="L521" s="28">
        <v>7.0000000000000007E-2</v>
      </c>
      <c r="M521" s="24">
        <v>0</v>
      </c>
      <c r="N521" s="28">
        <v>3.5</v>
      </c>
      <c r="O521" s="25">
        <v>14</v>
      </c>
      <c r="P521" s="25">
        <v>0.8</v>
      </c>
      <c r="Q521" s="28">
        <v>1184</v>
      </c>
      <c r="R521" s="25">
        <v>283</v>
      </c>
      <c r="S521" s="28">
        <v>2</v>
      </c>
      <c r="T521" s="28">
        <v>14</v>
      </c>
      <c r="U521" s="28">
        <v>262</v>
      </c>
      <c r="V521" s="28">
        <v>0.37</v>
      </c>
      <c r="W521" s="28">
        <v>0.15</v>
      </c>
      <c r="X521" s="28">
        <v>3.9</v>
      </c>
      <c r="Y521" s="28">
        <v>5</v>
      </c>
      <c r="Z521" s="28">
        <v>0.93</v>
      </c>
      <c r="AA521" s="25">
        <v>0</v>
      </c>
      <c r="AB521" s="25">
        <v>0</v>
      </c>
      <c r="AC521" s="25">
        <v>0</v>
      </c>
      <c r="AD521" s="28">
        <v>6.9</v>
      </c>
      <c r="AE521" s="28">
        <v>9.8000000000000007</v>
      </c>
      <c r="AF521" s="28">
        <v>2.1</v>
      </c>
      <c r="AG521" s="28">
        <v>80</v>
      </c>
      <c r="AH521" s="24">
        <v>70</v>
      </c>
      <c r="AI521" s="28">
        <v>100</v>
      </c>
      <c r="AJ521" s="13" t="str">
        <f xml:space="preserve"> IF(AD521&gt;F521,"Exceso en grasa saturada",IFERROR(IF(F521=0,"No tiene sello",IF((AD521*9)*100/F521&gt;10,"Exceso en grasa saturada","No tiene sello")),"No tiene sello"))</f>
        <v>Exceso en grasa saturada</v>
      </c>
      <c r="AK521" s="13">
        <f>IF(AJ521="No tiene sello",0,1)</f>
        <v>1</v>
      </c>
      <c r="AL521" s="13" t="str">
        <f>IF(Q521&gt;=300,"Exceso en sodio",IFERROR(IF(AND(F521=0,Q521&gt;0),"No tiene sello",IF(Q521/F521&gt;1,"Exceso en sodio","No tiene sello")),"No tiene sello"))</f>
        <v>Exceso en sodio</v>
      </c>
      <c r="AM521" s="13" t="str">
        <f>IFERROR(IF(F521=0,"No tiene sello",IF(+(AG521/1000)*9*100/F521&gt;1,"Exceso en grasa trans", "No tiene sello")),"No tiene sello")</f>
        <v>No tiene sello</v>
      </c>
    </row>
    <row r="522" spans="1:39" ht="13.5" customHeight="1" x14ac:dyDescent="0.25">
      <c r="A522" s="20" t="s">
        <v>582</v>
      </c>
      <c r="B522" s="20" t="s">
        <v>583</v>
      </c>
      <c r="C522" s="21"/>
      <c r="D522" s="22">
        <v>100</v>
      </c>
      <c r="E522" s="23">
        <v>74.8</v>
      </c>
      <c r="F522" s="24">
        <v>110</v>
      </c>
      <c r="G522" s="23">
        <v>465</v>
      </c>
      <c r="H522" s="24">
        <v>21.9</v>
      </c>
      <c r="I522" s="24">
        <v>2.5</v>
      </c>
      <c r="J522" s="24">
        <v>0</v>
      </c>
      <c r="K522" s="23">
        <v>0</v>
      </c>
      <c r="L522" s="23">
        <v>0</v>
      </c>
      <c r="M522" s="24">
        <v>0</v>
      </c>
      <c r="N522" s="23">
        <v>1</v>
      </c>
      <c r="O522" s="25">
        <v>11</v>
      </c>
      <c r="P522" s="25">
        <v>0.8</v>
      </c>
      <c r="Q522" s="23">
        <v>83</v>
      </c>
      <c r="R522" s="25">
        <v>208</v>
      </c>
      <c r="S522" s="23">
        <v>2.6</v>
      </c>
      <c r="T522" s="23">
        <v>38</v>
      </c>
      <c r="U522" s="23">
        <v>302</v>
      </c>
      <c r="V522" s="23">
        <v>0.08</v>
      </c>
      <c r="W522" s="23">
        <v>0.27</v>
      </c>
      <c r="X522" s="23">
        <v>7.5</v>
      </c>
      <c r="Y522" s="23">
        <v>9</v>
      </c>
      <c r="Z522" s="23">
        <v>2.06</v>
      </c>
      <c r="AA522" s="25">
        <v>0</v>
      </c>
      <c r="AB522" s="25">
        <v>0</v>
      </c>
      <c r="AC522" s="25">
        <v>0</v>
      </c>
      <c r="AD522" s="23">
        <v>1</v>
      </c>
      <c r="AE522" s="23">
        <v>1.1000000000000001</v>
      </c>
      <c r="AF522" s="23">
        <v>0.3</v>
      </c>
      <c r="AG522" s="23">
        <v>5</v>
      </c>
      <c r="AH522" s="24">
        <v>54</v>
      </c>
      <c r="AI522" s="23">
        <v>100</v>
      </c>
      <c r="AJ522" s="13" t="str">
        <f xml:space="preserve"> IF(AD522&gt;F522,"Exceso en grasa saturada",IFERROR(IF(F522=0,"No tiene sello",IF((AD522*9)*100/F522&gt;10,"Exceso en grasa saturada","No tiene sello")),"No tiene sello"))</f>
        <v>No tiene sello</v>
      </c>
      <c r="AK522" s="13">
        <f>IF(AJ522="No tiene sello",0,1)</f>
        <v>0</v>
      </c>
      <c r="AL522" s="13" t="str">
        <f>IF(Q522&gt;=300,"Exceso en sodio",IFERROR(IF(AND(F522=0,Q522&gt;0),"No tiene sello",IF(Q522/F522&gt;1,"Exceso en sodio","No tiene sello")),"No tiene sello"))</f>
        <v>No tiene sello</v>
      </c>
      <c r="AM522" s="13" t="str">
        <f>IFERROR(IF(F522=0,"No tiene sello",IF(+(AG522/1000)*9*100/F522&gt;1,"Exceso en grasa trans", "No tiene sello")),"No tiene sello")</f>
        <v>No tiene sello</v>
      </c>
    </row>
    <row r="523" spans="1:39" ht="13.5" customHeight="1" x14ac:dyDescent="0.25">
      <c r="A523" s="26" t="s">
        <v>580</v>
      </c>
      <c r="B523" s="26" t="s">
        <v>581</v>
      </c>
      <c r="C523" s="27"/>
      <c r="D523" s="16">
        <v>100</v>
      </c>
      <c r="E523" s="28">
        <v>78.5</v>
      </c>
      <c r="F523" s="24">
        <v>86</v>
      </c>
      <c r="G523" s="28">
        <v>364</v>
      </c>
      <c r="H523" s="24">
        <v>19.8</v>
      </c>
      <c r="I523" s="24">
        <v>0.5</v>
      </c>
      <c r="J523" s="24">
        <v>0.5</v>
      </c>
      <c r="K523" s="28">
        <v>0</v>
      </c>
      <c r="L523" s="28">
        <v>0.05</v>
      </c>
      <c r="M523" s="24">
        <v>0</v>
      </c>
      <c r="N523" s="28">
        <v>0.7</v>
      </c>
      <c r="O523" s="25">
        <v>27</v>
      </c>
      <c r="P523" s="25">
        <v>0.7</v>
      </c>
      <c r="Q523" s="28">
        <v>68</v>
      </c>
      <c r="R523" s="25">
        <v>87</v>
      </c>
      <c r="S523" s="28">
        <v>1</v>
      </c>
      <c r="T523" s="28">
        <v>20</v>
      </c>
      <c r="U523" s="28">
        <v>269</v>
      </c>
      <c r="V523" s="28">
        <v>0.2</v>
      </c>
      <c r="W523" s="28">
        <v>0.45</v>
      </c>
      <c r="X523" s="28">
        <v>3</v>
      </c>
      <c r="Y523" s="28">
        <v>15</v>
      </c>
      <c r="Z523" s="28">
        <v>1</v>
      </c>
      <c r="AA523" s="25">
        <v>0</v>
      </c>
      <c r="AB523" s="25">
        <v>30</v>
      </c>
      <c r="AC523" s="25">
        <v>0</v>
      </c>
      <c r="AD523" s="28">
        <v>0.1</v>
      </c>
      <c r="AE523" s="28">
        <v>0.1</v>
      </c>
      <c r="AF523" s="28">
        <v>0.2</v>
      </c>
      <c r="AG523" s="28">
        <v>0</v>
      </c>
      <c r="AH523" s="24">
        <v>50</v>
      </c>
      <c r="AI523" s="28">
        <v>100</v>
      </c>
      <c r="AJ523" s="13" t="str">
        <f xml:space="preserve"> IF(AD523&gt;F523,"Exceso en grasa saturada",IFERROR(IF(F523=0,"No tiene sello",IF((AD523*9)*100/F523&gt;10,"Exceso en grasa saturada","No tiene sello")),"No tiene sello"))</f>
        <v>No tiene sello</v>
      </c>
      <c r="AK523" s="13">
        <f>IF(AJ523="No tiene sello",0,1)</f>
        <v>0</v>
      </c>
      <c r="AL523" s="13" t="str">
        <f>IF(Q523&gt;=300,"Exceso en sodio",IFERROR(IF(AND(F523=0,Q523&gt;0),"No tiene sello",IF(Q523/F523&gt;1,"Exceso en sodio","No tiene sello")),"No tiene sello"))</f>
        <v>No tiene sello</v>
      </c>
      <c r="AM523" s="13" t="str">
        <f>IFERROR(IF(F523=0,"No tiene sello",IF(+(AG523/1000)*9*100/F523&gt;1,"Exceso en grasa trans", "No tiene sello")),"No tiene sello")</f>
        <v>No tiene sello</v>
      </c>
    </row>
    <row r="524" spans="1:39" ht="13.5" customHeight="1" x14ac:dyDescent="0.25">
      <c r="A524" s="20" t="s">
        <v>578</v>
      </c>
      <c r="B524" s="20" t="s">
        <v>579</v>
      </c>
      <c r="C524" s="21"/>
      <c r="D524" s="48">
        <v>100</v>
      </c>
      <c r="E524" s="23">
        <v>60.7</v>
      </c>
      <c r="F524" s="24">
        <v>330</v>
      </c>
      <c r="G524" s="23">
        <v>1360</v>
      </c>
      <c r="H524" s="24">
        <v>2.1</v>
      </c>
      <c r="I524" s="24">
        <v>35</v>
      </c>
      <c r="J524" s="24">
        <v>1.7</v>
      </c>
      <c r="K524" s="23">
        <v>0</v>
      </c>
      <c r="L524" s="23">
        <v>0.17</v>
      </c>
      <c r="M524" s="24">
        <v>0</v>
      </c>
      <c r="N524" s="23">
        <v>0.5</v>
      </c>
      <c r="O524" s="25">
        <v>68</v>
      </c>
      <c r="P524" s="25">
        <v>0</v>
      </c>
      <c r="Q524" s="23">
        <v>46</v>
      </c>
      <c r="R524" s="25">
        <v>61</v>
      </c>
      <c r="S524" s="23">
        <v>0.2</v>
      </c>
      <c r="T524" s="23">
        <v>6</v>
      </c>
      <c r="U524" s="23">
        <v>80</v>
      </c>
      <c r="V524" s="23">
        <v>0.03</v>
      </c>
      <c r="W524" s="23">
        <v>0.16</v>
      </c>
      <c r="X524" s="23">
        <v>0</v>
      </c>
      <c r="Y524" s="23">
        <v>4</v>
      </c>
      <c r="Z524" s="23">
        <v>0.19</v>
      </c>
      <c r="AA524" s="25">
        <v>1</v>
      </c>
      <c r="AB524" s="25">
        <v>353</v>
      </c>
      <c r="AC524" s="25">
        <v>0.5</v>
      </c>
      <c r="AD524" s="23">
        <v>21.1</v>
      </c>
      <c r="AE524" s="23">
        <v>9.8000000000000007</v>
      </c>
      <c r="AF524" s="23">
        <v>1.1000000000000001</v>
      </c>
      <c r="AG524" s="23">
        <v>50</v>
      </c>
      <c r="AH524" s="24">
        <v>110</v>
      </c>
      <c r="AI524" s="49">
        <v>100</v>
      </c>
      <c r="AJ524" s="13" t="str">
        <f xml:space="preserve"> IF(AD524&gt;F524,"Exceso en grasa saturada",IFERROR(IF(F524=0,"No tiene sello",IF((AD524*9)*100/F524&gt;10,"Exceso en grasa saturada","No tiene sello")),"No tiene sello"))</f>
        <v>Exceso en grasa saturada</v>
      </c>
      <c r="AK524" s="13">
        <f>IF(AJ524="No tiene sello",0,1)</f>
        <v>1</v>
      </c>
      <c r="AL524" s="13" t="str">
        <f>IF(Q524&gt;=300,"Exceso en sodio",IFERROR(IF(AND(F524=0,Q524&gt;0),"No tiene sello",IF(Q524/F524&gt;1,"Exceso en sodio","No tiene sello")),"No tiene sello"))</f>
        <v>No tiene sello</v>
      </c>
      <c r="AM524" s="13" t="str">
        <f>IFERROR(IF(F524=0,"No tiene sello",IF(+(AG524/1000)*9*100/F524&gt;1,"Exceso en grasa trans", "No tiene sello")),"No tiene sello")</f>
        <v>No tiene sello</v>
      </c>
    </row>
    <row r="525" spans="1:39" ht="13.5" customHeight="1" x14ac:dyDescent="0.25">
      <c r="A525" s="26" t="s">
        <v>576</v>
      </c>
      <c r="B525" s="26" t="s">
        <v>577</v>
      </c>
      <c r="C525" s="27"/>
      <c r="D525" s="39">
        <v>100</v>
      </c>
      <c r="E525" s="28">
        <v>80.5</v>
      </c>
      <c r="F525" s="24">
        <v>88</v>
      </c>
      <c r="G525" s="28">
        <v>370</v>
      </c>
      <c r="H525" s="24">
        <v>2.9</v>
      </c>
      <c r="I525" s="24">
        <v>2.5</v>
      </c>
      <c r="J525" s="24">
        <v>13.5</v>
      </c>
      <c r="K525" s="28">
        <v>0</v>
      </c>
      <c r="L525" s="28">
        <v>1.35</v>
      </c>
      <c r="M525" s="24">
        <v>0</v>
      </c>
      <c r="N525" s="28">
        <v>0.6</v>
      </c>
      <c r="O525" s="25">
        <v>113</v>
      </c>
      <c r="P525" s="25">
        <v>0.1</v>
      </c>
      <c r="Q525" s="28">
        <v>46</v>
      </c>
      <c r="R525" s="25">
        <v>78</v>
      </c>
      <c r="S525" s="28">
        <v>0.3</v>
      </c>
      <c r="T525" s="28">
        <v>9</v>
      </c>
      <c r="U525" s="28">
        <v>130</v>
      </c>
      <c r="V525" s="28">
        <v>0.04</v>
      </c>
      <c r="W525" s="28">
        <v>0.17</v>
      </c>
      <c r="X525" s="28">
        <v>0.4</v>
      </c>
      <c r="Y525" s="28">
        <v>0</v>
      </c>
      <c r="Z525" s="28">
        <v>0</v>
      </c>
      <c r="AA525" s="25">
        <v>1</v>
      </c>
      <c r="AB525" s="25">
        <v>63</v>
      </c>
      <c r="AC525" s="25">
        <v>0.5</v>
      </c>
      <c r="AD525" s="28">
        <v>0</v>
      </c>
      <c r="AE525" s="28">
        <v>0</v>
      </c>
      <c r="AF525" s="28">
        <v>0</v>
      </c>
      <c r="AG525" s="28">
        <v>30</v>
      </c>
      <c r="AH525" s="24">
        <v>0</v>
      </c>
      <c r="AI525" s="17">
        <v>100</v>
      </c>
      <c r="AJ525" s="13" t="str">
        <f xml:space="preserve"> IF(AD525&gt;F525,"Exceso en grasa saturada",IFERROR(IF(F525=0,"No tiene sello",IF((AD525*9)*100/F525&gt;10,"Exceso en grasa saturada","No tiene sello")),"No tiene sello"))</f>
        <v>No tiene sello</v>
      </c>
      <c r="AK525" s="13">
        <f>IF(AJ525="No tiene sello",0,1)</f>
        <v>0</v>
      </c>
      <c r="AL525" s="13" t="str">
        <f>IF(Q525&gt;=300,"Exceso en sodio",IFERROR(IF(AND(F525=0,Q525&gt;0),"No tiene sello",IF(Q525/F525&gt;1,"Exceso en sodio","No tiene sello")),"No tiene sello"))</f>
        <v>No tiene sello</v>
      </c>
      <c r="AM525" s="13" t="str">
        <f>IFERROR(IF(F525=0,"No tiene sello",IF(+(AG525/1000)*9*100/F525&gt;1,"Exceso en grasa trans", "No tiene sello")),"No tiene sello")</f>
        <v>No tiene sello</v>
      </c>
    </row>
    <row r="526" spans="1:39" ht="13.5" customHeight="1" x14ac:dyDescent="0.25">
      <c r="A526" s="20" t="s">
        <v>574</v>
      </c>
      <c r="B526" s="20" t="s">
        <v>575</v>
      </c>
      <c r="C526" s="21"/>
      <c r="D526" s="22">
        <v>100</v>
      </c>
      <c r="E526" s="23">
        <v>93.4</v>
      </c>
      <c r="F526" s="24">
        <v>24</v>
      </c>
      <c r="G526" s="23">
        <v>103</v>
      </c>
      <c r="H526" s="24">
        <v>0.8</v>
      </c>
      <c r="I526" s="24">
        <v>0.1</v>
      </c>
      <c r="J526" s="24">
        <v>5.0999999999999996</v>
      </c>
      <c r="K526" s="23">
        <v>0</v>
      </c>
      <c r="L526" s="23">
        <v>0.51</v>
      </c>
      <c r="M526" s="24">
        <v>0</v>
      </c>
      <c r="N526" s="23">
        <v>0.6</v>
      </c>
      <c r="O526" s="25">
        <v>103</v>
      </c>
      <c r="P526" s="25">
        <v>0.1</v>
      </c>
      <c r="Q526" s="23">
        <v>48</v>
      </c>
      <c r="R526" s="25">
        <v>78</v>
      </c>
      <c r="S526" s="23">
        <v>0.4</v>
      </c>
      <c r="T526" s="23">
        <v>10</v>
      </c>
      <c r="U526" s="23">
        <v>143</v>
      </c>
      <c r="V526" s="23">
        <v>0.04</v>
      </c>
      <c r="W526" s="23">
        <v>0.14000000000000001</v>
      </c>
      <c r="X526" s="23">
        <v>0.1</v>
      </c>
      <c r="Y526" s="23">
        <v>2</v>
      </c>
      <c r="Z526" s="23">
        <v>0.18</v>
      </c>
      <c r="AA526" s="25">
        <v>0</v>
      </c>
      <c r="AB526" s="25">
        <v>2</v>
      </c>
      <c r="AC526" s="25">
        <v>0</v>
      </c>
      <c r="AD526" s="23">
        <v>0.1</v>
      </c>
      <c r="AE526" s="23">
        <v>0</v>
      </c>
      <c r="AF526" s="23">
        <v>0</v>
      </c>
      <c r="AG526" s="23">
        <v>0</v>
      </c>
      <c r="AH526" s="24">
        <v>1</v>
      </c>
      <c r="AI526" s="23">
        <v>100</v>
      </c>
      <c r="AJ526" s="13" t="str">
        <f xml:space="preserve"> IF(AD526&gt;F526,"Exceso en grasa saturada",IFERROR(IF(F526=0,"No tiene sello",IF((AD526*9)*100/F526&gt;10,"Exceso en grasa saturada","No tiene sello")),"No tiene sello"))</f>
        <v>No tiene sello</v>
      </c>
      <c r="AK526" s="13">
        <f>IF(AJ526="No tiene sello",0,1)</f>
        <v>0</v>
      </c>
      <c r="AL526" s="13" t="str">
        <f>IF(Q526&gt;=300,"Exceso en sodio",IFERROR(IF(AND(F526=0,Q526&gt;0),"No tiene sello",IF(Q526/F526&gt;1,"Exceso en sodio","No tiene sello")),"No tiene sello"))</f>
        <v>Exceso en sodio</v>
      </c>
      <c r="AM526" s="13" t="str">
        <f>IFERROR(IF(F526=0,"No tiene sello",IF(+(AG526/1000)*9*100/F526&gt;1,"Exceso en grasa trans", "No tiene sello")),"No tiene sello")</f>
        <v>No tiene sello</v>
      </c>
    </row>
    <row r="527" spans="1:39" ht="13.5" customHeight="1" x14ac:dyDescent="0.25">
      <c r="A527" s="26" t="s">
        <v>572</v>
      </c>
      <c r="B527" s="26" t="s">
        <v>573</v>
      </c>
      <c r="C527" s="27"/>
      <c r="D527" s="16">
        <v>100</v>
      </c>
      <c r="E527" s="28">
        <v>86.4</v>
      </c>
      <c r="F527" s="24">
        <v>74</v>
      </c>
      <c r="G527" s="28">
        <v>308</v>
      </c>
      <c r="H527" s="24">
        <v>3.9</v>
      </c>
      <c r="I527" s="24">
        <v>4.5</v>
      </c>
      <c r="J527" s="24">
        <v>4.4000000000000004</v>
      </c>
      <c r="K527" s="28">
        <v>0</v>
      </c>
      <c r="L527" s="28">
        <v>0.44</v>
      </c>
      <c r="M527" s="24">
        <v>0</v>
      </c>
      <c r="N527" s="28">
        <v>0.8</v>
      </c>
      <c r="O527" s="25">
        <v>120</v>
      </c>
      <c r="P527" s="25">
        <v>0.1</v>
      </c>
      <c r="Q527" s="28">
        <v>50</v>
      </c>
      <c r="R527" s="25">
        <v>100</v>
      </c>
      <c r="S527" s="28">
        <v>0.4</v>
      </c>
      <c r="T527" s="28">
        <v>14</v>
      </c>
      <c r="U527" s="28">
        <v>180</v>
      </c>
      <c r="V527" s="28">
        <v>0.06</v>
      </c>
      <c r="W527" s="28">
        <v>0.14000000000000001</v>
      </c>
      <c r="X527" s="28">
        <v>0.3</v>
      </c>
      <c r="Y527" s="28">
        <v>1</v>
      </c>
      <c r="Z527" s="28">
        <v>7.0000000000000007E-2</v>
      </c>
      <c r="AA527" s="25">
        <v>1</v>
      </c>
      <c r="AB527" s="25">
        <v>24</v>
      </c>
      <c r="AC527" s="25">
        <v>0.5</v>
      </c>
      <c r="AD527" s="28">
        <v>2.5</v>
      </c>
      <c r="AE527" s="28">
        <v>1</v>
      </c>
      <c r="AF527" s="28">
        <v>0.1</v>
      </c>
      <c r="AG527" s="28">
        <v>30</v>
      </c>
      <c r="AH527" s="24">
        <v>11</v>
      </c>
      <c r="AI527" s="28">
        <v>100</v>
      </c>
      <c r="AJ527" s="13" t="str">
        <f xml:space="preserve"> IF(AD527&gt;F527,"Exceso en grasa saturada",IFERROR(IF(F527=0,"No tiene sello",IF((AD527*9)*100/F527&gt;10,"Exceso en grasa saturada","No tiene sello")),"No tiene sello"))</f>
        <v>Exceso en grasa saturada</v>
      </c>
      <c r="AK527" s="13">
        <f>IF(AJ527="No tiene sello",0,1)</f>
        <v>1</v>
      </c>
      <c r="AL527" s="13" t="str">
        <f>IF(Q527&gt;=300,"Exceso en sodio",IFERROR(IF(AND(F527=0,Q527&gt;0),"No tiene sello",IF(Q527/F527&gt;1,"Exceso en sodio","No tiene sello")),"No tiene sello"))</f>
        <v>No tiene sello</v>
      </c>
      <c r="AM527" s="13" t="str">
        <f>IFERROR(IF(F527=0,"No tiene sello",IF(+(AG527/1000)*9*100/F527&gt;1,"Exceso en grasa trans", "No tiene sello")),"No tiene sello")</f>
        <v>No tiene sello</v>
      </c>
    </row>
    <row r="528" spans="1:39" s="4" customFormat="1" ht="13.5" customHeight="1" x14ac:dyDescent="0.25">
      <c r="A528" s="20" t="s">
        <v>570</v>
      </c>
      <c r="B528" s="20" t="s">
        <v>571</v>
      </c>
      <c r="C528" s="21"/>
      <c r="D528" s="22">
        <v>100</v>
      </c>
      <c r="E528" s="23">
        <v>27</v>
      </c>
      <c r="F528" s="24">
        <v>327</v>
      </c>
      <c r="G528" s="23">
        <v>1380</v>
      </c>
      <c r="H528" s="24">
        <v>8.3000000000000007</v>
      </c>
      <c r="I528" s="24">
        <v>8.4</v>
      </c>
      <c r="J528" s="24">
        <v>54.6</v>
      </c>
      <c r="K528" s="23">
        <v>0</v>
      </c>
      <c r="L528" s="23">
        <v>5.46</v>
      </c>
      <c r="M528" s="24">
        <v>0</v>
      </c>
      <c r="N528" s="23">
        <v>1.7</v>
      </c>
      <c r="O528" s="25">
        <v>270</v>
      </c>
      <c r="P528" s="25">
        <v>0.2</v>
      </c>
      <c r="Q528" s="23">
        <v>123</v>
      </c>
      <c r="R528" s="25">
        <v>230</v>
      </c>
      <c r="S528" s="23">
        <v>0.9</v>
      </c>
      <c r="T528" s="23">
        <v>26</v>
      </c>
      <c r="U528" s="23">
        <v>362</v>
      </c>
      <c r="V528" s="23">
        <v>0.09</v>
      </c>
      <c r="W528" s="23">
        <v>0.39</v>
      </c>
      <c r="X528" s="23">
        <v>0.2</v>
      </c>
      <c r="Y528" s="23">
        <v>11</v>
      </c>
      <c r="Z528" s="23">
        <v>0.44</v>
      </c>
      <c r="AA528" s="25">
        <v>1</v>
      </c>
      <c r="AB528" s="25">
        <v>96</v>
      </c>
      <c r="AC528" s="25">
        <v>1</v>
      </c>
      <c r="AD528" s="23">
        <v>5.5</v>
      </c>
      <c r="AE528" s="23">
        <v>2.4</v>
      </c>
      <c r="AF528" s="23">
        <v>0.3</v>
      </c>
      <c r="AG528" s="23">
        <v>50</v>
      </c>
      <c r="AH528" s="24">
        <v>34</v>
      </c>
      <c r="AI528" s="23">
        <v>100</v>
      </c>
      <c r="AJ528" s="13" t="str">
        <f xml:space="preserve"> IF(AD528&gt;F528,"Exceso en grasa saturada",IFERROR(IF(F528=0,"No tiene sello",IF((AD528*9)*100/F528&gt;10,"Exceso en grasa saturada","No tiene sello")),"No tiene sello"))</f>
        <v>Exceso en grasa saturada</v>
      </c>
      <c r="AK528" s="13">
        <f>IF(AJ528="No tiene sello",0,1)</f>
        <v>1</v>
      </c>
      <c r="AL528" s="13" t="str">
        <f>IF(Q528&gt;=300,"Exceso en sodio",IFERROR(IF(AND(F528=0,Q528&gt;0),"No tiene sello",IF(Q528/F528&gt;1,"Exceso en sodio","No tiene sello")),"No tiene sello"))</f>
        <v>No tiene sello</v>
      </c>
      <c r="AM528" s="13" t="str">
        <f>IFERROR(IF(F528=0,"No tiene sello",IF(+(AG528/1000)*9*100/F528&gt;1,"Exceso en grasa trans", "No tiene sello")),"No tiene sello")</f>
        <v>No tiene sello</v>
      </c>
    </row>
    <row r="529" spans="1:39" ht="13.5" customHeight="1" x14ac:dyDescent="0.25">
      <c r="A529" s="26" t="s">
        <v>568</v>
      </c>
      <c r="B529" s="26" t="s">
        <v>569</v>
      </c>
      <c r="C529" s="27"/>
      <c r="D529" s="16">
        <v>100</v>
      </c>
      <c r="E529" s="28">
        <v>3.2</v>
      </c>
      <c r="F529" s="24">
        <v>358</v>
      </c>
      <c r="G529" s="28">
        <v>1522</v>
      </c>
      <c r="H529" s="24">
        <v>36.200000000000003</v>
      </c>
      <c r="I529" s="24">
        <v>0.5</v>
      </c>
      <c r="J529" s="24">
        <v>52.2</v>
      </c>
      <c r="K529" s="28">
        <v>0</v>
      </c>
      <c r="L529" s="28">
        <v>5.22</v>
      </c>
      <c r="M529" s="24">
        <v>0</v>
      </c>
      <c r="N529" s="28">
        <v>7.9</v>
      </c>
      <c r="O529" s="25">
        <v>1257</v>
      </c>
      <c r="P529" s="25">
        <v>0.4</v>
      </c>
      <c r="Q529" s="28">
        <v>536</v>
      </c>
      <c r="R529" s="25">
        <v>968</v>
      </c>
      <c r="S529" s="28">
        <v>4.0999999999999996</v>
      </c>
      <c r="T529" s="28">
        <v>111</v>
      </c>
      <c r="U529" s="28">
        <v>1757</v>
      </c>
      <c r="V529" s="28">
        <v>0.42</v>
      </c>
      <c r="W529" s="28">
        <v>1.55</v>
      </c>
      <c r="X529" s="28">
        <v>1</v>
      </c>
      <c r="Y529" s="28">
        <v>50</v>
      </c>
      <c r="Z529" s="28">
        <v>4.03</v>
      </c>
      <c r="AA529" s="25">
        <v>7</v>
      </c>
      <c r="AB529" s="25">
        <v>7</v>
      </c>
      <c r="AC529" s="25">
        <v>2</v>
      </c>
      <c r="AD529" s="28">
        <v>0.5</v>
      </c>
      <c r="AE529" s="28">
        <v>0.2</v>
      </c>
      <c r="AF529" s="28">
        <v>0</v>
      </c>
      <c r="AG529" s="28">
        <v>0</v>
      </c>
      <c r="AH529" s="24">
        <v>20</v>
      </c>
      <c r="AI529" s="28">
        <v>100</v>
      </c>
      <c r="AJ529" s="13" t="str">
        <f xml:space="preserve"> IF(AD529&gt;F529,"Exceso en grasa saturada",IFERROR(IF(F529=0,"No tiene sello",IF((AD529*9)*100/F529&gt;10,"Exceso en grasa saturada","No tiene sello")),"No tiene sello"))</f>
        <v>No tiene sello</v>
      </c>
      <c r="AK529" s="13">
        <f>IF(AJ529="No tiene sello",0,1)</f>
        <v>0</v>
      </c>
      <c r="AL529" s="13" t="str">
        <f>IF(Q529&gt;=300,"Exceso en sodio",IFERROR(IF(AND(F529=0,Q529&gt;0),"No tiene sello",IF(Q529/F529&gt;1,"Exceso en sodio","No tiene sello")),"No tiene sello"))</f>
        <v>Exceso en sodio</v>
      </c>
      <c r="AM529" s="13" t="str">
        <f>IFERROR(IF(F529=0,"No tiene sello",IF(+(AG529/1000)*9*100/F529&gt;1,"Exceso en grasa trans", "No tiene sello")),"No tiene sello")</f>
        <v>No tiene sello</v>
      </c>
    </row>
    <row r="530" spans="1:39" ht="13.5" customHeight="1" x14ac:dyDescent="0.25">
      <c r="A530" s="20" t="s">
        <v>566</v>
      </c>
      <c r="B530" s="20" t="s">
        <v>567</v>
      </c>
      <c r="C530" s="21"/>
      <c r="D530" s="22">
        <v>100</v>
      </c>
      <c r="E530" s="23">
        <v>91</v>
      </c>
      <c r="F530" s="24">
        <v>34</v>
      </c>
      <c r="G530" s="23">
        <v>145</v>
      </c>
      <c r="H530" s="24">
        <v>3.3</v>
      </c>
      <c r="I530" s="24">
        <v>0.1</v>
      </c>
      <c r="J530" s="24">
        <v>4.9000000000000004</v>
      </c>
      <c r="K530" s="23">
        <v>0</v>
      </c>
      <c r="L530" s="23">
        <v>0.49</v>
      </c>
      <c r="M530" s="24">
        <v>0</v>
      </c>
      <c r="N530" s="23">
        <v>0.7</v>
      </c>
      <c r="O530" s="25">
        <v>127</v>
      </c>
      <c r="P530" s="25">
        <v>0</v>
      </c>
      <c r="Q530" s="23">
        <v>43</v>
      </c>
      <c r="R530" s="25">
        <v>95</v>
      </c>
      <c r="S530" s="23">
        <v>0.4</v>
      </c>
      <c r="T530" s="23">
        <v>11</v>
      </c>
      <c r="U530" s="23">
        <v>158</v>
      </c>
      <c r="V530" s="23">
        <v>0.04</v>
      </c>
      <c r="W530" s="23">
        <v>0.17</v>
      </c>
      <c r="X530" s="23">
        <v>0.1</v>
      </c>
      <c r="Y530" s="23">
        <v>5</v>
      </c>
      <c r="Z530" s="23">
        <v>0.51</v>
      </c>
      <c r="AA530" s="25">
        <v>0</v>
      </c>
      <c r="AB530" s="25">
        <v>1</v>
      </c>
      <c r="AC530" s="25">
        <v>1.5</v>
      </c>
      <c r="AD530" s="23">
        <v>0.1</v>
      </c>
      <c r="AE530" s="23">
        <v>0</v>
      </c>
      <c r="AF530" s="23">
        <v>0</v>
      </c>
      <c r="AG530" s="23">
        <v>0</v>
      </c>
      <c r="AH530" s="24">
        <v>2</v>
      </c>
      <c r="AI530" s="23">
        <v>100</v>
      </c>
      <c r="AJ530" s="13" t="str">
        <f xml:space="preserve"> IF(AD530&gt;F530,"Exceso en grasa saturada",IFERROR(IF(F530=0,"No tiene sello",IF((AD530*9)*100/F530&gt;10,"Exceso en grasa saturada","No tiene sello")),"No tiene sello"))</f>
        <v>No tiene sello</v>
      </c>
      <c r="AK530" s="13">
        <f>IF(AJ530="No tiene sello",0,1)</f>
        <v>0</v>
      </c>
      <c r="AL530" s="13" t="str">
        <f>IF(Q530&gt;=300,"Exceso en sodio",IFERROR(IF(AND(F530=0,Q530&gt;0),"No tiene sello",IF(Q530/F530&gt;1,"Exceso en sodio","No tiene sello")),"No tiene sello"))</f>
        <v>Exceso en sodio</v>
      </c>
      <c r="AM530" s="13" t="str">
        <f>IFERROR(IF(F530=0,"No tiene sello",IF(+(AG530/1000)*9*100/F530&gt;1,"Exceso en grasa trans", "No tiene sello")),"No tiene sello")</f>
        <v>No tiene sello</v>
      </c>
    </row>
    <row r="531" spans="1:39" s="5" customFormat="1" ht="13.5" customHeight="1" x14ac:dyDescent="0.25">
      <c r="A531" s="26" t="s">
        <v>564</v>
      </c>
      <c r="B531" s="26" t="s">
        <v>565</v>
      </c>
      <c r="C531" s="27"/>
      <c r="D531" s="16">
        <v>100</v>
      </c>
      <c r="E531" s="28">
        <v>2.6</v>
      </c>
      <c r="F531" s="24">
        <v>499</v>
      </c>
      <c r="G531" s="28">
        <v>2086</v>
      </c>
      <c r="H531" s="24">
        <v>26.3</v>
      </c>
      <c r="I531" s="24">
        <v>26.6</v>
      </c>
      <c r="J531" s="24">
        <v>38.4</v>
      </c>
      <c r="K531" s="28">
        <v>0</v>
      </c>
      <c r="L531" s="28">
        <v>3.84</v>
      </c>
      <c r="M531" s="24">
        <v>0</v>
      </c>
      <c r="N531" s="28">
        <v>6</v>
      </c>
      <c r="O531" s="25">
        <v>940</v>
      </c>
      <c r="P531" s="25">
        <v>0.5</v>
      </c>
      <c r="Q531" s="28">
        <v>369</v>
      </c>
      <c r="R531" s="25">
        <v>776</v>
      </c>
      <c r="S531" s="28">
        <v>3.3</v>
      </c>
      <c r="T531" s="28">
        <v>85</v>
      </c>
      <c r="U531" s="28">
        <v>1318</v>
      </c>
      <c r="V531" s="28">
        <v>0.26</v>
      </c>
      <c r="W531" s="28">
        <v>1.42</v>
      </c>
      <c r="X531" s="28">
        <v>0.6</v>
      </c>
      <c r="Y531" s="28">
        <v>37</v>
      </c>
      <c r="Z531" s="28">
        <v>3.25</v>
      </c>
      <c r="AA531" s="25">
        <v>9</v>
      </c>
      <c r="AB531" s="25">
        <v>288</v>
      </c>
      <c r="AC531" s="25">
        <v>2</v>
      </c>
      <c r="AD531" s="28">
        <v>16.7</v>
      </c>
      <c r="AE531" s="28">
        <v>7.8</v>
      </c>
      <c r="AF531" s="28">
        <v>0.7</v>
      </c>
      <c r="AG531" s="28">
        <v>50</v>
      </c>
      <c r="AH531" s="24">
        <v>97</v>
      </c>
      <c r="AI531" s="28">
        <v>100</v>
      </c>
      <c r="AJ531" s="13" t="str">
        <f xml:space="preserve"> IF(AD531&gt;F531,"Exceso en grasa saturada",IFERROR(IF(F531=0,"No tiene sello",IF((AD531*9)*100/F531&gt;10,"Exceso en grasa saturada","No tiene sello")),"No tiene sello"))</f>
        <v>Exceso en grasa saturada</v>
      </c>
      <c r="AK531" s="13">
        <f>IF(AJ531="No tiene sello",0,1)</f>
        <v>1</v>
      </c>
      <c r="AL531" s="13" t="str">
        <f>IF(Q531&gt;=300,"Exceso en sodio",IFERROR(IF(AND(F531=0,Q531&gt;0),"No tiene sello",IF(Q531/F531&gt;1,"Exceso en sodio","No tiene sello")),"No tiene sello"))</f>
        <v>Exceso en sodio</v>
      </c>
      <c r="AM531" s="13" t="str">
        <f>IFERROR(IF(F531=0,"No tiene sello",IF(+(AG531/1000)*9*100/F531&gt;1,"Exceso en grasa trans", "No tiene sello")),"No tiene sello")</f>
        <v>No tiene sello</v>
      </c>
    </row>
    <row r="532" spans="1:39" s="4" customFormat="1" ht="13.5" customHeight="1" x14ac:dyDescent="0.25">
      <c r="A532" s="20" t="s">
        <v>562</v>
      </c>
      <c r="B532" s="20" t="s">
        <v>563</v>
      </c>
      <c r="C532" s="21"/>
      <c r="D532" s="22">
        <v>100</v>
      </c>
      <c r="E532" s="23">
        <v>73.7</v>
      </c>
      <c r="F532" s="24">
        <v>139</v>
      </c>
      <c r="G532" s="23">
        <v>580</v>
      </c>
      <c r="H532" s="24">
        <v>7.1</v>
      </c>
      <c r="I532" s="24">
        <v>7.9</v>
      </c>
      <c r="J532" s="24">
        <v>9.8000000000000007</v>
      </c>
      <c r="K532" s="23">
        <v>0</v>
      </c>
      <c r="L532" s="23">
        <v>0.98</v>
      </c>
      <c r="M532" s="24">
        <v>0</v>
      </c>
      <c r="N532" s="23">
        <v>1.5</v>
      </c>
      <c r="O532" s="25">
        <v>240</v>
      </c>
      <c r="P532" s="25">
        <v>0.2</v>
      </c>
      <c r="Q532" s="23">
        <v>106</v>
      </c>
      <c r="R532" s="25">
        <v>203</v>
      </c>
      <c r="S532" s="23">
        <v>0.8</v>
      </c>
      <c r="T532" s="23">
        <v>24</v>
      </c>
      <c r="U532" s="23">
        <v>303</v>
      </c>
      <c r="V532" s="23">
        <v>0.05</v>
      </c>
      <c r="W532" s="23">
        <v>0.36</v>
      </c>
      <c r="X532" s="23">
        <v>0.2</v>
      </c>
      <c r="Y532" s="23">
        <v>8</v>
      </c>
      <c r="Z532" s="23">
        <v>0.16</v>
      </c>
      <c r="AA532" s="25">
        <v>1</v>
      </c>
      <c r="AB532" s="25">
        <v>84</v>
      </c>
      <c r="AC532" s="25">
        <v>1.5</v>
      </c>
      <c r="AD532" s="23">
        <v>5</v>
      </c>
      <c r="AE532" s="23">
        <v>2.5</v>
      </c>
      <c r="AF532" s="23">
        <v>0.3</v>
      </c>
      <c r="AG532" s="23">
        <v>50</v>
      </c>
      <c r="AH532" s="24">
        <v>29</v>
      </c>
      <c r="AI532" s="23">
        <v>100</v>
      </c>
      <c r="AJ532" s="13" t="str">
        <f xml:space="preserve"> IF(AD532&gt;F532,"Exceso en grasa saturada",IFERROR(IF(F532=0,"No tiene sello",IF((AD532*9)*100/F532&gt;10,"Exceso en grasa saturada","No tiene sello")),"No tiene sello"))</f>
        <v>Exceso en grasa saturada</v>
      </c>
      <c r="AK532" s="13">
        <f>IF(AJ532="No tiene sello",0,1)</f>
        <v>1</v>
      </c>
      <c r="AL532" s="13" t="str">
        <f>IF(Q532&gt;=300,"Exceso en sodio",IFERROR(IF(AND(F532=0,Q532&gt;0),"No tiene sello",IF(Q532/F532&gt;1,"Exceso en sodio","No tiene sello")),"No tiene sello"))</f>
        <v>No tiene sello</v>
      </c>
      <c r="AM532" s="13" t="str">
        <f>IFERROR(IF(F532=0,"No tiene sello",IF(+(AG532/1000)*9*100/F532&gt;1,"Exceso en grasa trans", "No tiene sello")),"No tiene sello")</f>
        <v>No tiene sello</v>
      </c>
    </row>
    <row r="533" spans="1:39" ht="13.5" customHeight="1" x14ac:dyDescent="0.25">
      <c r="A533" s="26" t="s">
        <v>560</v>
      </c>
      <c r="B533" s="26" t="s">
        <v>561</v>
      </c>
      <c r="C533" s="27"/>
      <c r="D533" s="16">
        <v>100</v>
      </c>
      <c r="E533" s="28">
        <v>87.7</v>
      </c>
      <c r="F533" s="24">
        <v>65</v>
      </c>
      <c r="G533" s="28">
        <v>271</v>
      </c>
      <c r="H533" s="24">
        <v>3.3</v>
      </c>
      <c r="I533" s="24">
        <v>3.7</v>
      </c>
      <c r="J533" s="24">
        <v>4.5999999999999996</v>
      </c>
      <c r="K533" s="28">
        <v>0</v>
      </c>
      <c r="L533" s="28">
        <v>4.8</v>
      </c>
      <c r="M533" s="24">
        <v>0</v>
      </c>
      <c r="N533" s="28">
        <v>0.7</v>
      </c>
      <c r="O533" s="25">
        <v>120</v>
      </c>
      <c r="P533" s="25">
        <v>0.2</v>
      </c>
      <c r="Q533" s="28">
        <v>49</v>
      </c>
      <c r="R533" s="25">
        <v>95</v>
      </c>
      <c r="S533" s="28">
        <v>0.4</v>
      </c>
      <c r="T533" s="28">
        <v>12</v>
      </c>
      <c r="U533" s="28">
        <v>153</v>
      </c>
      <c r="V533" s="28">
        <v>0.04</v>
      </c>
      <c r="W533" s="28">
        <v>0.18</v>
      </c>
      <c r="X533" s="28">
        <v>0.1</v>
      </c>
      <c r="Y533" s="28">
        <v>5</v>
      </c>
      <c r="Z533" s="28">
        <v>0.36</v>
      </c>
      <c r="AA533" s="25">
        <v>2</v>
      </c>
      <c r="AB533" s="25">
        <v>43</v>
      </c>
      <c r="AC533" s="25">
        <v>0.05</v>
      </c>
      <c r="AD533" s="28">
        <v>2.2999999999999998</v>
      </c>
      <c r="AE533" s="28">
        <v>1.1000000000000001</v>
      </c>
      <c r="AF533" s="28">
        <v>0.1</v>
      </c>
      <c r="AG533" s="28">
        <v>8</v>
      </c>
      <c r="AH533" s="24">
        <v>14</v>
      </c>
      <c r="AI533" s="28">
        <v>100</v>
      </c>
      <c r="AJ533" s="13" t="str">
        <f xml:space="preserve"> IF(AD533&gt;F533,"Exceso en grasa saturada",IFERROR(IF(F533=0,"No tiene sello",IF((AD533*9)*100/F533&gt;10,"Exceso en grasa saturada","No tiene sello")),"No tiene sello"))</f>
        <v>Exceso en grasa saturada</v>
      </c>
      <c r="AK533" s="13">
        <f>IF(AJ533="No tiene sello",0,1)</f>
        <v>1</v>
      </c>
      <c r="AL533" s="13" t="str">
        <f>IF(Q533&gt;=300,"Exceso en sodio",IFERROR(IF(AND(F533=0,Q533&gt;0),"No tiene sello",IF(Q533/F533&gt;1,"Exceso en sodio","No tiene sello")),"No tiene sello"))</f>
        <v>No tiene sello</v>
      </c>
      <c r="AM533" s="13" t="str">
        <f>IFERROR(IF(F533=0,"No tiene sello",IF(+(AG533/1000)*9*100/F533&gt;1,"Exceso en grasa trans", "No tiene sello")),"No tiene sello")</f>
        <v>No tiene sello</v>
      </c>
    </row>
    <row r="534" spans="1:39" ht="13.5" customHeight="1" x14ac:dyDescent="0.25">
      <c r="A534" s="20" t="s">
        <v>558</v>
      </c>
      <c r="B534" s="20" t="s">
        <v>559</v>
      </c>
      <c r="C534" s="21"/>
      <c r="D534" s="22">
        <v>100</v>
      </c>
      <c r="E534" s="23">
        <v>88</v>
      </c>
      <c r="F534" s="24">
        <v>62</v>
      </c>
      <c r="G534" s="23">
        <v>258</v>
      </c>
      <c r="H534" s="24">
        <v>3.1</v>
      </c>
      <c r="I534" s="24">
        <v>3.3</v>
      </c>
      <c r="J534" s="24">
        <v>4.8</v>
      </c>
      <c r="K534" s="23">
        <v>0</v>
      </c>
      <c r="L534" s="23">
        <v>0.48</v>
      </c>
      <c r="M534" s="24">
        <v>0</v>
      </c>
      <c r="N534" s="23">
        <v>0.7</v>
      </c>
      <c r="O534" s="25">
        <v>120</v>
      </c>
      <c r="P534" s="25">
        <v>0</v>
      </c>
      <c r="Q534" s="23">
        <v>42</v>
      </c>
      <c r="R534" s="25">
        <v>95</v>
      </c>
      <c r="S534" s="23">
        <v>0.4</v>
      </c>
      <c r="T534" s="23">
        <v>10</v>
      </c>
      <c r="U534" s="23">
        <v>135</v>
      </c>
      <c r="V534" s="23">
        <v>0.04</v>
      </c>
      <c r="W534" s="23">
        <v>0.16</v>
      </c>
      <c r="X534" s="23">
        <v>0.1</v>
      </c>
      <c r="Y534" s="23">
        <v>5</v>
      </c>
      <c r="Z534" s="23">
        <v>0.45</v>
      </c>
      <c r="AA534" s="25">
        <v>0</v>
      </c>
      <c r="AB534" s="25">
        <v>29</v>
      </c>
      <c r="AC534" s="25">
        <v>0.05</v>
      </c>
      <c r="AD534" s="23">
        <v>1.9</v>
      </c>
      <c r="AE534" s="23">
        <v>0.8</v>
      </c>
      <c r="AF534" s="23">
        <v>0.2</v>
      </c>
      <c r="AG534" s="23">
        <v>8</v>
      </c>
      <c r="AH534" s="24">
        <v>10</v>
      </c>
      <c r="AI534" s="23">
        <v>100</v>
      </c>
      <c r="AJ534" s="13" t="str">
        <f xml:space="preserve"> IF(AD534&gt;F534,"Exceso en grasa saturada",IFERROR(IF(F534=0,"No tiene sello",IF((AD534*9)*100/F534&gt;10,"Exceso en grasa saturada","No tiene sello")),"No tiene sello"))</f>
        <v>Exceso en grasa saturada</v>
      </c>
      <c r="AK534" s="13">
        <f>IF(AJ534="No tiene sello",0,1)</f>
        <v>1</v>
      </c>
      <c r="AL534" s="13" t="str">
        <f>IF(Q534&gt;=300,"Exceso en sodio",IFERROR(IF(AND(F534=0,Q534&gt;0),"No tiene sello",IF(Q534/F534&gt;1,"Exceso en sodio","No tiene sello")),"No tiene sello"))</f>
        <v>No tiene sello</v>
      </c>
      <c r="AM534" s="13" t="str">
        <f>IFERROR(IF(F534=0,"No tiene sello",IF(+(AG534/1000)*9*100/F534&gt;1,"Exceso en grasa trans", "No tiene sello")),"No tiene sello")</f>
        <v>No tiene sello</v>
      </c>
    </row>
    <row r="535" spans="1:39" ht="13.5" customHeight="1" x14ac:dyDescent="0.25">
      <c r="A535" s="33" t="s">
        <v>556</v>
      </c>
      <c r="B535" s="36" t="s">
        <v>557</v>
      </c>
      <c r="C535" s="34"/>
      <c r="D535" s="16">
        <v>100</v>
      </c>
      <c r="E535" s="35">
        <v>89.5</v>
      </c>
      <c r="F535" s="24">
        <v>55</v>
      </c>
      <c r="G535" s="35">
        <v>231</v>
      </c>
      <c r="H535" s="24">
        <v>3.2</v>
      </c>
      <c r="I535" s="24">
        <v>3.2</v>
      </c>
      <c r="J535" s="24">
        <v>3.4</v>
      </c>
      <c r="K535" s="35">
        <v>0</v>
      </c>
      <c r="L535" s="35">
        <v>4.7</v>
      </c>
      <c r="M535" s="24">
        <v>0</v>
      </c>
      <c r="N535" s="35">
        <v>0.7</v>
      </c>
      <c r="O535" s="35">
        <v>120</v>
      </c>
      <c r="P535" s="35">
        <v>0</v>
      </c>
      <c r="Q535" s="35">
        <v>42</v>
      </c>
      <c r="R535" s="35">
        <v>95</v>
      </c>
      <c r="S535" s="35">
        <v>0.4</v>
      </c>
      <c r="T535" s="35">
        <v>10</v>
      </c>
      <c r="U535" s="35">
        <v>134</v>
      </c>
      <c r="V535" s="35">
        <v>0.04</v>
      </c>
      <c r="W535" s="35">
        <v>0.18</v>
      </c>
      <c r="X535" s="35">
        <v>0.1</v>
      </c>
      <c r="Y535" s="35">
        <v>5</v>
      </c>
      <c r="Z535" s="35">
        <v>0.45</v>
      </c>
      <c r="AA535" s="35">
        <v>0</v>
      </c>
      <c r="AB535" s="35">
        <v>39</v>
      </c>
      <c r="AC535" s="35">
        <v>1.5</v>
      </c>
      <c r="AD535" s="35">
        <v>1.9</v>
      </c>
      <c r="AE535" s="35">
        <v>0.8</v>
      </c>
      <c r="AF535" s="35">
        <v>0.2</v>
      </c>
      <c r="AG535" s="35">
        <v>7</v>
      </c>
      <c r="AH535" s="35">
        <v>10</v>
      </c>
      <c r="AI535" s="35">
        <v>100</v>
      </c>
      <c r="AJ535" s="13" t="str">
        <f xml:space="preserve"> IF(AD535&gt;F535,"Exceso en grasa saturada",IFERROR(IF(F535=0,"No tiene sello",IF((AD535*9)*100/F535&gt;10,"Exceso en grasa saturada","No tiene sello")),"No tiene sello"))</f>
        <v>Exceso en grasa saturada</v>
      </c>
      <c r="AK535" s="13">
        <f>IF(AJ535="No tiene sello",0,1)</f>
        <v>1</v>
      </c>
      <c r="AL535" s="13" t="str">
        <f>IF(Q535&gt;=300,"Exceso en sodio",IFERROR(IF(AND(F535=0,Q535&gt;0),"No tiene sello",IF(Q535/F535&gt;1,"Exceso en sodio","No tiene sello")),"No tiene sello"))</f>
        <v>No tiene sello</v>
      </c>
      <c r="AM535" s="13" t="str">
        <f>IFERROR(IF(F535=0,"No tiene sello",IF(+(AG535/1000)*9*100/F535&gt;1,"Exceso en grasa trans", "No tiene sello")),"No tiene sello")</f>
        <v>No tiene sello</v>
      </c>
    </row>
    <row r="536" spans="1:39" ht="13.5" customHeight="1" x14ac:dyDescent="0.25">
      <c r="A536" s="20" t="s">
        <v>554</v>
      </c>
      <c r="B536" s="20" t="s">
        <v>555</v>
      </c>
      <c r="C536" s="21"/>
      <c r="D536" s="22">
        <v>100</v>
      </c>
      <c r="E536" s="23">
        <v>87.4</v>
      </c>
      <c r="F536" s="24">
        <v>71</v>
      </c>
      <c r="G536" s="23">
        <v>294</v>
      </c>
      <c r="H536" s="24">
        <v>1.1000000000000001</v>
      </c>
      <c r="I536" s="24">
        <v>4.3</v>
      </c>
      <c r="J536" s="24">
        <v>7</v>
      </c>
      <c r="K536" s="23">
        <v>0</v>
      </c>
      <c r="L536" s="23">
        <v>0.7</v>
      </c>
      <c r="M536" s="24">
        <v>0</v>
      </c>
      <c r="N536" s="23">
        <v>0.3</v>
      </c>
      <c r="O536" s="25">
        <v>32</v>
      </c>
      <c r="P536" s="25">
        <v>0</v>
      </c>
      <c r="Q536" s="23">
        <v>16</v>
      </c>
      <c r="R536" s="25">
        <v>14</v>
      </c>
      <c r="S536" s="23">
        <v>0.2</v>
      </c>
      <c r="T536" s="23">
        <v>3</v>
      </c>
      <c r="U536" s="23">
        <v>50</v>
      </c>
      <c r="V536" s="23">
        <v>0.01</v>
      </c>
      <c r="W536" s="23">
        <v>0.04</v>
      </c>
      <c r="X536" s="23">
        <v>0.2</v>
      </c>
      <c r="Y536" s="23">
        <v>5</v>
      </c>
      <c r="Z536" s="23">
        <v>0.05</v>
      </c>
      <c r="AA536" s="25">
        <v>5</v>
      </c>
      <c r="AB536" s="25">
        <v>64</v>
      </c>
      <c r="AC536" s="25">
        <v>0.5</v>
      </c>
      <c r="AD536" s="23">
        <v>2</v>
      </c>
      <c r="AE536" s="23">
        <v>1.6</v>
      </c>
      <c r="AF536" s="23">
        <v>0.5</v>
      </c>
      <c r="AG536" s="23">
        <v>0</v>
      </c>
      <c r="AH536" s="24">
        <v>15</v>
      </c>
      <c r="AI536" s="23">
        <v>100</v>
      </c>
      <c r="AJ536" s="13" t="str">
        <f xml:space="preserve"> IF(AD536&gt;F536,"Exceso en grasa saturada",IFERROR(IF(F536=0,"No tiene sello",IF((AD536*9)*100/F536&gt;10,"Exceso en grasa saturada","No tiene sello")),"No tiene sello"))</f>
        <v>Exceso en grasa saturada</v>
      </c>
      <c r="AK536" s="13">
        <f>IF(AJ536="No tiene sello",0,1)</f>
        <v>1</v>
      </c>
      <c r="AL536" s="13" t="str">
        <f>IF(Q536&gt;=300,"Exceso en sodio",IFERROR(IF(AND(F536=0,Q536&gt;0),"No tiene sello",IF(Q536/F536&gt;1,"Exceso en sodio","No tiene sello")),"No tiene sello"))</f>
        <v>No tiene sello</v>
      </c>
      <c r="AM536" s="13" t="str">
        <f>IFERROR(IF(F536=0,"No tiene sello",IF(+(AG536/1000)*9*100/F536&gt;1,"Exceso en grasa trans", "No tiene sello")),"No tiene sello")</f>
        <v>No tiene sello</v>
      </c>
    </row>
    <row r="537" spans="1:39" ht="13.5" customHeight="1" x14ac:dyDescent="0.25">
      <c r="A537" s="26" t="s">
        <v>552</v>
      </c>
      <c r="B537" s="26" t="s">
        <v>553</v>
      </c>
      <c r="C537" s="27"/>
      <c r="D537" s="16">
        <v>100</v>
      </c>
      <c r="E537" s="28">
        <v>52.1</v>
      </c>
      <c r="F537" s="24">
        <v>293</v>
      </c>
      <c r="G537" s="28">
        <v>1214</v>
      </c>
      <c r="H537" s="24">
        <v>16.399999999999999</v>
      </c>
      <c r="I537" s="24">
        <v>25.1</v>
      </c>
      <c r="J537" s="24">
        <v>0.4</v>
      </c>
      <c r="K537" s="28">
        <v>0</v>
      </c>
      <c r="L537" s="28">
        <v>0.04</v>
      </c>
      <c r="M537" s="24">
        <v>0</v>
      </c>
      <c r="N537" s="28">
        <v>0.6</v>
      </c>
      <c r="O537" s="25">
        <v>394</v>
      </c>
      <c r="P537" s="25">
        <v>0.2</v>
      </c>
      <c r="Q537" s="28">
        <v>1172</v>
      </c>
      <c r="R537" s="25">
        <v>790</v>
      </c>
      <c r="S537" s="28">
        <v>1.6</v>
      </c>
      <c r="T537" s="28">
        <v>29</v>
      </c>
      <c r="U537" s="28">
        <v>234</v>
      </c>
      <c r="V537" s="28">
        <v>0.02</v>
      </c>
      <c r="W537" s="28">
        <v>0.38</v>
      </c>
      <c r="X537" s="28">
        <v>0.1</v>
      </c>
      <c r="Y537" s="28">
        <v>13</v>
      </c>
      <c r="Z537" s="28">
        <v>0.39</v>
      </c>
      <c r="AA537" s="25">
        <v>0</v>
      </c>
      <c r="AB537" s="25">
        <v>247</v>
      </c>
      <c r="AC537" s="25">
        <v>0.5</v>
      </c>
      <c r="AD537" s="28">
        <v>16.399999999999999</v>
      </c>
      <c r="AE537" s="28">
        <v>7.6</v>
      </c>
      <c r="AF537" s="28">
        <v>0.8</v>
      </c>
      <c r="AG537" s="28">
        <v>50</v>
      </c>
      <c r="AH537" s="24">
        <v>55</v>
      </c>
      <c r="AI537" s="28">
        <v>100</v>
      </c>
      <c r="AJ537" s="13" t="str">
        <f xml:space="preserve"> IF(AD537&gt;F537,"Exceso en grasa saturada",IFERROR(IF(F537=0,"No tiene sello",IF((AD537*9)*100/F537&gt;10,"Exceso en grasa saturada","No tiene sello")),"No tiene sello"))</f>
        <v>Exceso en grasa saturada</v>
      </c>
      <c r="AK537" s="13">
        <f>IF(AJ537="No tiene sello",0,1)</f>
        <v>1</v>
      </c>
      <c r="AL537" s="13" t="str">
        <f>IF(Q537&gt;=300,"Exceso en sodio",IFERROR(IF(AND(F537=0,Q537&gt;0),"No tiene sello",IF(Q537/F537&gt;1,"Exceso en sodio","No tiene sello")),"No tiene sello"))</f>
        <v>Exceso en sodio</v>
      </c>
      <c r="AM537" s="13" t="str">
        <f>IFERROR(IF(F537=0,"No tiene sello",IF(+(AG537/1000)*9*100/F537&gt;1,"Exceso en grasa trans", "No tiene sello")),"No tiene sello")</f>
        <v>No tiene sello</v>
      </c>
    </row>
    <row r="538" spans="1:39" ht="13.5" customHeight="1" x14ac:dyDescent="0.25">
      <c r="A538" s="20" t="s">
        <v>550</v>
      </c>
      <c r="B538" s="20" t="s">
        <v>551</v>
      </c>
      <c r="C538" s="21"/>
      <c r="D538" s="22">
        <v>100</v>
      </c>
      <c r="E538" s="23">
        <v>78.900000000000006</v>
      </c>
      <c r="F538" s="24">
        <v>83</v>
      </c>
      <c r="G538" s="23">
        <v>351</v>
      </c>
      <c r="H538" s="24">
        <v>11</v>
      </c>
      <c r="I538" s="24">
        <v>1.5</v>
      </c>
      <c r="J538" s="24">
        <v>6.4</v>
      </c>
      <c r="K538" s="23">
        <v>0</v>
      </c>
      <c r="L538" s="23">
        <v>0.64</v>
      </c>
      <c r="M538" s="24">
        <v>0</v>
      </c>
      <c r="N538" s="23">
        <v>2.2000000000000002</v>
      </c>
      <c r="O538" s="25">
        <v>0</v>
      </c>
      <c r="P538" s="25">
        <v>0</v>
      </c>
      <c r="Q538" s="23">
        <v>0</v>
      </c>
      <c r="R538" s="25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0</v>
      </c>
      <c r="X538" s="23">
        <v>0</v>
      </c>
      <c r="Y538" s="23">
        <v>0</v>
      </c>
      <c r="Z538" s="23">
        <v>0</v>
      </c>
      <c r="AA538" s="25">
        <v>0</v>
      </c>
      <c r="AB538" s="25">
        <v>0</v>
      </c>
      <c r="AC538" s="25">
        <v>0.2</v>
      </c>
      <c r="AD538" s="23">
        <v>0</v>
      </c>
      <c r="AE538" s="23">
        <v>0</v>
      </c>
      <c r="AF538" s="23">
        <v>0</v>
      </c>
      <c r="AG538" s="23">
        <v>10</v>
      </c>
      <c r="AH538" s="24">
        <v>0</v>
      </c>
      <c r="AI538" s="23">
        <v>100</v>
      </c>
      <c r="AJ538" s="13" t="str">
        <f xml:space="preserve"> IF(AD538&gt;F538,"Exceso en grasa saturada",IFERROR(IF(F538=0,"No tiene sello",IF((AD538*9)*100/F538&gt;10,"Exceso en grasa saturada","No tiene sello")),"No tiene sello"))</f>
        <v>No tiene sello</v>
      </c>
      <c r="AK538" s="13">
        <f>IF(AJ538="No tiene sello",0,1)</f>
        <v>0</v>
      </c>
      <c r="AL538" s="13" t="str">
        <f>IF(Q538&gt;=300,"Exceso en sodio",IFERROR(IF(AND(F538=0,Q538&gt;0),"No tiene sello",IF(Q538/F538&gt;1,"Exceso en sodio","No tiene sello")),"No tiene sello"))</f>
        <v>No tiene sello</v>
      </c>
      <c r="AM538" s="13" t="str">
        <f>IFERROR(IF(F538=0,"No tiene sello",IF(+(AG538/1000)*9*100/F538&gt;1,"Exceso en grasa trans", "No tiene sello")),"No tiene sello")</f>
        <v>No tiene sello</v>
      </c>
    </row>
    <row r="539" spans="1:39" ht="13.5" customHeight="1" x14ac:dyDescent="0.25">
      <c r="A539" s="33" t="s">
        <v>548</v>
      </c>
      <c r="B539" s="33" t="s">
        <v>549</v>
      </c>
      <c r="C539" s="34"/>
      <c r="D539" s="16">
        <v>100</v>
      </c>
      <c r="E539" s="35">
        <v>62.1</v>
      </c>
      <c r="F539" s="24">
        <v>207</v>
      </c>
      <c r="G539" s="35">
        <v>862</v>
      </c>
      <c r="H539" s="24">
        <v>15.2</v>
      </c>
      <c r="I539" s="24">
        <v>15.4</v>
      </c>
      <c r="J539" s="24">
        <v>2</v>
      </c>
      <c r="K539" s="35">
        <v>0</v>
      </c>
      <c r="L539" s="35">
        <v>0.2</v>
      </c>
      <c r="M539" s="24">
        <v>0</v>
      </c>
      <c r="N539" s="35">
        <v>5.3</v>
      </c>
      <c r="O539" s="35">
        <v>490</v>
      </c>
      <c r="P539" s="35">
        <v>1.5</v>
      </c>
      <c r="Q539" s="35">
        <v>64</v>
      </c>
      <c r="R539" s="35">
        <v>270</v>
      </c>
      <c r="S539" s="35">
        <v>0.5</v>
      </c>
      <c r="T539" s="35">
        <v>16</v>
      </c>
      <c r="U539" s="35">
        <v>218</v>
      </c>
      <c r="V539" s="35">
        <v>0.02</v>
      </c>
      <c r="W539" s="35">
        <v>0.46</v>
      </c>
      <c r="X539" s="35">
        <v>0.8</v>
      </c>
      <c r="Y539" s="35">
        <v>5</v>
      </c>
      <c r="Z539" s="35">
        <v>0.3</v>
      </c>
      <c r="AA539" s="35">
        <v>0</v>
      </c>
      <c r="AB539" s="35">
        <v>192</v>
      </c>
      <c r="AC539" s="35">
        <v>0.3</v>
      </c>
      <c r="AD539" s="35">
        <v>0</v>
      </c>
      <c r="AE539" s="35">
        <v>0</v>
      </c>
      <c r="AF539" s="35">
        <v>0</v>
      </c>
      <c r="AG539" s="35">
        <v>30</v>
      </c>
      <c r="AH539" s="35">
        <v>0</v>
      </c>
      <c r="AI539" s="35">
        <v>100</v>
      </c>
      <c r="AJ539" s="13" t="str">
        <f xml:space="preserve"> IF(AD539&gt;F539,"Exceso en grasa saturada",IFERROR(IF(F539=0,"No tiene sello",IF((AD539*9)*100/F539&gt;10,"Exceso en grasa saturada","No tiene sello")),"No tiene sello"))</f>
        <v>No tiene sello</v>
      </c>
      <c r="AK539" s="13">
        <f>IF(AJ539="No tiene sello",0,1)</f>
        <v>0</v>
      </c>
      <c r="AL539" s="13" t="str">
        <f>IF(Q539&gt;=300,"Exceso en sodio",IFERROR(IF(AND(F539=0,Q539&gt;0),"No tiene sello",IF(Q539/F539&gt;1,"Exceso en sodio","No tiene sello")),"No tiene sello"))</f>
        <v>No tiene sello</v>
      </c>
      <c r="AM539" s="13" t="str">
        <f>IFERROR(IF(F539=0,"No tiene sello",IF(+(AG539/1000)*9*100/F539&gt;1,"Exceso en grasa trans", "No tiene sello")),"No tiene sello")</f>
        <v>No tiene sello</v>
      </c>
    </row>
    <row r="540" spans="1:39" ht="13.5" customHeight="1" x14ac:dyDescent="0.25">
      <c r="A540" s="20" t="s">
        <v>546</v>
      </c>
      <c r="B540" s="20" t="s">
        <v>547</v>
      </c>
      <c r="C540" s="21"/>
      <c r="D540" s="22">
        <v>100</v>
      </c>
      <c r="E540" s="23">
        <v>54</v>
      </c>
      <c r="F540" s="24">
        <v>301</v>
      </c>
      <c r="G540" s="23">
        <v>1246</v>
      </c>
      <c r="H540" s="24">
        <v>17.5</v>
      </c>
      <c r="I540" s="24">
        <v>25.5</v>
      </c>
      <c r="J540" s="24">
        <v>0.3</v>
      </c>
      <c r="K540" s="23">
        <v>0</v>
      </c>
      <c r="L540" s="23">
        <v>0.03</v>
      </c>
      <c r="M540" s="24">
        <v>0</v>
      </c>
      <c r="N540" s="23">
        <v>2.7</v>
      </c>
      <c r="O540" s="25">
        <v>586</v>
      </c>
      <c r="P540" s="25">
        <v>0.4</v>
      </c>
      <c r="Q540" s="23">
        <v>935</v>
      </c>
      <c r="R540" s="25">
        <v>335</v>
      </c>
      <c r="S540" s="23">
        <v>2.9</v>
      </c>
      <c r="T540" s="23">
        <v>21</v>
      </c>
      <c r="U540" s="23">
        <v>98</v>
      </c>
      <c r="V540" s="23">
        <v>0.03</v>
      </c>
      <c r="W540" s="23">
        <v>0.32</v>
      </c>
      <c r="X540" s="23">
        <v>0.2</v>
      </c>
      <c r="Y540" s="23">
        <v>5</v>
      </c>
      <c r="Z540" s="23">
        <v>0.3</v>
      </c>
      <c r="AA540" s="25">
        <v>0</v>
      </c>
      <c r="AB540" s="25">
        <v>420</v>
      </c>
      <c r="AC540" s="25">
        <v>0.3</v>
      </c>
      <c r="AD540" s="23">
        <v>14.2</v>
      </c>
      <c r="AE540" s="23">
        <v>10.1</v>
      </c>
      <c r="AF540" s="23">
        <v>1.1000000000000001</v>
      </c>
      <c r="AG540" s="23">
        <v>50</v>
      </c>
      <c r="AH540" s="24">
        <v>94</v>
      </c>
      <c r="AI540" s="23">
        <v>100</v>
      </c>
      <c r="AJ540" s="13" t="str">
        <f xml:space="preserve"> IF(AD540&gt;F540,"Exceso en grasa saturada",IFERROR(IF(F540=0,"No tiene sello",IF((AD540*9)*100/F540&gt;10,"Exceso en grasa saturada","No tiene sello")),"No tiene sello"))</f>
        <v>Exceso en grasa saturada</v>
      </c>
      <c r="AK540" s="13">
        <f>IF(AJ540="No tiene sello",0,1)</f>
        <v>1</v>
      </c>
      <c r="AL540" s="13" t="str">
        <f>IF(Q540&gt;=300,"Exceso en sodio",IFERROR(IF(AND(F540=0,Q540&gt;0),"No tiene sello",IF(Q540/F540&gt;1,"Exceso en sodio","No tiene sello")),"No tiene sello"))</f>
        <v>Exceso en sodio</v>
      </c>
      <c r="AM540" s="13" t="str">
        <f>IFERROR(IF(F540=0,"No tiene sello",IF(+(AG540/1000)*9*100/F540&gt;1,"Exceso en grasa trans", "No tiene sello")),"No tiene sello")</f>
        <v>No tiene sello</v>
      </c>
    </row>
    <row r="541" spans="1:39" ht="13.5" customHeight="1" x14ac:dyDescent="0.25">
      <c r="A541" s="26" t="s">
        <v>544</v>
      </c>
      <c r="B541" s="26" t="s">
        <v>545</v>
      </c>
      <c r="C541" s="27"/>
      <c r="D541" s="16">
        <v>100</v>
      </c>
      <c r="E541" s="28">
        <v>52</v>
      </c>
      <c r="F541" s="24">
        <v>303</v>
      </c>
      <c r="G541" s="28">
        <v>1256</v>
      </c>
      <c r="H541" s="24">
        <v>17.5</v>
      </c>
      <c r="I541" s="24">
        <v>25.5</v>
      </c>
      <c r="J541" s="24">
        <v>0.9</v>
      </c>
      <c r="K541" s="28">
        <v>0</v>
      </c>
      <c r="L541" s="28">
        <v>0.9</v>
      </c>
      <c r="M541" s="24">
        <v>0</v>
      </c>
      <c r="N541" s="28">
        <v>4.0999999999999996</v>
      </c>
      <c r="O541" s="25">
        <v>783</v>
      </c>
      <c r="P541" s="25">
        <v>1.3</v>
      </c>
      <c r="Q541" s="28">
        <v>935</v>
      </c>
      <c r="R541" s="25">
        <v>375</v>
      </c>
      <c r="S541" s="28">
        <v>0.5</v>
      </c>
      <c r="T541" s="28">
        <v>30</v>
      </c>
      <c r="U541" s="28">
        <v>150</v>
      </c>
      <c r="V541" s="28">
        <v>0.03</v>
      </c>
      <c r="W541" s="28">
        <v>0.37</v>
      </c>
      <c r="X541" s="28">
        <v>0.2</v>
      </c>
      <c r="Y541" s="28">
        <v>5</v>
      </c>
      <c r="Z541" s="28">
        <v>0.3</v>
      </c>
      <c r="AA541" s="25">
        <v>0</v>
      </c>
      <c r="AB541" s="25">
        <v>420</v>
      </c>
      <c r="AC541" s="25">
        <v>0.2</v>
      </c>
      <c r="AD541" s="28">
        <v>14.2</v>
      </c>
      <c r="AE541" s="28">
        <v>10.1</v>
      </c>
      <c r="AF541" s="28">
        <v>1.1000000000000001</v>
      </c>
      <c r="AG541" s="28">
        <v>50</v>
      </c>
      <c r="AH541" s="24">
        <v>94</v>
      </c>
      <c r="AI541" s="28">
        <v>100</v>
      </c>
      <c r="AJ541" s="13" t="str">
        <f xml:space="preserve"> IF(AD541&gt;F541,"Exceso en grasa saturada",IFERROR(IF(F541=0,"No tiene sello",IF((AD541*9)*100/F541&gt;10,"Exceso en grasa saturada","No tiene sello")),"No tiene sello"))</f>
        <v>Exceso en grasa saturada</v>
      </c>
      <c r="AK541" s="13">
        <f>IF(AJ541="No tiene sello",0,1)</f>
        <v>1</v>
      </c>
      <c r="AL541" s="13" t="str">
        <f>IF(Q541&gt;=300,"Exceso en sodio",IFERROR(IF(AND(F541=0,Q541&gt;0),"No tiene sello",IF(Q541/F541&gt;1,"Exceso en sodio","No tiene sello")),"No tiene sello"))</f>
        <v>Exceso en sodio</v>
      </c>
      <c r="AM541" s="13" t="str">
        <f>IFERROR(IF(F541=0,"No tiene sello",IF(+(AG541/1000)*9*100/F541&gt;1,"Exceso en grasa trans", "No tiene sello")),"No tiene sello")</f>
        <v>No tiene sello</v>
      </c>
    </row>
    <row r="542" spans="1:39" ht="13.5" customHeight="1" x14ac:dyDescent="0.25">
      <c r="A542" s="29" t="s">
        <v>542</v>
      </c>
      <c r="B542" s="29" t="s">
        <v>543</v>
      </c>
      <c r="C542" s="30"/>
      <c r="D542" s="22">
        <v>100</v>
      </c>
      <c r="E542" s="31">
        <v>50</v>
      </c>
      <c r="F542" s="24">
        <v>296</v>
      </c>
      <c r="G542" s="31">
        <v>1233</v>
      </c>
      <c r="H542" s="24">
        <v>22.9</v>
      </c>
      <c r="I542" s="24">
        <v>21.4</v>
      </c>
      <c r="J542" s="24">
        <v>3.1</v>
      </c>
      <c r="K542" s="31">
        <v>0</v>
      </c>
      <c r="L542" s="31">
        <v>0.31</v>
      </c>
      <c r="M542" s="24">
        <v>0</v>
      </c>
      <c r="N542" s="31">
        <v>2.6</v>
      </c>
      <c r="O542" s="31">
        <v>517</v>
      </c>
      <c r="P542" s="31">
        <v>0.2</v>
      </c>
      <c r="Q542" s="31">
        <v>373</v>
      </c>
      <c r="R542" s="31">
        <v>350</v>
      </c>
      <c r="S542" s="31">
        <v>2.9</v>
      </c>
      <c r="T542" s="31">
        <v>20</v>
      </c>
      <c r="U542" s="31">
        <v>74</v>
      </c>
      <c r="V542" s="31">
        <v>0.03</v>
      </c>
      <c r="W542" s="31">
        <v>0.28000000000000003</v>
      </c>
      <c r="X542" s="31">
        <v>0.1</v>
      </c>
      <c r="Y542" s="31">
        <v>7</v>
      </c>
      <c r="Z542" s="31">
        <v>2.2799999999999998</v>
      </c>
      <c r="AA542" s="31">
        <v>0</v>
      </c>
      <c r="AB542" s="31">
        <v>241</v>
      </c>
      <c r="AC542" s="31">
        <v>0.3</v>
      </c>
      <c r="AD542" s="31">
        <v>12.9</v>
      </c>
      <c r="AE542" s="31">
        <v>6.3</v>
      </c>
      <c r="AF542" s="31">
        <v>0.7</v>
      </c>
      <c r="AG542" s="31">
        <v>50</v>
      </c>
      <c r="AH542" s="31">
        <v>79</v>
      </c>
      <c r="AI542" s="31">
        <v>100</v>
      </c>
      <c r="AJ542" s="13" t="str">
        <f xml:space="preserve"> IF(AD542&gt;F542,"Exceso en grasa saturada",IFERROR(IF(F542=0,"No tiene sello",IF((AD542*9)*100/F542&gt;10,"Exceso en grasa saturada","No tiene sello")),"No tiene sello"))</f>
        <v>Exceso en grasa saturada</v>
      </c>
      <c r="AK542" s="13">
        <f>IF(AJ542="No tiene sello",0,1)</f>
        <v>1</v>
      </c>
      <c r="AL542" s="13" t="str">
        <f>IF(Q542&gt;=300,"Exceso en sodio",IFERROR(IF(AND(F542=0,Q542&gt;0),"No tiene sello",IF(Q542/F542&gt;1,"Exceso en sodio","No tiene sello")),"No tiene sello"))</f>
        <v>Exceso en sodio</v>
      </c>
      <c r="AM542" s="13" t="str">
        <f>IFERROR(IF(F542=0,"No tiene sello",IF(+(AG542/1000)*9*100/F542&gt;1,"Exceso en grasa trans", "No tiene sello")),"No tiene sello")</f>
        <v>No tiene sello</v>
      </c>
    </row>
    <row r="543" spans="1:39" s="5" customFormat="1" ht="13.5" customHeight="1" x14ac:dyDescent="0.25">
      <c r="A543" s="26" t="s">
        <v>540</v>
      </c>
      <c r="B543" s="26" t="s">
        <v>541</v>
      </c>
      <c r="C543" s="27"/>
      <c r="D543" s="16">
        <v>100</v>
      </c>
      <c r="E543" s="28">
        <v>53.8</v>
      </c>
      <c r="F543" s="24">
        <v>249</v>
      </c>
      <c r="G543" s="28">
        <v>1040</v>
      </c>
      <c r="H543" s="24">
        <v>24.3</v>
      </c>
      <c r="I543" s="24">
        <v>15.9</v>
      </c>
      <c r="J543" s="24">
        <v>2.2999999999999998</v>
      </c>
      <c r="K543" s="28">
        <v>0</v>
      </c>
      <c r="L543" s="28">
        <v>0.23</v>
      </c>
      <c r="M543" s="24">
        <v>0</v>
      </c>
      <c r="N543" s="28">
        <v>3.8</v>
      </c>
      <c r="O543" s="25">
        <v>782</v>
      </c>
      <c r="P543" s="25">
        <v>0.2</v>
      </c>
      <c r="Q543" s="28">
        <v>619</v>
      </c>
      <c r="R543" s="25">
        <v>463</v>
      </c>
      <c r="S543" s="28">
        <v>2.8</v>
      </c>
      <c r="T543" s="28">
        <v>23</v>
      </c>
      <c r="U543" s="28">
        <v>84</v>
      </c>
      <c r="V543" s="28">
        <v>0.02</v>
      </c>
      <c r="W543" s="28">
        <v>0.3</v>
      </c>
      <c r="X543" s="28">
        <v>0.1</v>
      </c>
      <c r="Y543" s="28">
        <v>9</v>
      </c>
      <c r="Z543" s="28">
        <v>0.82</v>
      </c>
      <c r="AA543" s="25">
        <v>0</v>
      </c>
      <c r="AB543" s="25">
        <v>165</v>
      </c>
      <c r="AC543" s="25">
        <v>0.2</v>
      </c>
      <c r="AD543" s="28">
        <v>10.1</v>
      </c>
      <c r="AE543" s="28">
        <v>4.5</v>
      </c>
      <c r="AF543" s="28">
        <v>0.5</v>
      </c>
      <c r="AG543" s="28">
        <v>30</v>
      </c>
      <c r="AH543" s="24">
        <v>64</v>
      </c>
      <c r="AI543" s="28">
        <v>100</v>
      </c>
      <c r="AJ543" s="13" t="str">
        <f xml:space="preserve"> IF(AD543&gt;F543,"Exceso en grasa saturada",IFERROR(IF(F543=0,"No tiene sello",IF((AD543*9)*100/F543&gt;10,"Exceso en grasa saturada","No tiene sello")),"No tiene sello"))</f>
        <v>Exceso en grasa saturada</v>
      </c>
      <c r="AK543" s="13">
        <f>IF(AJ543="No tiene sello",0,1)</f>
        <v>1</v>
      </c>
      <c r="AL543" s="13" t="str">
        <f>IF(Q543&gt;=300,"Exceso en sodio",IFERROR(IF(AND(F543=0,Q543&gt;0),"No tiene sello",IF(Q543/F543&gt;1,"Exceso en sodio","No tiene sello")),"No tiene sello"))</f>
        <v>Exceso en sodio</v>
      </c>
      <c r="AM543" s="13" t="str">
        <f>IFERROR(IF(F543=0,"No tiene sello",IF(+(AG543/1000)*9*100/F543&gt;1,"Exceso en grasa trans", "No tiene sello")),"No tiene sello")</f>
        <v>No tiene sello</v>
      </c>
    </row>
    <row r="544" spans="1:39" ht="13.5" customHeight="1" x14ac:dyDescent="0.25">
      <c r="A544" s="20" t="s">
        <v>538</v>
      </c>
      <c r="B544" s="20" t="s">
        <v>539</v>
      </c>
      <c r="C544" s="21"/>
      <c r="D544" s="22">
        <v>100</v>
      </c>
      <c r="E544" s="23">
        <v>54.4</v>
      </c>
      <c r="F544" s="24">
        <v>286</v>
      </c>
      <c r="G544" s="23">
        <v>1190</v>
      </c>
      <c r="H544" s="24">
        <v>23.4</v>
      </c>
      <c r="I544" s="24">
        <v>18.7</v>
      </c>
      <c r="J544" s="24">
        <v>5.9</v>
      </c>
      <c r="K544" s="23">
        <v>0</v>
      </c>
      <c r="L544" s="23">
        <v>0.59</v>
      </c>
      <c r="M544" s="24">
        <v>0</v>
      </c>
      <c r="N544" s="23">
        <v>2.8</v>
      </c>
      <c r="O544" s="25">
        <v>405</v>
      </c>
      <c r="P544" s="25">
        <v>0.5</v>
      </c>
      <c r="Q544" s="23">
        <v>475</v>
      </c>
      <c r="R544" s="25">
        <v>350</v>
      </c>
      <c r="S544" s="23">
        <v>2.9</v>
      </c>
      <c r="T544" s="23">
        <v>19</v>
      </c>
      <c r="U544" s="23">
        <v>84</v>
      </c>
      <c r="V544" s="23">
        <v>0.1</v>
      </c>
      <c r="W544" s="23">
        <v>0.25</v>
      </c>
      <c r="X544" s="23">
        <v>0.2</v>
      </c>
      <c r="Y544" s="23">
        <v>0</v>
      </c>
      <c r="Z544" s="23">
        <v>0</v>
      </c>
      <c r="AA544" s="25">
        <v>0</v>
      </c>
      <c r="AB544" s="25">
        <v>96</v>
      </c>
      <c r="AC544" s="25">
        <v>0.3</v>
      </c>
      <c r="AD544" s="23">
        <v>0</v>
      </c>
      <c r="AE544" s="23">
        <v>0</v>
      </c>
      <c r="AF544" s="23">
        <v>0</v>
      </c>
      <c r="AG544" s="23">
        <v>50</v>
      </c>
      <c r="AH544" s="24">
        <v>0</v>
      </c>
      <c r="AI544" s="23">
        <v>100</v>
      </c>
      <c r="AJ544" s="13" t="str">
        <f xml:space="preserve"> IF(AD544&gt;F544,"Exceso en grasa saturada",IFERROR(IF(F544=0,"No tiene sello",IF((AD544*9)*100/F544&gt;10,"Exceso en grasa saturada","No tiene sello")),"No tiene sello"))</f>
        <v>No tiene sello</v>
      </c>
      <c r="AK544" s="13">
        <f>IF(AJ544="No tiene sello",0,1)</f>
        <v>0</v>
      </c>
      <c r="AL544" s="13" t="str">
        <f>IF(Q544&gt;=300,"Exceso en sodio",IFERROR(IF(AND(F544=0,Q544&gt;0),"No tiene sello",IF(Q544/F544&gt;1,"Exceso en sodio","No tiene sello")),"No tiene sello"))</f>
        <v>Exceso en sodio</v>
      </c>
      <c r="AM544" s="13" t="str">
        <f>IFERROR(IF(F544=0,"No tiene sello",IF(+(AG544/1000)*9*100/F544&gt;1,"Exceso en grasa trans", "No tiene sello")),"No tiene sello")</f>
        <v>No tiene sello</v>
      </c>
    </row>
    <row r="545" spans="1:39" ht="13.5" customHeight="1" x14ac:dyDescent="0.25">
      <c r="A545" s="26" t="s">
        <v>536</v>
      </c>
      <c r="B545" s="26" t="s">
        <v>537</v>
      </c>
      <c r="C545" s="27"/>
      <c r="D545" s="47">
        <v>100</v>
      </c>
      <c r="E545" s="28">
        <v>79</v>
      </c>
      <c r="F545" s="24">
        <v>101</v>
      </c>
      <c r="G545" s="28">
        <v>423</v>
      </c>
      <c r="H545" s="24">
        <v>12.5</v>
      </c>
      <c r="I545" s="24">
        <v>4.5</v>
      </c>
      <c r="J545" s="24">
        <v>2.6</v>
      </c>
      <c r="K545" s="28">
        <v>0</v>
      </c>
      <c r="L545" s="28">
        <v>0.26</v>
      </c>
      <c r="M545" s="24">
        <v>0</v>
      </c>
      <c r="N545" s="28">
        <v>1.4</v>
      </c>
      <c r="O545" s="25">
        <v>60</v>
      </c>
      <c r="P545" s="25">
        <v>0.1</v>
      </c>
      <c r="Q545" s="28">
        <v>405</v>
      </c>
      <c r="R545" s="25">
        <v>132</v>
      </c>
      <c r="S545" s="28">
        <v>0.4</v>
      </c>
      <c r="T545" s="28">
        <v>6</v>
      </c>
      <c r="U545" s="28">
        <v>96</v>
      </c>
      <c r="V545" s="28">
        <v>0.02</v>
      </c>
      <c r="W545" s="28">
        <v>0.16</v>
      </c>
      <c r="X545" s="28">
        <v>0.1</v>
      </c>
      <c r="Y545" s="28">
        <v>12</v>
      </c>
      <c r="Z545" s="28">
        <v>0.57999999999999996</v>
      </c>
      <c r="AA545" s="25">
        <v>0</v>
      </c>
      <c r="AB545" s="25">
        <v>48</v>
      </c>
      <c r="AC545" s="25">
        <v>0.3</v>
      </c>
      <c r="AD545" s="28">
        <v>2.7</v>
      </c>
      <c r="AE545" s="28">
        <v>1.3</v>
      </c>
      <c r="AF545" s="28">
        <v>0.1</v>
      </c>
      <c r="AG545" s="28">
        <v>20</v>
      </c>
      <c r="AH545" s="24">
        <v>15</v>
      </c>
      <c r="AI545" s="28">
        <v>100</v>
      </c>
      <c r="AJ545" s="13" t="str">
        <f xml:space="preserve"> IF(AD545&gt;F545,"Exceso en grasa saturada",IFERROR(IF(F545=0,"No tiene sello",IF((AD545*9)*100/F545&gt;10,"Exceso en grasa saturada","No tiene sello")),"No tiene sello"))</f>
        <v>Exceso en grasa saturada</v>
      </c>
      <c r="AK545" s="13">
        <f>IF(AJ545="No tiene sello",0,1)</f>
        <v>1</v>
      </c>
      <c r="AL545" s="13" t="str">
        <f>IF(Q545&gt;=300,"Exceso en sodio",IFERROR(IF(AND(F545=0,Q545&gt;0),"No tiene sello",IF(Q545/F545&gt;1,"Exceso en sodio","No tiene sello")),"No tiene sello"))</f>
        <v>Exceso en sodio</v>
      </c>
      <c r="AM545" s="13" t="str">
        <f>IFERROR(IF(F545=0,"No tiene sello",IF(+(AG545/1000)*9*100/F545&gt;1,"Exceso en grasa trans", "No tiene sello")),"No tiene sello")</f>
        <v>No tiene sello</v>
      </c>
    </row>
    <row r="546" spans="1:39" ht="13.5" customHeight="1" x14ac:dyDescent="0.25">
      <c r="A546" s="20" t="s">
        <v>534</v>
      </c>
      <c r="B546" s="20" t="s">
        <v>535</v>
      </c>
      <c r="C546" s="21"/>
      <c r="D546" s="46">
        <v>100</v>
      </c>
      <c r="E546" s="23">
        <v>82.3</v>
      </c>
      <c r="F546" s="24">
        <v>75</v>
      </c>
      <c r="G546" s="23">
        <v>315</v>
      </c>
      <c r="H546" s="24">
        <v>13.7</v>
      </c>
      <c r="I546" s="24">
        <v>1.9</v>
      </c>
      <c r="J546" s="24">
        <v>0.7</v>
      </c>
      <c r="K546" s="23">
        <v>0</v>
      </c>
      <c r="L546" s="23">
        <v>7.0000000000000007E-2</v>
      </c>
      <c r="M546" s="24">
        <v>0</v>
      </c>
      <c r="N546" s="23">
        <v>1.4</v>
      </c>
      <c r="O546" s="25">
        <v>69</v>
      </c>
      <c r="P546" s="25">
        <v>0.2</v>
      </c>
      <c r="Q546" s="23">
        <v>406</v>
      </c>
      <c r="R546" s="25">
        <v>151</v>
      </c>
      <c r="S546" s="23">
        <v>0.4</v>
      </c>
      <c r="T546" s="23">
        <v>5</v>
      </c>
      <c r="U546" s="23">
        <v>72</v>
      </c>
      <c r="V546" s="23">
        <v>0.02</v>
      </c>
      <c r="W546" s="23">
        <v>0.16</v>
      </c>
      <c r="X546" s="23">
        <v>0.1</v>
      </c>
      <c r="Y546" s="23">
        <v>13</v>
      </c>
      <c r="Z546" s="23">
        <v>0.62</v>
      </c>
      <c r="AA546" s="25">
        <v>0</v>
      </c>
      <c r="AB546" s="25">
        <v>20</v>
      </c>
      <c r="AC546" s="25">
        <v>0.2</v>
      </c>
      <c r="AD546" s="23">
        <v>0.6</v>
      </c>
      <c r="AE546" s="23">
        <v>0.3</v>
      </c>
      <c r="AF546" s="23">
        <v>0</v>
      </c>
      <c r="AG546" s="23">
        <v>10</v>
      </c>
      <c r="AH546" s="24">
        <v>4</v>
      </c>
      <c r="AI546" s="23">
        <v>100</v>
      </c>
      <c r="AJ546" s="13" t="str">
        <f xml:space="preserve"> IF(AD546&gt;F546,"Exceso en grasa saturada",IFERROR(IF(F546=0,"No tiene sello",IF((AD546*9)*100/F546&gt;10,"Exceso en grasa saturada","No tiene sello")),"No tiene sello"))</f>
        <v>No tiene sello</v>
      </c>
      <c r="AK546" s="13">
        <f>IF(AJ546="No tiene sello",0,1)</f>
        <v>0</v>
      </c>
      <c r="AL546" s="13" t="str">
        <f>IF(Q546&gt;=300,"Exceso en sodio",IFERROR(IF(AND(F546=0,Q546&gt;0),"No tiene sello",IF(Q546/F546&gt;1,"Exceso en sodio","No tiene sello")),"No tiene sello"))</f>
        <v>Exceso en sodio</v>
      </c>
      <c r="AM546" s="13" t="str">
        <f>IFERROR(IF(F546=0,"No tiene sello",IF(+(AG546/1000)*9*100/F546&gt;1,"Exceso en grasa trans", "No tiene sello")),"No tiene sello")</f>
        <v>No tiene sello</v>
      </c>
    </row>
    <row r="547" spans="1:39" s="4" customFormat="1" ht="13.5" customHeight="1" x14ac:dyDescent="0.25">
      <c r="A547" s="26" t="s">
        <v>532</v>
      </c>
      <c r="B547" s="26" t="s">
        <v>533</v>
      </c>
      <c r="C547" s="27"/>
      <c r="D547" s="47">
        <v>100</v>
      </c>
      <c r="E547" s="28">
        <v>29.2</v>
      </c>
      <c r="F547" s="24">
        <v>389</v>
      </c>
      <c r="G547" s="28">
        <v>1621</v>
      </c>
      <c r="H547" s="24">
        <v>35.799999999999997</v>
      </c>
      <c r="I547" s="24">
        <v>26</v>
      </c>
      <c r="J547" s="24">
        <v>3.1</v>
      </c>
      <c r="K547" s="28">
        <v>0</v>
      </c>
      <c r="L547" s="28">
        <v>0.31</v>
      </c>
      <c r="M547" s="24">
        <v>0</v>
      </c>
      <c r="N547" s="28">
        <v>6</v>
      </c>
      <c r="O547" s="25">
        <v>1184</v>
      </c>
      <c r="P547" s="25">
        <v>0.8</v>
      </c>
      <c r="Q547" s="28">
        <v>1602</v>
      </c>
      <c r="R547" s="25">
        <v>694</v>
      </c>
      <c r="S547" s="28">
        <v>2.8</v>
      </c>
      <c r="T547" s="28">
        <v>44</v>
      </c>
      <c r="U547" s="28">
        <v>92</v>
      </c>
      <c r="V547" s="28">
        <v>0.04</v>
      </c>
      <c r="W547" s="28">
        <v>0.33</v>
      </c>
      <c r="X547" s="28">
        <v>0.3</v>
      </c>
      <c r="Y547" s="28">
        <v>7</v>
      </c>
      <c r="Z547" s="28">
        <v>1.2</v>
      </c>
      <c r="AA547" s="25">
        <v>0</v>
      </c>
      <c r="AB547" s="25">
        <v>181</v>
      </c>
      <c r="AC547" s="25">
        <v>0.5</v>
      </c>
      <c r="AD547" s="28">
        <v>16.399999999999999</v>
      </c>
      <c r="AE547" s="28">
        <v>6.8</v>
      </c>
      <c r="AF547" s="28">
        <v>0.3</v>
      </c>
      <c r="AG547" s="28">
        <v>50</v>
      </c>
      <c r="AH547" s="24">
        <v>68</v>
      </c>
      <c r="AI547" s="28">
        <v>100</v>
      </c>
      <c r="AJ547" s="13" t="str">
        <f xml:space="preserve"> IF(AD547&gt;F547,"Exceso en grasa saturada",IFERROR(IF(F547=0,"No tiene sello",IF((AD547*9)*100/F547&gt;10,"Exceso en grasa saturada","No tiene sello")),"No tiene sello"))</f>
        <v>Exceso en grasa saturada</v>
      </c>
      <c r="AK547" s="13">
        <f>IF(AJ547="No tiene sello",0,1)</f>
        <v>1</v>
      </c>
      <c r="AL547" s="13" t="str">
        <f>IF(Q547&gt;=300,"Exceso en sodio",IFERROR(IF(AND(F547=0,Q547&gt;0),"No tiene sello",IF(Q547/F547&gt;1,"Exceso en sodio","No tiene sello")),"No tiene sello"))</f>
        <v>Exceso en sodio</v>
      </c>
      <c r="AM547" s="13" t="str">
        <f>IFERROR(IF(F547=0,"No tiene sello",IF(+(AG547/1000)*9*100/F547&gt;1,"Exceso en grasa trans", "No tiene sello")),"No tiene sello")</f>
        <v>No tiene sello</v>
      </c>
    </row>
    <row r="548" spans="1:39" ht="13.5" customHeight="1" x14ac:dyDescent="0.25">
      <c r="A548" s="20" t="s">
        <v>530</v>
      </c>
      <c r="B548" s="20" t="s">
        <v>531</v>
      </c>
      <c r="C548" s="21"/>
      <c r="D548" s="46">
        <v>100</v>
      </c>
      <c r="E548" s="23">
        <v>39.700000000000003</v>
      </c>
      <c r="F548" s="24">
        <v>372</v>
      </c>
      <c r="G548" s="23">
        <v>1541</v>
      </c>
      <c r="H548" s="24">
        <v>22.2</v>
      </c>
      <c r="I548" s="24">
        <v>30.9</v>
      </c>
      <c r="J548" s="24">
        <v>1.2</v>
      </c>
      <c r="K548" s="23">
        <v>0</v>
      </c>
      <c r="L548" s="23">
        <v>0.12</v>
      </c>
      <c r="M548" s="24">
        <v>0</v>
      </c>
      <c r="N548" s="23">
        <v>6</v>
      </c>
      <c r="O548" s="25">
        <v>632</v>
      </c>
      <c r="P548" s="25">
        <v>0.6</v>
      </c>
      <c r="Q548" s="23">
        <v>1694</v>
      </c>
      <c r="R548" s="25">
        <v>393</v>
      </c>
      <c r="S548" s="23">
        <v>2.1</v>
      </c>
      <c r="T548" s="23">
        <v>30</v>
      </c>
      <c r="U548" s="23">
        <v>91</v>
      </c>
      <c r="V548" s="23">
        <v>0.04</v>
      </c>
      <c r="W548" s="23">
        <v>0.46</v>
      </c>
      <c r="X548" s="23">
        <v>0.7</v>
      </c>
      <c r="Y548" s="23">
        <v>49</v>
      </c>
      <c r="Z548" s="23">
        <v>0.63</v>
      </c>
      <c r="AA548" s="25">
        <v>0</v>
      </c>
      <c r="AB548" s="25">
        <v>297</v>
      </c>
      <c r="AC548" s="25">
        <v>0.5</v>
      </c>
      <c r="AD548" s="23">
        <v>19.600000000000001</v>
      </c>
      <c r="AE548" s="23">
        <v>8.5</v>
      </c>
      <c r="AF548" s="23">
        <v>1.4</v>
      </c>
      <c r="AG548" s="23">
        <v>50</v>
      </c>
      <c r="AH548" s="24">
        <v>90</v>
      </c>
      <c r="AI548" s="23">
        <v>100</v>
      </c>
      <c r="AJ548" s="13" t="str">
        <f xml:space="preserve"> IF(AD548&gt;F548,"Exceso en grasa saturada",IFERROR(IF(F548=0,"No tiene sello",IF((AD548*9)*100/F548&gt;10,"Exceso en grasa saturada","No tiene sello")),"No tiene sello"))</f>
        <v>Exceso en grasa saturada</v>
      </c>
      <c r="AK548" s="13">
        <f>IF(AJ548="No tiene sello",0,1)</f>
        <v>1</v>
      </c>
      <c r="AL548" s="13" t="str">
        <f>IF(Q548&gt;=300,"Exceso en sodio",IFERROR(IF(AND(F548=0,Q548&gt;0),"No tiene sello",IF(Q548/F548&gt;1,"Exceso en sodio","No tiene sello")),"No tiene sello"))</f>
        <v>Exceso en sodio</v>
      </c>
      <c r="AM548" s="13" t="str">
        <f>IFERROR(IF(F548=0,"No tiene sello",IF(+(AG548/1000)*9*100/F548&gt;1,"Exceso en grasa trans", "No tiene sello")),"No tiene sello")</f>
        <v>No tiene sello</v>
      </c>
    </row>
    <row r="549" spans="1:39" ht="13.5" customHeight="1" x14ac:dyDescent="0.25">
      <c r="A549" s="26" t="s">
        <v>528</v>
      </c>
      <c r="B549" s="26" t="s">
        <v>529</v>
      </c>
      <c r="C549" s="27"/>
      <c r="D549" s="47">
        <v>100</v>
      </c>
      <c r="E549" s="28">
        <v>51.8</v>
      </c>
      <c r="F549" s="24">
        <v>300</v>
      </c>
      <c r="G549" s="28">
        <v>1243</v>
      </c>
      <c r="H549" s="24">
        <v>19.8</v>
      </c>
      <c r="I549" s="24">
        <v>24.3</v>
      </c>
      <c r="J549" s="24">
        <v>0.4</v>
      </c>
      <c r="K549" s="28">
        <v>0</v>
      </c>
      <c r="L549" s="28">
        <v>0.04</v>
      </c>
      <c r="M549" s="24">
        <v>0</v>
      </c>
      <c r="N549" s="28">
        <v>3.7</v>
      </c>
      <c r="O549" s="25">
        <v>388</v>
      </c>
      <c r="P549" s="25">
        <v>0.3</v>
      </c>
      <c r="Q549" s="28">
        <v>842</v>
      </c>
      <c r="R549" s="25">
        <v>347</v>
      </c>
      <c r="S549" s="28">
        <v>2.4</v>
      </c>
      <c r="T549" s="28">
        <v>20</v>
      </c>
      <c r="U549" s="28">
        <v>187</v>
      </c>
      <c r="V549" s="28">
        <v>0.03</v>
      </c>
      <c r="W549" s="28">
        <v>0.49</v>
      </c>
      <c r="X549" s="28">
        <v>0.6</v>
      </c>
      <c r="Y549" s="28">
        <v>62</v>
      </c>
      <c r="Z549" s="28">
        <v>1.31</v>
      </c>
      <c r="AA549" s="25">
        <v>0</v>
      </c>
      <c r="AB549" s="25">
        <v>252</v>
      </c>
      <c r="AC549" s="25">
        <v>0.3</v>
      </c>
      <c r="AD549" s="28">
        <v>15.3</v>
      </c>
      <c r="AE549" s="28">
        <v>5.9</v>
      </c>
      <c r="AF549" s="28">
        <v>0.5</v>
      </c>
      <c r="AG549" s="28">
        <v>50</v>
      </c>
      <c r="AH549" s="24">
        <v>72</v>
      </c>
      <c r="AI549" s="28">
        <v>100</v>
      </c>
      <c r="AJ549" s="13" t="str">
        <f xml:space="preserve"> IF(AD549&gt;F549,"Exceso en grasa saturada",IFERROR(IF(F549=0,"No tiene sello",IF((AD549*9)*100/F549&gt;10,"Exceso en grasa saturada","No tiene sello")),"No tiene sello"))</f>
        <v>Exceso en grasa saturada</v>
      </c>
      <c r="AK549" s="13">
        <f>IF(AJ549="No tiene sello",0,1)</f>
        <v>1</v>
      </c>
      <c r="AL549" s="13" t="str">
        <f>IF(Q549&gt;=300,"Exceso en sodio",IFERROR(IF(AND(F549=0,Q549&gt;0),"No tiene sello",IF(Q549/F549&gt;1,"Exceso en sodio","No tiene sello")),"No tiene sello"))</f>
        <v>Exceso en sodio</v>
      </c>
      <c r="AM549" s="13" t="str">
        <f>IFERROR(IF(F549=0,"No tiene sello",IF(+(AG549/1000)*9*100/F549&gt;1,"Exceso en grasa trans", "No tiene sello")),"No tiene sello")</f>
        <v>No tiene sello</v>
      </c>
    </row>
    <row r="550" spans="1:39" ht="13.5" customHeight="1" x14ac:dyDescent="0.25">
      <c r="A550" s="20" t="s">
        <v>526</v>
      </c>
      <c r="B550" s="20" t="s">
        <v>527</v>
      </c>
      <c r="C550" s="21"/>
      <c r="D550" s="46">
        <v>100</v>
      </c>
      <c r="E550" s="23">
        <v>41.6</v>
      </c>
      <c r="F550" s="24">
        <v>348</v>
      </c>
      <c r="G550" s="23">
        <v>1445</v>
      </c>
      <c r="H550" s="24">
        <v>24.9</v>
      </c>
      <c r="I550" s="24">
        <v>26</v>
      </c>
      <c r="J550" s="24">
        <v>3.5</v>
      </c>
      <c r="K550" s="23">
        <v>0</v>
      </c>
      <c r="L550" s="23">
        <v>0.35</v>
      </c>
      <c r="M550" s="24">
        <v>0</v>
      </c>
      <c r="N550" s="23">
        <v>3.9</v>
      </c>
      <c r="O550" s="25">
        <v>829</v>
      </c>
      <c r="P550" s="25">
        <v>0.3</v>
      </c>
      <c r="Q550" s="23">
        <v>802</v>
      </c>
      <c r="R550" s="25">
        <v>525</v>
      </c>
      <c r="S550" s="23">
        <v>3.9</v>
      </c>
      <c r="T550" s="23">
        <v>29</v>
      </c>
      <c r="U550" s="23">
        <v>119</v>
      </c>
      <c r="V550" s="23">
        <v>0.03</v>
      </c>
      <c r="W550" s="23">
        <v>0.3</v>
      </c>
      <c r="X550" s="23">
        <v>0.1</v>
      </c>
      <c r="Y550" s="23">
        <v>21</v>
      </c>
      <c r="Z550" s="23">
        <v>1.6</v>
      </c>
      <c r="AA550" s="25">
        <v>0</v>
      </c>
      <c r="AB550" s="25">
        <v>283</v>
      </c>
      <c r="AC550" s="25">
        <v>0.3</v>
      </c>
      <c r="AD550" s="23">
        <v>18</v>
      </c>
      <c r="AE550" s="23">
        <v>7.7</v>
      </c>
      <c r="AF550" s="23">
        <v>0.7</v>
      </c>
      <c r="AG550" s="23">
        <v>50</v>
      </c>
      <c r="AH550" s="24">
        <v>109</v>
      </c>
      <c r="AI550" s="23">
        <v>100</v>
      </c>
      <c r="AJ550" s="13" t="str">
        <f xml:space="preserve"> IF(AD550&gt;F550,"Exceso en grasa saturada",IFERROR(IF(F550=0,"No tiene sello",IF((AD550*9)*100/F550&gt;10,"Exceso en grasa saturada","No tiene sello")),"No tiene sello"))</f>
        <v>Exceso en grasa saturada</v>
      </c>
      <c r="AK550" s="13">
        <f>IF(AJ550="No tiene sello",0,1)</f>
        <v>1</v>
      </c>
      <c r="AL550" s="13" t="str">
        <f>IF(Q550&gt;=300,"Exceso en sodio",IFERROR(IF(AND(F550=0,Q550&gt;0),"No tiene sello",IF(Q550/F550&gt;1,"Exceso en sodio","No tiene sello")),"No tiene sello"))</f>
        <v>Exceso en sodio</v>
      </c>
      <c r="AM550" s="13" t="str">
        <f>IFERROR(IF(F550=0,"No tiene sello",IF(+(AG550/1000)*9*100/F550&gt;1,"Exceso en grasa trans", "No tiene sello")),"No tiene sello")</f>
        <v>No tiene sello</v>
      </c>
    </row>
    <row r="551" spans="1:39" ht="13.5" customHeight="1" x14ac:dyDescent="0.25">
      <c r="A551" s="33" t="s">
        <v>524</v>
      </c>
      <c r="B551" s="33" t="s">
        <v>525</v>
      </c>
      <c r="C551" s="34"/>
      <c r="D551" s="47">
        <v>100</v>
      </c>
      <c r="E551" s="35">
        <v>82.6</v>
      </c>
      <c r="F551" s="24">
        <v>81</v>
      </c>
      <c r="G551" s="35">
        <v>343</v>
      </c>
      <c r="H551" s="24">
        <v>2.9</v>
      </c>
      <c r="I551" s="24">
        <v>2.8</v>
      </c>
      <c r="J551" s="24">
        <v>11.2</v>
      </c>
      <c r="K551" s="35">
        <v>0</v>
      </c>
      <c r="L551" s="35">
        <v>5.2</v>
      </c>
      <c r="M551" s="24">
        <v>0</v>
      </c>
      <c r="N551" s="35">
        <v>0.5</v>
      </c>
      <c r="O551" s="35">
        <v>89</v>
      </c>
      <c r="P551" s="35">
        <v>0</v>
      </c>
      <c r="Q551" s="35">
        <v>40</v>
      </c>
      <c r="R551" s="35">
        <v>93</v>
      </c>
      <c r="S551" s="35">
        <v>0.3</v>
      </c>
      <c r="T551" s="35">
        <v>8</v>
      </c>
      <c r="U551" s="35">
        <v>103</v>
      </c>
      <c r="V551" s="35">
        <v>0.03</v>
      </c>
      <c r="W551" s="35">
        <v>0.19</v>
      </c>
      <c r="X551" s="35">
        <v>0.1</v>
      </c>
      <c r="Y551" s="35">
        <v>5</v>
      </c>
      <c r="Z551" s="35">
        <v>0.3</v>
      </c>
      <c r="AA551" s="35">
        <v>1</v>
      </c>
      <c r="AB551" s="35">
        <v>24</v>
      </c>
      <c r="AC551" s="35">
        <v>1.2</v>
      </c>
      <c r="AD551" s="35">
        <v>1.6</v>
      </c>
      <c r="AE551" s="35">
        <v>0.7</v>
      </c>
      <c r="AF551" s="35">
        <v>0.1</v>
      </c>
      <c r="AG551" s="35">
        <v>5</v>
      </c>
      <c r="AH551" s="35">
        <v>13</v>
      </c>
      <c r="AI551" s="35">
        <v>100</v>
      </c>
      <c r="AJ551" s="13" t="str">
        <f xml:space="preserve"> IF(AD551&gt;F551,"Exceso en grasa saturada",IFERROR(IF(F551=0,"No tiene sello",IF((AD551*9)*100/F551&gt;10,"Exceso en grasa saturada","No tiene sello")),"No tiene sello"))</f>
        <v>Exceso en grasa saturada</v>
      </c>
      <c r="AK551" s="13">
        <f>IF(AJ551="No tiene sello",0,1)</f>
        <v>1</v>
      </c>
      <c r="AL551" s="13" t="str">
        <f>IF(Q551&gt;=300,"Exceso en sodio",IFERROR(IF(AND(F551=0,Q551&gt;0),"No tiene sello",IF(Q551/F551&gt;1,"Exceso en sodio","No tiene sello")),"No tiene sello"))</f>
        <v>No tiene sello</v>
      </c>
      <c r="AM551" s="13" t="str">
        <f>IFERROR(IF(F551=0,"No tiene sello",IF(+(AG551/1000)*9*100/F551&gt;1,"Exceso en grasa trans", "No tiene sello")),"No tiene sello")</f>
        <v>No tiene sello</v>
      </c>
    </row>
    <row r="552" spans="1:39" ht="13.5" customHeight="1" x14ac:dyDescent="0.25">
      <c r="A552" s="20" t="s">
        <v>522</v>
      </c>
      <c r="B552" s="20" t="s">
        <v>523</v>
      </c>
      <c r="C552" s="21"/>
      <c r="D552" s="46">
        <v>100</v>
      </c>
      <c r="E552" s="23">
        <v>96.8</v>
      </c>
      <c r="F552" s="24">
        <v>12</v>
      </c>
      <c r="G552" s="23">
        <v>51</v>
      </c>
      <c r="H552" s="24">
        <v>0.1</v>
      </c>
      <c r="I552" s="24">
        <v>0</v>
      </c>
      <c r="J552" s="24">
        <v>2.9</v>
      </c>
      <c r="K552" s="23">
        <v>0</v>
      </c>
      <c r="L552" s="23">
        <v>0.28999999999999998</v>
      </c>
      <c r="M552" s="24">
        <v>0</v>
      </c>
      <c r="N552" s="23">
        <v>0.2</v>
      </c>
      <c r="O552" s="25">
        <v>1</v>
      </c>
      <c r="P552" s="25">
        <v>0</v>
      </c>
      <c r="Q552" s="23">
        <v>3</v>
      </c>
      <c r="R552" s="25">
        <v>1</v>
      </c>
      <c r="S552" s="23">
        <v>0</v>
      </c>
      <c r="T552" s="23">
        <v>0</v>
      </c>
      <c r="U552" s="23">
        <v>5</v>
      </c>
      <c r="V552" s="23">
        <v>0</v>
      </c>
      <c r="W552" s="23">
        <v>0.01</v>
      </c>
      <c r="X552" s="23">
        <v>0</v>
      </c>
      <c r="Y552" s="23">
        <v>1</v>
      </c>
      <c r="Z552" s="23">
        <v>0</v>
      </c>
      <c r="AA552" s="25">
        <v>0</v>
      </c>
      <c r="AB552" s="25">
        <v>0</v>
      </c>
      <c r="AC552" s="25">
        <v>0</v>
      </c>
      <c r="AD552" s="23">
        <v>0</v>
      </c>
      <c r="AE552" s="23">
        <v>0</v>
      </c>
      <c r="AF552" s="23">
        <v>0</v>
      </c>
      <c r="AG552" s="23">
        <v>0</v>
      </c>
      <c r="AH552" s="24">
        <v>0</v>
      </c>
      <c r="AI552" s="23">
        <v>100</v>
      </c>
      <c r="AJ552" s="13" t="str">
        <f xml:space="preserve"> IF(AD552&gt;F552,"Exceso en grasa saturada",IFERROR(IF(F552=0,"No tiene sello",IF((AD552*9)*100/F552&gt;10,"Exceso en grasa saturada","No tiene sello")),"No tiene sello"))</f>
        <v>No tiene sello</v>
      </c>
      <c r="AK552" s="13">
        <f>IF(AJ552="No tiene sello",0,1)</f>
        <v>0</v>
      </c>
      <c r="AL552" s="13" t="str">
        <f>IF(Q552&gt;=300,"Exceso en sodio",IFERROR(IF(AND(F552=0,Q552&gt;0),"No tiene sello",IF(Q552/F552&gt;1,"Exceso en sodio","No tiene sello")),"No tiene sello"))</f>
        <v>No tiene sello</v>
      </c>
      <c r="AM552" s="13" t="str">
        <f>IFERROR(IF(F552=0,"No tiene sello",IF(+(AG552/1000)*9*100/F552&gt;1,"Exceso en grasa trans", "No tiene sello")),"No tiene sello")</f>
        <v>No tiene sello</v>
      </c>
    </row>
    <row r="553" spans="1:39" ht="13.5" customHeight="1" x14ac:dyDescent="0.25">
      <c r="A553" s="26" t="s">
        <v>520</v>
      </c>
      <c r="B553" s="26" t="s">
        <v>521</v>
      </c>
      <c r="C553" s="27"/>
      <c r="D553" s="47">
        <v>100</v>
      </c>
      <c r="E553" s="28">
        <v>96</v>
      </c>
      <c r="F553" s="24">
        <v>14</v>
      </c>
      <c r="G553" s="28">
        <v>60</v>
      </c>
      <c r="H553" s="24">
        <v>0.3</v>
      </c>
      <c r="I553" s="24">
        <v>0</v>
      </c>
      <c r="J553" s="24">
        <v>3.2</v>
      </c>
      <c r="K553" s="28">
        <v>3.2</v>
      </c>
      <c r="L553" s="28">
        <v>0.32</v>
      </c>
      <c r="M553" s="24">
        <v>0</v>
      </c>
      <c r="N553" s="28">
        <v>0.5</v>
      </c>
      <c r="O553" s="25">
        <v>12</v>
      </c>
      <c r="P553" s="25">
        <v>0</v>
      </c>
      <c r="Q553" s="28">
        <v>26</v>
      </c>
      <c r="R553" s="25">
        <v>5</v>
      </c>
      <c r="S553" s="28">
        <v>0</v>
      </c>
      <c r="T553" s="28">
        <v>6</v>
      </c>
      <c r="U553" s="28">
        <v>164</v>
      </c>
      <c r="V553" s="28">
        <v>0.02</v>
      </c>
      <c r="W553" s="28">
        <v>0</v>
      </c>
      <c r="X553" s="28">
        <v>0</v>
      </c>
      <c r="Y553" s="28">
        <v>0</v>
      </c>
      <c r="Z553" s="28">
        <v>0</v>
      </c>
      <c r="AA553" s="25">
        <v>2</v>
      </c>
      <c r="AB553" s="25">
        <v>0</v>
      </c>
      <c r="AC553" s="25">
        <v>0</v>
      </c>
      <c r="AD553" s="28">
        <v>0</v>
      </c>
      <c r="AE553" s="28">
        <v>0</v>
      </c>
      <c r="AF553" s="28">
        <v>0</v>
      </c>
      <c r="AG553" s="28">
        <v>0</v>
      </c>
      <c r="AH553" s="24">
        <v>0</v>
      </c>
      <c r="AI553" s="28">
        <v>100</v>
      </c>
      <c r="AJ553" s="13" t="str">
        <f xml:space="preserve"> IF(AD553&gt;F553,"Exceso en grasa saturada",IFERROR(IF(F553=0,"No tiene sello",IF((AD553*9)*100/F553&gt;10,"Exceso en grasa saturada","No tiene sello")),"No tiene sello"))</f>
        <v>No tiene sello</v>
      </c>
      <c r="AK553" s="13">
        <f>IF(AJ553="No tiene sello",0,1)</f>
        <v>0</v>
      </c>
      <c r="AL553" s="13" t="str">
        <f>IF(Q553&gt;=300,"Exceso en sodio",IFERROR(IF(AND(F553=0,Q553&gt;0),"No tiene sello",IF(Q553/F553&gt;1,"Exceso en sodio","No tiene sello")),"No tiene sello"))</f>
        <v>Exceso en sodio</v>
      </c>
      <c r="AM553" s="13" t="str">
        <f>IFERROR(IF(F553=0,"No tiene sello",IF(+(AG553/1000)*9*100/F553&gt;1,"Exceso en grasa trans", "No tiene sello")),"No tiene sello")</f>
        <v>No tiene sello</v>
      </c>
    </row>
    <row r="554" spans="1:39" ht="13.5" customHeight="1" x14ac:dyDescent="0.25">
      <c r="A554" s="29" t="s">
        <v>518</v>
      </c>
      <c r="B554" s="29" t="s">
        <v>519</v>
      </c>
      <c r="C554" s="30"/>
      <c r="D554" s="46">
        <v>100</v>
      </c>
      <c r="E554" s="31">
        <v>86.5</v>
      </c>
      <c r="F554" s="24">
        <v>59</v>
      </c>
      <c r="G554" s="31">
        <v>249</v>
      </c>
      <c r="H554" s="24">
        <v>1.9</v>
      </c>
      <c r="I554" s="24">
        <v>1</v>
      </c>
      <c r="J554" s="24">
        <v>9.8000000000000007</v>
      </c>
      <c r="K554" s="31">
        <v>8.1999999999999993</v>
      </c>
      <c r="L554" s="31">
        <v>0.98</v>
      </c>
      <c r="M554" s="24">
        <v>1.6</v>
      </c>
      <c r="N554" s="31">
        <v>0.8</v>
      </c>
      <c r="O554" s="25">
        <v>9</v>
      </c>
      <c r="P554" s="25">
        <v>0.6</v>
      </c>
      <c r="Q554" s="31">
        <v>45</v>
      </c>
      <c r="R554" s="31">
        <v>57</v>
      </c>
      <c r="S554" s="31">
        <v>0.5</v>
      </c>
      <c r="T554" s="31">
        <v>23</v>
      </c>
      <c r="U554" s="31">
        <v>53</v>
      </c>
      <c r="V554" s="31">
        <v>0.08</v>
      </c>
      <c r="W554" s="31">
        <v>0.02</v>
      </c>
      <c r="X554" s="31">
        <v>0.1</v>
      </c>
      <c r="Y554" s="31">
        <v>0</v>
      </c>
      <c r="Z554" s="31">
        <v>0</v>
      </c>
      <c r="AA554" s="25">
        <v>0</v>
      </c>
      <c r="AB554" s="25">
        <v>0</v>
      </c>
      <c r="AC554" s="25">
        <v>2</v>
      </c>
      <c r="AD554" s="31">
        <v>0</v>
      </c>
      <c r="AE554" s="31">
        <v>0</v>
      </c>
      <c r="AF554" s="31">
        <v>0</v>
      </c>
      <c r="AG554" s="31">
        <v>0</v>
      </c>
      <c r="AH554" s="24">
        <v>0</v>
      </c>
      <c r="AI554" s="31">
        <v>100</v>
      </c>
      <c r="AJ554" s="13" t="str">
        <f xml:space="preserve"> IF(AD554&gt;F554,"Exceso en grasa saturada",IFERROR(IF(F554=0,"No tiene sello",IF((AD554*9)*100/F554&gt;10,"Exceso en grasa saturada","No tiene sello")),"No tiene sello"))</f>
        <v>No tiene sello</v>
      </c>
      <c r="AK554" s="13">
        <f>IF(AJ554="No tiene sello",0,1)</f>
        <v>0</v>
      </c>
      <c r="AL554" s="13" t="str">
        <f>IF(Q554&gt;=300,"Exceso en sodio",IFERROR(IF(AND(F554=0,Q554&gt;0),"No tiene sello",IF(Q554/F554&gt;1,"Exceso en sodio","No tiene sello")),"No tiene sello"))</f>
        <v>No tiene sello</v>
      </c>
      <c r="AM554" s="13" t="str">
        <f>IFERROR(IF(F554=0,"No tiene sello",IF(+(AG554/1000)*9*100/F554&gt;1,"Exceso en grasa trans", "No tiene sello")),"No tiene sello")</f>
        <v>No tiene sello</v>
      </c>
    </row>
    <row r="555" spans="1:39" ht="13.5" customHeight="1" x14ac:dyDescent="0.25">
      <c r="A555" s="33" t="s">
        <v>516</v>
      </c>
      <c r="B555" s="33" t="s">
        <v>517</v>
      </c>
      <c r="C555" s="34"/>
      <c r="D555" s="47">
        <v>100</v>
      </c>
      <c r="E555" s="35">
        <v>84.8</v>
      </c>
      <c r="F555" s="24">
        <v>69</v>
      </c>
      <c r="G555" s="35">
        <v>289</v>
      </c>
      <c r="H555" s="24">
        <v>2.9</v>
      </c>
      <c r="I555" s="24">
        <v>1.4</v>
      </c>
      <c r="J555" s="24">
        <v>10.3</v>
      </c>
      <c r="K555" s="35">
        <v>8.5</v>
      </c>
      <c r="L555" s="35">
        <v>1.03</v>
      </c>
      <c r="M555" s="24">
        <v>1.8</v>
      </c>
      <c r="N555" s="35">
        <v>0.7</v>
      </c>
      <c r="O555" s="25">
        <v>56</v>
      </c>
      <c r="P555" s="25">
        <v>0.5</v>
      </c>
      <c r="Q555" s="35">
        <v>57</v>
      </c>
      <c r="R555" s="25">
        <v>93</v>
      </c>
      <c r="S555" s="35">
        <v>0.5</v>
      </c>
      <c r="T555" s="35">
        <v>26</v>
      </c>
      <c r="U555" s="35">
        <v>63</v>
      </c>
      <c r="V555" s="35">
        <v>0.16</v>
      </c>
      <c r="W555" s="35">
        <v>0.28000000000000003</v>
      </c>
      <c r="X555" s="35">
        <v>3</v>
      </c>
      <c r="Y555" s="35">
        <v>44</v>
      </c>
      <c r="Z555" s="35">
        <v>0</v>
      </c>
      <c r="AA555" s="25">
        <v>0</v>
      </c>
      <c r="AB555" s="25">
        <v>130</v>
      </c>
      <c r="AC555" s="25">
        <v>2</v>
      </c>
      <c r="AD555" s="35">
        <v>0</v>
      </c>
      <c r="AE555" s="35">
        <v>0</v>
      </c>
      <c r="AF555" s="35">
        <v>0</v>
      </c>
      <c r="AG555" s="35">
        <v>0</v>
      </c>
      <c r="AH555" s="24">
        <v>0</v>
      </c>
      <c r="AI555" s="35">
        <v>100</v>
      </c>
      <c r="AJ555" s="13" t="str">
        <f xml:space="preserve"> IF(AD555&gt;F555,"Exceso en grasa saturada",IFERROR(IF(F555=0,"No tiene sello",IF((AD555*9)*100/F555&gt;10,"Exceso en grasa saturada","No tiene sello")),"No tiene sello"))</f>
        <v>No tiene sello</v>
      </c>
      <c r="AK555" s="13">
        <f>IF(AJ555="No tiene sello",0,1)</f>
        <v>0</v>
      </c>
      <c r="AL555" s="13" t="str">
        <f>IF(Q555&gt;=300,"Exceso en sodio",IFERROR(IF(AND(F555=0,Q555&gt;0),"No tiene sello",IF(Q555/F555&gt;1,"Exceso en sodio","No tiene sello")),"No tiene sello"))</f>
        <v>No tiene sello</v>
      </c>
      <c r="AM555" s="13" t="str">
        <f>IFERROR(IF(F555=0,"No tiene sello",IF(+(AG555/1000)*9*100/F555&gt;1,"Exceso en grasa trans", "No tiene sello")),"No tiene sello")</f>
        <v>No tiene sello</v>
      </c>
    </row>
    <row r="556" spans="1:39" ht="13.5" customHeight="1" x14ac:dyDescent="0.25">
      <c r="A556" s="29" t="s">
        <v>514</v>
      </c>
      <c r="B556" s="29" t="s">
        <v>515</v>
      </c>
      <c r="C556" s="30"/>
      <c r="D556" s="46">
        <v>100</v>
      </c>
      <c r="E556" s="31">
        <v>98.5</v>
      </c>
      <c r="F556" s="24">
        <v>5</v>
      </c>
      <c r="G556" s="31">
        <v>22</v>
      </c>
      <c r="H556" s="24">
        <v>0.1</v>
      </c>
      <c r="I556" s="24">
        <v>0.1</v>
      </c>
      <c r="J556" s="24">
        <v>1</v>
      </c>
      <c r="K556" s="31">
        <v>1</v>
      </c>
      <c r="L556" s="31">
        <v>0.1</v>
      </c>
      <c r="M556" s="24">
        <v>0</v>
      </c>
      <c r="N556" s="31">
        <v>0.3</v>
      </c>
      <c r="O556" s="31">
        <v>5</v>
      </c>
      <c r="P556" s="25">
        <v>0.2</v>
      </c>
      <c r="Q556" s="31">
        <v>2</v>
      </c>
      <c r="R556" s="31">
        <v>5</v>
      </c>
      <c r="S556" s="31">
        <v>0</v>
      </c>
      <c r="T556" s="31">
        <v>3</v>
      </c>
      <c r="U556" s="31">
        <v>49</v>
      </c>
      <c r="V556" s="31">
        <v>0.01</v>
      </c>
      <c r="W556" s="31">
        <v>0.01</v>
      </c>
      <c r="X556" s="31">
        <v>0.9</v>
      </c>
      <c r="Y556" s="31">
        <v>2</v>
      </c>
      <c r="Z556" s="31">
        <v>0</v>
      </c>
      <c r="AA556" s="31">
        <v>0</v>
      </c>
      <c r="AB556" s="31">
        <v>0</v>
      </c>
      <c r="AC556" s="31">
        <v>0</v>
      </c>
      <c r="AD556" s="31">
        <v>0</v>
      </c>
      <c r="AE556" s="31">
        <v>0</v>
      </c>
      <c r="AF556" s="31">
        <v>0</v>
      </c>
      <c r="AG556" s="31">
        <v>0</v>
      </c>
      <c r="AH556" s="24">
        <v>0</v>
      </c>
      <c r="AI556" s="31">
        <v>100</v>
      </c>
      <c r="AJ556" s="13" t="str">
        <f xml:space="preserve"> IF(AD556&gt;F556,"Exceso en grasa saturada",IFERROR(IF(F556=0,"No tiene sello",IF((AD556*9)*100/F556&gt;10,"Exceso en grasa saturada","No tiene sello")),"No tiene sello"))</f>
        <v>No tiene sello</v>
      </c>
      <c r="AK556" s="13">
        <f>IF(AJ556="No tiene sello",0,1)</f>
        <v>0</v>
      </c>
      <c r="AL556" s="13" t="str">
        <f>IF(Q556&gt;=300,"Exceso en sodio",IFERROR(IF(AND(F556=0,Q556&gt;0),"No tiene sello",IF(Q556/F556&gt;1,"Exceso en sodio","No tiene sello")),"No tiene sello"))</f>
        <v>No tiene sello</v>
      </c>
      <c r="AM556" s="13" t="str">
        <f>IFERROR(IF(F556=0,"No tiene sello",IF(+(AG556/1000)*9*100/F556&gt;1,"Exceso en grasa trans", "No tiene sello")),"No tiene sello")</f>
        <v>No tiene sello</v>
      </c>
    </row>
    <row r="557" spans="1:39" ht="13.5" customHeight="1" x14ac:dyDescent="0.25">
      <c r="A557" s="26" t="s">
        <v>512</v>
      </c>
      <c r="B557" s="26" t="s">
        <v>513</v>
      </c>
      <c r="C557" s="27"/>
      <c r="D557" s="47">
        <v>100</v>
      </c>
      <c r="E557" s="28">
        <v>93.3</v>
      </c>
      <c r="F557" s="24">
        <v>38</v>
      </c>
      <c r="G557" s="28">
        <v>158</v>
      </c>
      <c r="H557" s="24">
        <v>0.4</v>
      </c>
      <c r="I557" s="24">
        <v>0</v>
      </c>
      <c r="J557" s="24">
        <v>2.1</v>
      </c>
      <c r="K557" s="28">
        <v>2.1</v>
      </c>
      <c r="L557" s="28">
        <v>0.21</v>
      </c>
      <c r="M557" s="24">
        <v>0</v>
      </c>
      <c r="N557" s="28">
        <v>0.2</v>
      </c>
      <c r="O557" s="25">
        <v>0</v>
      </c>
      <c r="P557" s="25">
        <v>0.1</v>
      </c>
      <c r="Q557" s="28">
        <v>4</v>
      </c>
      <c r="R557" s="25">
        <v>15</v>
      </c>
      <c r="S557" s="28">
        <v>0</v>
      </c>
      <c r="T557" s="28">
        <v>6</v>
      </c>
      <c r="U557" s="28">
        <v>30</v>
      </c>
      <c r="V557" s="28">
        <v>0</v>
      </c>
      <c r="W557" s="28">
        <v>0.02</v>
      </c>
      <c r="X557" s="28">
        <v>0.4</v>
      </c>
      <c r="Y557" s="28">
        <v>5</v>
      </c>
      <c r="Z557" s="28">
        <v>0.04</v>
      </c>
      <c r="AA557" s="25">
        <v>0</v>
      </c>
      <c r="AB557" s="25">
        <v>0</v>
      </c>
      <c r="AC557" s="25">
        <v>0</v>
      </c>
      <c r="AD557" s="28">
        <v>0</v>
      </c>
      <c r="AE557" s="28">
        <v>0</v>
      </c>
      <c r="AF557" s="28">
        <v>0</v>
      </c>
      <c r="AG557" s="28">
        <v>0</v>
      </c>
      <c r="AH557" s="24">
        <v>0</v>
      </c>
      <c r="AI557" s="28">
        <v>100</v>
      </c>
      <c r="AJ557" s="13" t="str">
        <f xml:space="preserve"> IF(AD557&gt;F557,"Exceso en grasa saturada",IFERROR(IF(F557=0,"No tiene sello",IF((AD557*9)*100/F557&gt;10,"Exceso en grasa saturada","No tiene sello")),"No tiene sello"))</f>
        <v>No tiene sello</v>
      </c>
      <c r="AK557" s="13">
        <f>IF(AJ557="No tiene sello",0,1)</f>
        <v>0</v>
      </c>
      <c r="AL557" s="13" t="str">
        <f>IF(Q557&gt;=300,"Exceso en sodio",IFERROR(IF(AND(F557=0,Q557&gt;0),"No tiene sello",IF(Q557/F557&gt;1,"Exceso en sodio","No tiene sello")),"No tiene sello"))</f>
        <v>No tiene sello</v>
      </c>
      <c r="AM557" s="13" t="str">
        <f>IFERROR(IF(F557=0,"No tiene sello",IF(+(AG557/1000)*9*100/F557&gt;1,"Exceso en grasa trans", "No tiene sello")),"No tiene sello")</f>
        <v>No tiene sello</v>
      </c>
    </row>
    <row r="558" spans="1:39" ht="13.5" customHeight="1" x14ac:dyDescent="0.25">
      <c r="A558" s="20" t="s">
        <v>510</v>
      </c>
      <c r="B558" s="20" t="s">
        <v>511</v>
      </c>
      <c r="C558" s="21"/>
      <c r="D558" s="46">
        <v>100</v>
      </c>
      <c r="E558" s="23">
        <v>83</v>
      </c>
      <c r="F558" s="24">
        <v>78</v>
      </c>
      <c r="G558" s="23">
        <v>330</v>
      </c>
      <c r="H558" s="24">
        <v>0.6</v>
      </c>
      <c r="I558" s="24">
        <v>0</v>
      </c>
      <c r="J558" s="24">
        <v>12</v>
      </c>
      <c r="K558" s="23">
        <v>0</v>
      </c>
      <c r="L558" s="23">
        <v>1.2</v>
      </c>
      <c r="M558" s="24">
        <v>0</v>
      </c>
      <c r="N558" s="23">
        <v>0.4</v>
      </c>
      <c r="O558" s="25">
        <v>25</v>
      </c>
      <c r="P558" s="25">
        <v>0.7</v>
      </c>
      <c r="Q558" s="23">
        <v>0</v>
      </c>
      <c r="R558" s="25">
        <v>35</v>
      </c>
      <c r="S558" s="23">
        <v>0</v>
      </c>
      <c r="T558" s="23">
        <v>0</v>
      </c>
      <c r="U558" s="23">
        <v>0</v>
      </c>
      <c r="V558" s="23">
        <v>0.03</v>
      </c>
      <c r="W558" s="23">
        <v>0.03</v>
      </c>
      <c r="X558" s="23">
        <v>0.1</v>
      </c>
      <c r="Y558" s="23">
        <v>0</v>
      </c>
      <c r="Z558" s="23">
        <v>0</v>
      </c>
      <c r="AA558" s="25">
        <v>0</v>
      </c>
      <c r="AB558" s="25">
        <v>0</v>
      </c>
      <c r="AC558" s="25">
        <v>0</v>
      </c>
      <c r="AD558" s="23">
        <v>0</v>
      </c>
      <c r="AE558" s="23">
        <v>0</v>
      </c>
      <c r="AF558" s="23">
        <v>0</v>
      </c>
      <c r="AG558" s="23">
        <v>0</v>
      </c>
      <c r="AH558" s="24">
        <v>0</v>
      </c>
      <c r="AI558" s="23">
        <v>100</v>
      </c>
      <c r="AJ558" s="13" t="str">
        <f xml:space="preserve"> IF(AD558&gt;F558,"Exceso en grasa saturada",IFERROR(IF(F558=0,"No tiene sello",IF((AD558*9)*100/F558&gt;10,"Exceso en grasa saturada","No tiene sello")),"No tiene sello"))</f>
        <v>No tiene sello</v>
      </c>
      <c r="AK558" s="13">
        <f>IF(AJ558="No tiene sello",0,1)</f>
        <v>0</v>
      </c>
      <c r="AL558" s="13" t="str">
        <f>IF(Q558&gt;=300,"Exceso en sodio",IFERROR(IF(AND(F558=0,Q558&gt;0),"No tiene sello",IF(Q558/F558&gt;1,"Exceso en sodio","No tiene sello")),"No tiene sello"))</f>
        <v>No tiene sello</v>
      </c>
      <c r="AM558" s="13" t="str">
        <f>IFERROR(IF(F558=0,"No tiene sello",IF(+(AG558/1000)*9*100/F558&gt;1,"Exceso en grasa trans", "No tiene sello")),"No tiene sello")</f>
        <v>No tiene sello</v>
      </c>
    </row>
    <row r="559" spans="1:39" ht="13.5" customHeight="1" x14ac:dyDescent="0.25">
      <c r="A559" s="26" t="s">
        <v>508</v>
      </c>
      <c r="B559" s="26" t="s">
        <v>509</v>
      </c>
      <c r="C559" s="27"/>
      <c r="D559" s="47">
        <v>100</v>
      </c>
      <c r="E559" s="28">
        <v>89</v>
      </c>
      <c r="F559" s="24">
        <v>44</v>
      </c>
      <c r="G559" s="28">
        <v>185</v>
      </c>
      <c r="H559" s="24">
        <v>0</v>
      </c>
      <c r="I559" s="24">
        <v>0</v>
      </c>
      <c r="J559" s="24">
        <v>10.9</v>
      </c>
      <c r="K559" s="28">
        <v>10.9</v>
      </c>
      <c r="L559" s="28">
        <v>8.7200000000000006</v>
      </c>
      <c r="M559" s="24">
        <v>0</v>
      </c>
      <c r="N559" s="28">
        <v>0.1</v>
      </c>
      <c r="O559" s="25">
        <v>0</v>
      </c>
      <c r="P559" s="25">
        <v>0.1</v>
      </c>
      <c r="Q559" s="28">
        <v>6</v>
      </c>
      <c r="R559" s="25">
        <v>13</v>
      </c>
      <c r="S559" s="28">
        <v>0</v>
      </c>
      <c r="T559" s="28">
        <v>1</v>
      </c>
      <c r="U559" s="28">
        <v>1</v>
      </c>
      <c r="V559" s="28">
        <v>0</v>
      </c>
      <c r="W559" s="28">
        <v>0</v>
      </c>
      <c r="X559" s="28">
        <v>0</v>
      </c>
      <c r="Y559" s="28">
        <v>0</v>
      </c>
      <c r="Z559" s="28">
        <v>0</v>
      </c>
      <c r="AA559" s="25">
        <v>0</v>
      </c>
      <c r="AB559" s="25">
        <v>0</v>
      </c>
      <c r="AC559" s="25">
        <v>0</v>
      </c>
      <c r="AD559" s="28">
        <v>0</v>
      </c>
      <c r="AE559" s="28">
        <v>0</v>
      </c>
      <c r="AF559" s="28">
        <v>0</v>
      </c>
      <c r="AG559" s="28">
        <v>0</v>
      </c>
      <c r="AH559" s="24">
        <v>0</v>
      </c>
      <c r="AI559" s="28">
        <v>100</v>
      </c>
      <c r="AJ559" s="13" t="str">
        <f xml:space="preserve"> IF(AD559&gt;F559,"Exceso en grasa saturada",IFERROR(IF(F559=0,"No tiene sello",IF((AD559*9)*100/F559&gt;10,"Exceso en grasa saturada","No tiene sello")),"No tiene sello"))</f>
        <v>No tiene sello</v>
      </c>
      <c r="AK559" s="13">
        <f>IF(AJ559="No tiene sello",0,1)</f>
        <v>0</v>
      </c>
      <c r="AL559" s="13" t="str">
        <f>IF(Q559&gt;=300,"Exceso en sodio",IFERROR(IF(AND(F559=0,Q559&gt;0),"No tiene sello",IF(Q559/F559&gt;1,"Exceso en sodio","No tiene sello")),"No tiene sello"))</f>
        <v>No tiene sello</v>
      </c>
      <c r="AM559" s="13" t="str">
        <f>IFERROR(IF(F559=0,"No tiene sello",IF(+(AG559/1000)*9*100/F559&gt;1,"Exceso en grasa trans", "No tiene sello")),"No tiene sello")</f>
        <v>No tiene sello</v>
      </c>
    </row>
    <row r="560" spans="1:39" ht="13.5" customHeight="1" x14ac:dyDescent="0.25">
      <c r="A560" s="20" t="s">
        <v>506</v>
      </c>
      <c r="B560" s="20" t="s">
        <v>507</v>
      </c>
      <c r="C560" s="21"/>
      <c r="D560" s="46">
        <v>100</v>
      </c>
      <c r="E560" s="23">
        <v>93.4</v>
      </c>
      <c r="F560" s="24">
        <v>33</v>
      </c>
      <c r="G560" s="23">
        <v>140</v>
      </c>
      <c r="H560" s="24">
        <v>0.1</v>
      </c>
      <c r="I560" s="24">
        <v>0</v>
      </c>
      <c r="J560" s="24">
        <v>3</v>
      </c>
      <c r="K560" s="23">
        <v>0</v>
      </c>
      <c r="L560" s="23">
        <v>0.3</v>
      </c>
      <c r="M560" s="24">
        <v>0</v>
      </c>
      <c r="N560" s="23">
        <v>0.5</v>
      </c>
      <c r="O560" s="25">
        <v>0</v>
      </c>
      <c r="P560" s="25">
        <v>1.2</v>
      </c>
      <c r="Q560" s="23">
        <v>0</v>
      </c>
      <c r="R560" s="25">
        <v>0</v>
      </c>
      <c r="S560" s="23">
        <v>0</v>
      </c>
      <c r="T560" s="23">
        <v>0</v>
      </c>
      <c r="U560" s="23">
        <v>0</v>
      </c>
      <c r="V560" s="23">
        <v>0.01</v>
      </c>
      <c r="W560" s="23">
        <v>0.02</v>
      </c>
      <c r="X560" s="23">
        <v>0.1</v>
      </c>
      <c r="Y560" s="23">
        <v>0</v>
      </c>
      <c r="Z560" s="23">
        <v>0</v>
      </c>
      <c r="AA560" s="25">
        <v>0</v>
      </c>
      <c r="AB560" s="25">
        <v>0</v>
      </c>
      <c r="AC560" s="25">
        <v>0</v>
      </c>
      <c r="AD560" s="23">
        <v>0</v>
      </c>
      <c r="AE560" s="23">
        <v>0</v>
      </c>
      <c r="AF560" s="23">
        <v>0</v>
      </c>
      <c r="AG560" s="23">
        <v>0</v>
      </c>
      <c r="AH560" s="24">
        <v>0</v>
      </c>
      <c r="AI560" s="23">
        <v>100</v>
      </c>
      <c r="AJ560" s="13" t="str">
        <f xml:space="preserve"> IF(AD560&gt;F560,"Exceso en grasa saturada",IFERROR(IF(F560=0,"No tiene sello",IF((AD560*9)*100/F560&gt;10,"Exceso en grasa saturada","No tiene sello")),"No tiene sello"))</f>
        <v>No tiene sello</v>
      </c>
      <c r="AK560" s="13">
        <f>IF(AJ560="No tiene sello",0,1)</f>
        <v>0</v>
      </c>
      <c r="AL560" s="13" t="str">
        <f>IF(Q560&gt;=300,"Exceso en sodio",IFERROR(IF(AND(F560=0,Q560&gt;0),"No tiene sello",IF(Q560/F560&gt;1,"Exceso en sodio","No tiene sello")),"No tiene sello"))</f>
        <v>No tiene sello</v>
      </c>
      <c r="AM560" s="13" t="str">
        <f>IFERROR(IF(F560=0,"No tiene sello",IF(+(AG560/1000)*9*100/F560&gt;1,"Exceso en grasa trans", "No tiene sello")),"No tiene sello")</f>
        <v>No tiene sello</v>
      </c>
    </row>
    <row r="561" spans="1:39" ht="13.5" customHeight="1" x14ac:dyDescent="0.25">
      <c r="A561" s="26" t="s">
        <v>504</v>
      </c>
      <c r="B561" s="26" t="s">
        <v>505</v>
      </c>
      <c r="C561" s="27"/>
      <c r="D561" s="47">
        <v>100</v>
      </c>
      <c r="E561" s="28">
        <v>84.6</v>
      </c>
      <c r="F561" s="24">
        <v>62</v>
      </c>
      <c r="G561" s="28">
        <v>261</v>
      </c>
      <c r="H561" s="24">
        <v>0.4</v>
      </c>
      <c r="I561" s="24">
        <v>0</v>
      </c>
      <c r="J561" s="24">
        <v>14.7</v>
      </c>
      <c r="K561" s="28">
        <v>14.1</v>
      </c>
      <c r="L561" s="28">
        <v>11.76</v>
      </c>
      <c r="M561" s="24">
        <v>0.6</v>
      </c>
      <c r="N561" s="28">
        <v>0.3</v>
      </c>
      <c r="O561" s="25">
        <v>7</v>
      </c>
      <c r="P561" s="25">
        <v>0.4</v>
      </c>
      <c r="Q561" s="28">
        <v>3</v>
      </c>
      <c r="R561" s="25">
        <v>9</v>
      </c>
      <c r="S561" s="28">
        <v>0.1</v>
      </c>
      <c r="T561" s="28">
        <v>5</v>
      </c>
      <c r="U561" s="28">
        <v>115</v>
      </c>
      <c r="V561" s="28">
        <v>0.01</v>
      </c>
      <c r="W561" s="28">
        <v>0.01</v>
      </c>
      <c r="X561" s="28">
        <v>0.2</v>
      </c>
      <c r="Y561" s="28">
        <v>1</v>
      </c>
      <c r="Z561" s="28">
        <v>0</v>
      </c>
      <c r="AA561" s="25">
        <v>1</v>
      </c>
      <c r="AB561" s="25">
        <v>77</v>
      </c>
      <c r="AC561" s="25">
        <v>0</v>
      </c>
      <c r="AD561" s="28">
        <v>0</v>
      </c>
      <c r="AE561" s="28">
        <v>0</v>
      </c>
      <c r="AF561" s="28">
        <v>0</v>
      </c>
      <c r="AG561" s="28">
        <v>0</v>
      </c>
      <c r="AH561" s="24">
        <v>0</v>
      </c>
      <c r="AI561" s="28">
        <v>100</v>
      </c>
      <c r="AJ561" s="13" t="str">
        <f xml:space="preserve"> IF(AD561&gt;F561,"Exceso en grasa saturada",IFERROR(IF(F561=0,"No tiene sello",IF((AD561*9)*100/F561&gt;10,"Exceso en grasa saturada","No tiene sello")),"No tiene sello"))</f>
        <v>No tiene sello</v>
      </c>
      <c r="AK561" s="13">
        <f>IF(AJ561="No tiene sello",0,1)</f>
        <v>0</v>
      </c>
      <c r="AL561" s="13" t="str">
        <f>IF(Q561&gt;=300,"Exceso en sodio",IFERROR(IF(AND(F561=0,Q561&gt;0),"No tiene sello",IF(Q561/F561&gt;1,"Exceso en sodio","No tiene sello")),"No tiene sello"))</f>
        <v>No tiene sello</v>
      </c>
      <c r="AM561" s="13" t="str">
        <f>IFERROR(IF(F561=0,"No tiene sello",IF(+(AG561/1000)*9*100/F561&gt;1,"Exceso en grasa trans", "No tiene sello")),"No tiene sello")</f>
        <v>No tiene sello</v>
      </c>
    </row>
    <row r="562" spans="1:39" ht="13.5" customHeight="1" x14ac:dyDescent="0.25">
      <c r="A562" s="20" t="s">
        <v>502</v>
      </c>
      <c r="B562" s="20" t="s">
        <v>503</v>
      </c>
      <c r="C562" s="21"/>
      <c r="D562" s="46">
        <v>100</v>
      </c>
      <c r="E562" s="23">
        <v>89.2</v>
      </c>
      <c r="F562" s="24">
        <v>44</v>
      </c>
      <c r="G562" s="23">
        <v>186</v>
      </c>
      <c r="H562" s="24">
        <v>0.2</v>
      </c>
      <c r="I562" s="24">
        <v>0</v>
      </c>
      <c r="J562" s="24">
        <v>10.4</v>
      </c>
      <c r="K562" s="23">
        <v>9.9</v>
      </c>
      <c r="L562" s="23">
        <v>8.32</v>
      </c>
      <c r="M562" s="24">
        <v>0.6</v>
      </c>
      <c r="N562" s="23">
        <v>0.2</v>
      </c>
      <c r="O562" s="25">
        <v>5</v>
      </c>
      <c r="P562" s="25">
        <v>0.2</v>
      </c>
      <c r="Q562" s="23">
        <v>7</v>
      </c>
      <c r="R562" s="25">
        <v>6</v>
      </c>
      <c r="S562" s="23">
        <v>0.1</v>
      </c>
      <c r="T562" s="23">
        <v>4</v>
      </c>
      <c r="U562" s="23">
        <v>40</v>
      </c>
      <c r="V562" s="23">
        <v>0</v>
      </c>
      <c r="W562" s="23">
        <v>0.01</v>
      </c>
      <c r="X562" s="23">
        <v>0.3</v>
      </c>
      <c r="Y562" s="23">
        <v>1</v>
      </c>
      <c r="Z562" s="23">
        <v>0</v>
      </c>
      <c r="AA562" s="25">
        <v>5</v>
      </c>
      <c r="AB562" s="25">
        <v>20</v>
      </c>
      <c r="AC562" s="25">
        <v>0</v>
      </c>
      <c r="AD562" s="23">
        <v>0</v>
      </c>
      <c r="AE562" s="23">
        <v>0</v>
      </c>
      <c r="AF562" s="23">
        <v>0</v>
      </c>
      <c r="AG562" s="23">
        <v>0</v>
      </c>
      <c r="AH562" s="24">
        <v>0</v>
      </c>
      <c r="AI562" s="23">
        <v>100</v>
      </c>
      <c r="AJ562" s="13" t="str">
        <f xml:space="preserve"> IF(AD562&gt;F562,"Exceso en grasa saturada",IFERROR(IF(F562=0,"No tiene sello",IF((AD562*9)*100/F562&gt;10,"Exceso en grasa saturada","No tiene sello")),"No tiene sello"))</f>
        <v>No tiene sello</v>
      </c>
      <c r="AK562" s="13">
        <f>IF(AJ562="No tiene sello",0,1)</f>
        <v>0</v>
      </c>
      <c r="AL562" s="13" t="str">
        <f>IF(Q562&gt;=300,"Exceso en sodio",IFERROR(IF(AND(F562=0,Q562&gt;0),"No tiene sello",IF(Q562/F562&gt;1,"Exceso en sodio","No tiene sello")),"No tiene sello"))</f>
        <v>No tiene sello</v>
      </c>
      <c r="AM562" s="13" t="str">
        <f>IFERROR(IF(F562=0,"No tiene sello",IF(+(AG562/1000)*9*100/F562&gt;1,"Exceso en grasa trans", "No tiene sello")),"No tiene sello")</f>
        <v>No tiene sello</v>
      </c>
    </row>
    <row r="563" spans="1:39" ht="13.5" customHeight="1" x14ac:dyDescent="0.25">
      <c r="A563" s="26" t="s">
        <v>500</v>
      </c>
      <c r="B563" s="26" t="s">
        <v>501</v>
      </c>
      <c r="C563" s="27"/>
      <c r="D563" s="47">
        <v>100</v>
      </c>
      <c r="E563" s="28">
        <v>88.5</v>
      </c>
      <c r="F563" s="24">
        <v>48</v>
      </c>
      <c r="G563" s="28">
        <v>202</v>
      </c>
      <c r="H563" s="24">
        <v>0.1</v>
      </c>
      <c r="I563" s="24">
        <v>0</v>
      </c>
      <c r="J563" s="24">
        <v>11.3</v>
      </c>
      <c r="K563" s="28">
        <v>10.3</v>
      </c>
      <c r="L563" s="28">
        <v>9.0399999999999991</v>
      </c>
      <c r="M563" s="24">
        <v>1</v>
      </c>
      <c r="N563" s="28">
        <v>0.2</v>
      </c>
      <c r="O563" s="25">
        <v>11</v>
      </c>
      <c r="P563" s="25">
        <v>0.4</v>
      </c>
      <c r="Q563" s="28">
        <v>7</v>
      </c>
      <c r="R563" s="25">
        <v>2</v>
      </c>
      <c r="S563" s="28">
        <v>0</v>
      </c>
      <c r="T563" s="28">
        <v>3</v>
      </c>
      <c r="U563" s="28">
        <v>38</v>
      </c>
      <c r="V563" s="28">
        <v>0</v>
      </c>
      <c r="W563" s="28">
        <v>0</v>
      </c>
      <c r="X563" s="28">
        <v>0.2</v>
      </c>
      <c r="Y563" s="28">
        <v>3</v>
      </c>
      <c r="Z563" s="28">
        <v>0</v>
      </c>
      <c r="AA563" s="25">
        <v>20</v>
      </c>
      <c r="AB563" s="25">
        <v>0</v>
      </c>
      <c r="AC563" s="25">
        <v>0</v>
      </c>
      <c r="AD563" s="28">
        <v>0</v>
      </c>
      <c r="AE563" s="28">
        <v>0</v>
      </c>
      <c r="AF563" s="28">
        <v>0</v>
      </c>
      <c r="AG563" s="28">
        <v>0</v>
      </c>
      <c r="AH563" s="24">
        <v>0</v>
      </c>
      <c r="AI563" s="28">
        <v>100</v>
      </c>
      <c r="AJ563" s="13" t="str">
        <f xml:space="preserve"> IF(AD563&gt;F563,"Exceso en grasa saturada",IFERROR(IF(F563=0,"No tiene sello",IF((AD563*9)*100/F563&gt;10,"Exceso en grasa saturada","No tiene sello")),"No tiene sello"))</f>
        <v>No tiene sello</v>
      </c>
      <c r="AK563" s="13">
        <f>IF(AJ563="No tiene sello",0,1)</f>
        <v>0</v>
      </c>
      <c r="AL563" s="13" t="str">
        <f>IF(Q563&gt;=300,"Exceso en sodio",IFERROR(IF(AND(F563=0,Q563&gt;0),"No tiene sello",IF(Q563/F563&gt;1,"Exceso en sodio","No tiene sello")),"No tiene sello"))</f>
        <v>No tiene sello</v>
      </c>
      <c r="AM563" s="13" t="str">
        <f>IFERROR(IF(F563=0,"No tiene sello",IF(+(AG563/1000)*9*100/F563&gt;1,"Exceso en grasa trans", "No tiene sello")),"No tiene sello")</f>
        <v>No tiene sello</v>
      </c>
    </row>
    <row r="564" spans="1:39" ht="13.5" customHeight="1" x14ac:dyDescent="0.25">
      <c r="A564" s="20" t="s">
        <v>498</v>
      </c>
      <c r="B564" s="20" t="s">
        <v>499</v>
      </c>
      <c r="C564" s="21"/>
      <c r="D564" s="46">
        <v>100</v>
      </c>
      <c r="E564" s="23">
        <v>88.4</v>
      </c>
      <c r="F564" s="24">
        <v>47</v>
      </c>
      <c r="G564" s="23">
        <v>198</v>
      </c>
      <c r="H564" s="24">
        <v>0.2</v>
      </c>
      <c r="I564" s="24">
        <v>0</v>
      </c>
      <c r="J564" s="24">
        <v>11.3</v>
      </c>
      <c r="K564" s="23">
        <v>11.1</v>
      </c>
      <c r="L564" s="23">
        <v>9.0399999999999991</v>
      </c>
      <c r="M564" s="24">
        <v>0.3</v>
      </c>
      <c r="N564" s="23">
        <v>0.1</v>
      </c>
      <c r="O564" s="25">
        <v>17</v>
      </c>
      <c r="P564" s="25">
        <v>0.3</v>
      </c>
      <c r="Q564" s="23">
        <v>5</v>
      </c>
      <c r="R564" s="25">
        <v>3</v>
      </c>
      <c r="S564" s="23">
        <v>0</v>
      </c>
      <c r="T564" s="23">
        <v>3</v>
      </c>
      <c r="U564" s="23">
        <v>23</v>
      </c>
      <c r="V564" s="23">
        <v>0</v>
      </c>
      <c r="W564" s="23">
        <v>0</v>
      </c>
      <c r="X564" s="23">
        <v>0.1</v>
      </c>
      <c r="Y564" s="23">
        <v>6</v>
      </c>
      <c r="Z564" s="23">
        <v>0</v>
      </c>
      <c r="AA564" s="25">
        <v>15</v>
      </c>
      <c r="AB564" s="25">
        <v>35</v>
      </c>
      <c r="AC564" s="25">
        <v>0</v>
      </c>
      <c r="AD564" s="23">
        <v>0</v>
      </c>
      <c r="AE564" s="23">
        <v>0</v>
      </c>
      <c r="AF564" s="23">
        <v>0</v>
      </c>
      <c r="AG564" s="23">
        <v>0</v>
      </c>
      <c r="AH564" s="24">
        <v>0</v>
      </c>
      <c r="AI564" s="23">
        <v>100</v>
      </c>
      <c r="AJ564" s="13" t="str">
        <f xml:space="preserve"> IF(AD564&gt;F564,"Exceso en grasa saturada",IFERROR(IF(F564=0,"No tiene sello",IF((AD564*9)*100/F564&gt;10,"Exceso en grasa saturada","No tiene sello")),"No tiene sello"))</f>
        <v>No tiene sello</v>
      </c>
      <c r="AK564" s="13">
        <f>IF(AJ564="No tiene sello",0,1)</f>
        <v>0</v>
      </c>
      <c r="AL564" s="13" t="str">
        <f>IF(Q564&gt;=300,"Exceso en sodio",IFERROR(IF(AND(F564=0,Q564&gt;0),"No tiene sello",IF(Q564/F564&gt;1,"Exceso en sodio","No tiene sello")),"No tiene sello"))</f>
        <v>No tiene sello</v>
      </c>
      <c r="AM564" s="13" t="str">
        <f>IFERROR(IF(F564=0,"No tiene sello",IF(+(AG564/1000)*9*100/F564&gt;1,"Exceso en grasa trans", "No tiene sello")),"No tiene sello")</f>
        <v>No tiene sello</v>
      </c>
    </row>
    <row r="565" spans="1:39" ht="13.5" customHeight="1" x14ac:dyDescent="0.25">
      <c r="A565" s="26" t="s">
        <v>496</v>
      </c>
      <c r="B565" s="26" t="s">
        <v>497</v>
      </c>
      <c r="C565" s="27"/>
      <c r="D565" s="47">
        <v>100</v>
      </c>
      <c r="E565" s="28">
        <v>88.8</v>
      </c>
      <c r="F565" s="24">
        <v>44</v>
      </c>
      <c r="G565" s="28">
        <v>187</v>
      </c>
      <c r="H565" s="24">
        <v>0.2</v>
      </c>
      <c r="I565" s="24">
        <v>0</v>
      </c>
      <c r="J565" s="24">
        <v>10.9</v>
      </c>
      <c r="K565" s="28">
        <v>0</v>
      </c>
      <c r="L565" s="28">
        <v>8.7200000000000006</v>
      </c>
      <c r="M565" s="24">
        <v>0</v>
      </c>
      <c r="N565" s="28">
        <v>0.2</v>
      </c>
      <c r="O565" s="25">
        <v>0</v>
      </c>
      <c r="P565" s="25">
        <v>0</v>
      </c>
      <c r="Q565" s="28">
        <v>0</v>
      </c>
      <c r="R565" s="25">
        <v>0</v>
      </c>
      <c r="S565" s="28">
        <v>0</v>
      </c>
      <c r="T565" s="28">
        <v>0</v>
      </c>
      <c r="U565" s="28">
        <v>0</v>
      </c>
      <c r="V565" s="28">
        <v>0</v>
      </c>
      <c r="W565" s="28">
        <v>0</v>
      </c>
      <c r="X565" s="28">
        <v>0</v>
      </c>
      <c r="Y565" s="28">
        <v>0</v>
      </c>
      <c r="Z565" s="28">
        <v>0</v>
      </c>
      <c r="AA565" s="25">
        <v>11</v>
      </c>
      <c r="AB565" s="25">
        <v>0</v>
      </c>
      <c r="AC565" s="25">
        <v>0</v>
      </c>
      <c r="AD565" s="28">
        <v>0</v>
      </c>
      <c r="AE565" s="28">
        <v>0</v>
      </c>
      <c r="AF565" s="28">
        <v>0</v>
      </c>
      <c r="AG565" s="28">
        <v>0</v>
      </c>
      <c r="AH565" s="24">
        <v>0</v>
      </c>
      <c r="AI565" s="28">
        <v>100</v>
      </c>
      <c r="AJ565" s="13" t="str">
        <f xml:space="preserve"> IF(AD565&gt;F565,"Exceso en grasa saturada",IFERROR(IF(F565=0,"No tiene sello",IF((AD565*9)*100/F565&gt;10,"Exceso en grasa saturada","No tiene sello")),"No tiene sello"))</f>
        <v>No tiene sello</v>
      </c>
      <c r="AK565" s="13">
        <f>IF(AJ565="No tiene sello",0,1)</f>
        <v>0</v>
      </c>
      <c r="AL565" s="13" t="str">
        <f>IF(Q565&gt;=300,"Exceso en sodio",IFERROR(IF(AND(F565=0,Q565&gt;0),"No tiene sello",IF(Q565/F565&gt;1,"Exceso en sodio","No tiene sello")),"No tiene sello"))</f>
        <v>No tiene sello</v>
      </c>
      <c r="AM565" s="13" t="str">
        <f>IFERROR(IF(F565=0,"No tiene sello",IF(+(AG565/1000)*9*100/F565&gt;1,"Exceso en grasa trans", "No tiene sello")),"No tiene sello")</f>
        <v>No tiene sello</v>
      </c>
    </row>
    <row r="566" spans="1:39" ht="13.5" customHeight="1" x14ac:dyDescent="0.25">
      <c r="A566" s="20" t="s">
        <v>494</v>
      </c>
      <c r="B566" s="20" t="s">
        <v>495</v>
      </c>
      <c r="C566" s="21"/>
      <c r="D566" s="46">
        <v>100</v>
      </c>
      <c r="E566" s="23">
        <v>87.6</v>
      </c>
      <c r="F566" s="24">
        <v>50</v>
      </c>
      <c r="G566" s="23">
        <v>213</v>
      </c>
      <c r="H566" s="24">
        <v>0.2</v>
      </c>
      <c r="I566" s="24">
        <v>0</v>
      </c>
      <c r="J566" s="24">
        <v>12.1</v>
      </c>
      <c r="K566" s="23">
        <v>11.6</v>
      </c>
      <c r="L566" s="23">
        <v>9.68</v>
      </c>
      <c r="M566" s="24">
        <v>0.5</v>
      </c>
      <c r="N566" s="23">
        <v>0.1</v>
      </c>
      <c r="O566" s="25">
        <v>5</v>
      </c>
      <c r="P566" s="25">
        <v>0.2</v>
      </c>
      <c r="Q566" s="23">
        <v>4</v>
      </c>
      <c r="R566" s="25">
        <v>3</v>
      </c>
      <c r="S566" s="23">
        <v>0.1</v>
      </c>
      <c r="T566" s="23">
        <v>3</v>
      </c>
      <c r="U566" s="23">
        <v>13</v>
      </c>
      <c r="V566" s="23">
        <v>0</v>
      </c>
      <c r="W566" s="23">
        <v>0.01</v>
      </c>
      <c r="X566" s="23">
        <v>0.1</v>
      </c>
      <c r="Y566" s="23">
        <v>1</v>
      </c>
      <c r="Z566" s="23">
        <v>0</v>
      </c>
      <c r="AA566" s="25">
        <v>1</v>
      </c>
      <c r="AB566" s="25">
        <v>0</v>
      </c>
      <c r="AC566" s="25">
        <v>0</v>
      </c>
      <c r="AD566" s="23">
        <v>0</v>
      </c>
      <c r="AE566" s="23">
        <v>0</v>
      </c>
      <c r="AF566" s="23">
        <v>0</v>
      </c>
      <c r="AG566" s="23">
        <v>0</v>
      </c>
      <c r="AH566" s="24">
        <v>0</v>
      </c>
      <c r="AI566" s="23">
        <v>100</v>
      </c>
      <c r="AJ566" s="13" t="str">
        <f xml:space="preserve"> IF(AD566&gt;F566,"Exceso en grasa saturada",IFERROR(IF(F566=0,"No tiene sello",IF((AD566*9)*100/F566&gt;10,"Exceso en grasa saturada","No tiene sello")),"No tiene sello"))</f>
        <v>No tiene sello</v>
      </c>
      <c r="AK566" s="13">
        <f>IF(AJ566="No tiene sello",0,1)</f>
        <v>0</v>
      </c>
      <c r="AL566" s="13" t="str">
        <f>IF(Q566&gt;=300,"Exceso en sodio",IFERROR(IF(AND(F566=0,Q566&gt;0),"No tiene sello",IF(Q566/F566&gt;1,"Exceso en sodio","No tiene sello")),"No tiene sello"))</f>
        <v>No tiene sello</v>
      </c>
      <c r="AM566" s="13" t="str">
        <f>IFERROR(IF(F566=0,"No tiene sello",IF(+(AG566/1000)*9*100/F566&gt;1,"Exceso en grasa trans", "No tiene sello")),"No tiene sello")</f>
        <v>No tiene sello</v>
      </c>
    </row>
    <row r="567" spans="1:39" s="4" customFormat="1" ht="13.5" customHeight="1" x14ac:dyDescent="0.25">
      <c r="A567" s="26" t="s">
        <v>492</v>
      </c>
      <c r="B567" s="26" t="s">
        <v>493</v>
      </c>
      <c r="C567" s="27"/>
      <c r="D567" s="47">
        <v>100</v>
      </c>
      <c r="E567" s="28">
        <v>55.8</v>
      </c>
      <c r="F567" s="24">
        <v>221</v>
      </c>
      <c r="G567" s="28">
        <v>927</v>
      </c>
      <c r="H567" s="24">
        <v>3.5</v>
      </c>
      <c r="I567" s="24">
        <v>1.1000000000000001</v>
      </c>
      <c r="J567" s="24">
        <v>24.2</v>
      </c>
      <c r="K567" s="28">
        <v>22.6</v>
      </c>
      <c r="L567" s="28">
        <v>2.42</v>
      </c>
      <c r="M567" s="24">
        <v>1.5</v>
      </c>
      <c r="N567" s="28">
        <v>1.5</v>
      </c>
      <c r="O567" s="25">
        <v>0</v>
      </c>
      <c r="P567" s="25">
        <v>0</v>
      </c>
      <c r="Q567" s="28">
        <v>0</v>
      </c>
      <c r="R567" s="25">
        <v>0</v>
      </c>
      <c r="S567" s="28">
        <v>0</v>
      </c>
      <c r="T567" s="28">
        <v>0</v>
      </c>
      <c r="U567" s="28">
        <v>0</v>
      </c>
      <c r="V567" s="28">
        <v>0</v>
      </c>
      <c r="W567" s="28">
        <v>0</v>
      </c>
      <c r="X567" s="28">
        <v>0</v>
      </c>
      <c r="Y567" s="28">
        <v>0</v>
      </c>
      <c r="Z567" s="28">
        <v>0</v>
      </c>
      <c r="AA567" s="25">
        <v>0</v>
      </c>
      <c r="AB567" s="25">
        <v>0</v>
      </c>
      <c r="AC567" s="25">
        <v>0</v>
      </c>
      <c r="AD567" s="28">
        <v>0</v>
      </c>
      <c r="AE567" s="28">
        <v>0</v>
      </c>
      <c r="AF567" s="28">
        <v>0</v>
      </c>
      <c r="AG567" s="28">
        <v>0</v>
      </c>
      <c r="AH567" s="24">
        <v>0</v>
      </c>
      <c r="AI567" s="28">
        <v>100</v>
      </c>
      <c r="AJ567" s="13" t="str">
        <f xml:space="preserve"> IF(AD567&gt;F567,"Exceso en grasa saturada",IFERROR(IF(F567=0,"No tiene sello",IF((AD567*9)*100/F567&gt;10,"Exceso en grasa saturada","No tiene sello")),"No tiene sello"))</f>
        <v>No tiene sello</v>
      </c>
      <c r="AK567" s="13">
        <f>IF(AJ567="No tiene sello",0,1)</f>
        <v>0</v>
      </c>
      <c r="AL567" s="13" t="str">
        <f>IF(Q567&gt;=300,"Exceso en sodio",IFERROR(IF(AND(F567=0,Q567&gt;0),"No tiene sello",IF(Q567/F567&gt;1,"Exceso en sodio","No tiene sello")),"No tiene sello"))</f>
        <v>No tiene sello</v>
      </c>
      <c r="AM567" s="13" t="str">
        <f>IFERROR(IF(F567=0,"No tiene sello",IF(+(AG567/1000)*9*100/F567&gt;1,"Exceso en grasa trans", "No tiene sello")),"No tiene sello")</f>
        <v>No tiene sello</v>
      </c>
    </row>
    <row r="568" spans="1:39" s="5" customFormat="1" ht="13.5" customHeight="1" x14ac:dyDescent="0.25">
      <c r="A568" s="20" t="s">
        <v>490</v>
      </c>
      <c r="B568" s="20" t="s">
        <v>491</v>
      </c>
      <c r="C568" s="21"/>
      <c r="D568" s="46">
        <v>100</v>
      </c>
      <c r="E568" s="23">
        <v>57.7</v>
      </c>
      <c r="F568" s="24">
        <v>212</v>
      </c>
      <c r="G568" s="23">
        <v>889</v>
      </c>
      <c r="H568" s="24">
        <v>3.1</v>
      </c>
      <c r="I568" s="24">
        <v>0.9</v>
      </c>
      <c r="J568" s="24">
        <v>22.7</v>
      </c>
      <c r="K568" s="23">
        <v>21.4</v>
      </c>
      <c r="L568" s="23">
        <v>2.27</v>
      </c>
      <c r="M568" s="24">
        <v>1.3</v>
      </c>
      <c r="N568" s="23">
        <v>1.6</v>
      </c>
      <c r="O568" s="25">
        <v>0</v>
      </c>
      <c r="P568" s="25">
        <v>0</v>
      </c>
      <c r="Q568" s="23">
        <v>0</v>
      </c>
      <c r="R568" s="25">
        <v>0</v>
      </c>
      <c r="S568" s="23">
        <v>0</v>
      </c>
      <c r="T568" s="23">
        <v>0</v>
      </c>
      <c r="U568" s="23">
        <v>0</v>
      </c>
      <c r="V568" s="23">
        <v>0</v>
      </c>
      <c r="W568" s="23">
        <v>0</v>
      </c>
      <c r="X568" s="23">
        <v>0</v>
      </c>
      <c r="Y568" s="23">
        <v>0</v>
      </c>
      <c r="Z568" s="23">
        <v>0</v>
      </c>
      <c r="AA568" s="25">
        <v>0</v>
      </c>
      <c r="AB568" s="25">
        <v>0</v>
      </c>
      <c r="AC568" s="25">
        <v>0</v>
      </c>
      <c r="AD568" s="23">
        <v>0</v>
      </c>
      <c r="AE568" s="23">
        <v>0</v>
      </c>
      <c r="AF568" s="23">
        <v>0</v>
      </c>
      <c r="AG568" s="23">
        <v>0</v>
      </c>
      <c r="AH568" s="24">
        <v>0</v>
      </c>
      <c r="AI568" s="23">
        <v>100</v>
      </c>
      <c r="AJ568" s="13" t="str">
        <f xml:space="preserve"> IF(AD568&gt;F568,"Exceso en grasa saturada",IFERROR(IF(F568=0,"No tiene sello",IF((AD568*9)*100/F568&gt;10,"Exceso en grasa saturada","No tiene sello")),"No tiene sello"))</f>
        <v>No tiene sello</v>
      </c>
      <c r="AK568" s="13">
        <f>IF(AJ568="No tiene sello",0,1)</f>
        <v>0</v>
      </c>
      <c r="AL568" s="13" t="str">
        <f>IF(Q568&gt;=300,"Exceso en sodio",IFERROR(IF(AND(F568=0,Q568&gt;0),"No tiene sello",IF(Q568/F568&gt;1,"Exceso en sodio","No tiene sello")),"No tiene sello"))</f>
        <v>No tiene sello</v>
      </c>
      <c r="AM568" s="13" t="str">
        <f>IFERROR(IF(F568=0,"No tiene sello",IF(+(AG568/1000)*9*100/F568&gt;1,"Exceso en grasa trans", "No tiene sello")),"No tiene sello")</f>
        <v>No tiene sello</v>
      </c>
    </row>
    <row r="569" spans="1:39" ht="13.5" customHeight="1" x14ac:dyDescent="0.25">
      <c r="A569" s="26" t="s">
        <v>488</v>
      </c>
      <c r="B569" s="26" t="s">
        <v>489</v>
      </c>
      <c r="C569" s="27"/>
      <c r="D569" s="47">
        <v>100</v>
      </c>
      <c r="E569" s="28">
        <v>98.6</v>
      </c>
      <c r="F569" s="24">
        <v>4</v>
      </c>
      <c r="G569" s="28">
        <v>19</v>
      </c>
      <c r="H569" s="24">
        <v>0.1</v>
      </c>
      <c r="I569" s="24">
        <v>0</v>
      </c>
      <c r="J569" s="24">
        <v>1</v>
      </c>
      <c r="K569" s="28">
        <v>1</v>
      </c>
      <c r="L569" s="28">
        <v>0.1</v>
      </c>
      <c r="M569" s="24">
        <v>0</v>
      </c>
      <c r="N569" s="28">
        <v>0.3</v>
      </c>
      <c r="O569" s="25">
        <v>5</v>
      </c>
      <c r="P569" s="25">
        <v>0.2</v>
      </c>
      <c r="Q569" s="28">
        <v>2</v>
      </c>
      <c r="R569" s="25">
        <v>5</v>
      </c>
      <c r="S569" s="28">
        <v>0</v>
      </c>
      <c r="T569" s="28">
        <v>2</v>
      </c>
      <c r="U569" s="28">
        <v>27</v>
      </c>
      <c r="V569" s="28">
        <v>0</v>
      </c>
      <c r="W569" s="28">
        <v>0.04</v>
      </c>
      <c r="X569" s="28">
        <v>0.1</v>
      </c>
      <c r="Y569" s="28">
        <v>3</v>
      </c>
      <c r="Z569" s="28">
        <v>0</v>
      </c>
      <c r="AA569" s="25">
        <v>0</v>
      </c>
      <c r="AB569" s="25">
        <v>0</v>
      </c>
      <c r="AC569" s="25">
        <v>0</v>
      </c>
      <c r="AD569" s="28">
        <v>0</v>
      </c>
      <c r="AE569" s="28">
        <v>0</v>
      </c>
      <c r="AF569" s="28">
        <v>0</v>
      </c>
      <c r="AG569" s="28">
        <v>0</v>
      </c>
      <c r="AH569" s="24">
        <v>0</v>
      </c>
      <c r="AI569" s="28">
        <v>100</v>
      </c>
      <c r="AJ569" s="13" t="str">
        <f xml:space="preserve"> IF(AD569&gt;F569,"Exceso en grasa saturada",IFERROR(IF(F569=0,"No tiene sello",IF((AD569*9)*100/F569&gt;10,"Exceso en grasa saturada","No tiene sello")),"No tiene sello"))</f>
        <v>No tiene sello</v>
      </c>
      <c r="AK569" s="13">
        <f>IF(AJ569="No tiene sello",0,1)</f>
        <v>0</v>
      </c>
      <c r="AL569" s="13" t="str">
        <f>IF(Q569&gt;=300,"Exceso en sodio",IFERROR(IF(AND(F569=0,Q569&gt;0),"No tiene sello",IF(Q569/F569&gt;1,"Exceso en sodio","No tiene sello")),"No tiene sello"))</f>
        <v>No tiene sello</v>
      </c>
      <c r="AM569" s="13" t="str">
        <f>IFERROR(IF(F569=0,"No tiene sello",IF(+(AG569/1000)*9*100/F569&gt;1,"Exceso en grasa trans", "No tiene sello")),"No tiene sello")</f>
        <v>No tiene sello</v>
      </c>
    </row>
    <row r="570" spans="1:39" ht="13.5" customHeight="1" x14ac:dyDescent="0.25">
      <c r="A570" s="26" t="s">
        <v>1643</v>
      </c>
      <c r="B570" s="38" t="s">
        <v>1647</v>
      </c>
      <c r="C570" s="27"/>
      <c r="D570" s="16">
        <v>100</v>
      </c>
      <c r="E570" s="28">
        <v>88.3</v>
      </c>
      <c r="F570" s="24">
        <v>45</v>
      </c>
      <c r="G570" s="28">
        <v>188</v>
      </c>
      <c r="H570" s="24">
        <v>0.7</v>
      </c>
      <c r="I570" s="24">
        <v>0.2</v>
      </c>
      <c r="J570" s="24">
        <v>10.4</v>
      </c>
      <c r="K570" s="28">
        <v>10.199999999999999</v>
      </c>
      <c r="L570" s="28">
        <v>8.4</v>
      </c>
      <c r="M570" s="24">
        <v>0.2</v>
      </c>
      <c r="N570" s="28">
        <v>0.4</v>
      </c>
      <c r="O570" s="25">
        <v>11</v>
      </c>
      <c r="P570" s="25">
        <v>0.2</v>
      </c>
      <c r="Q570" s="28">
        <v>1</v>
      </c>
      <c r="R570" s="25">
        <v>17</v>
      </c>
      <c r="S570" s="28">
        <v>0.05</v>
      </c>
      <c r="T570" s="28">
        <v>11</v>
      </c>
      <c r="U570" s="28">
        <v>200</v>
      </c>
      <c r="V570" s="28">
        <v>0.09</v>
      </c>
      <c r="W570" s="28">
        <v>0.03</v>
      </c>
      <c r="X570" s="28">
        <v>0.4</v>
      </c>
      <c r="Y570" s="28">
        <v>30</v>
      </c>
      <c r="Z570" s="28">
        <v>0</v>
      </c>
      <c r="AA570" s="25">
        <v>50</v>
      </c>
      <c r="AB570" s="25">
        <v>10</v>
      </c>
      <c r="AC570" s="25">
        <v>0</v>
      </c>
      <c r="AD570" s="28">
        <v>0.02</v>
      </c>
      <c r="AE570" s="28">
        <v>0.04</v>
      </c>
      <c r="AF570" s="28">
        <v>0.04</v>
      </c>
      <c r="AG570" s="28">
        <v>0</v>
      </c>
      <c r="AH570" s="24">
        <v>0</v>
      </c>
      <c r="AI570" s="28">
        <v>100</v>
      </c>
      <c r="AJ570" s="13" t="str">
        <f xml:space="preserve"> IF(AD570&gt;F570,"Exceso en grasa saturada",IFERROR(IF(F570=0,"No tiene sello",IF((AD570*9)*100/F570&gt;10,"Exceso en grasa saturada","No tiene sello")),"No tiene sello"))</f>
        <v>No tiene sello</v>
      </c>
      <c r="AK570" s="13">
        <f>IF(AJ570="No tiene sello",0,1)</f>
        <v>0</v>
      </c>
      <c r="AL570" s="13" t="str">
        <f>IF(Q570&gt;=300,"Exceso en sodio",IFERROR(IF(AND(F570=0,Q570&gt;0),"No tiene sello",IF(Q570/F570&gt;1,"Exceso en sodio","No tiene sello")),"No tiene sello"))</f>
        <v>No tiene sello</v>
      </c>
      <c r="AM570" s="13" t="str">
        <f>IFERROR(IF(F570=0,"No tiene sello",IF(+(AG570/1000)*9*100/F570&gt;1,"Exceso en grasa trans", "No tiene sello")),"No tiene sello")</f>
        <v>No tiene sello</v>
      </c>
    </row>
    <row r="571" spans="1:39" ht="13.5" customHeight="1" x14ac:dyDescent="0.25">
      <c r="A571" s="38" t="s">
        <v>1646</v>
      </c>
      <c r="B571" s="38" t="s">
        <v>1645</v>
      </c>
      <c r="C571" s="27"/>
      <c r="D571" s="47">
        <v>100</v>
      </c>
      <c r="E571" s="28">
        <v>100</v>
      </c>
      <c r="F571" s="24">
        <v>0</v>
      </c>
      <c r="G571" s="24">
        <v>0</v>
      </c>
      <c r="H571" s="24">
        <v>0</v>
      </c>
      <c r="I571" s="24">
        <v>0</v>
      </c>
      <c r="J571" s="24">
        <v>0</v>
      </c>
      <c r="K571" s="24">
        <v>0</v>
      </c>
      <c r="L571" s="24">
        <v>0</v>
      </c>
      <c r="M571" s="24">
        <v>0</v>
      </c>
      <c r="N571" s="24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4">
        <v>0</v>
      </c>
      <c r="AG571" s="24">
        <v>0</v>
      </c>
      <c r="AH571" s="24">
        <v>0</v>
      </c>
      <c r="AI571" s="25">
        <v>100</v>
      </c>
      <c r="AJ571" s="13" t="str">
        <f xml:space="preserve"> IF(AD571&gt;F571,"Exceso en grasa saturada",IFERROR(IF(F571=0,"No tiene sello",IF((AD571*9)*100/F571&gt;10,"Exceso en grasa saturada","No tiene sello")),"No tiene sello"))</f>
        <v>No tiene sello</v>
      </c>
      <c r="AK571" s="13">
        <f>IF(AJ571="No tiene sello",0,1)</f>
        <v>0</v>
      </c>
      <c r="AL571" s="13" t="str">
        <f>IF(Q571&gt;=300,"Exceso en sodio",IFERROR(IF(AND(F571=0,Q571&gt;0),"No tiene sello",IF(Q571/F571&gt;1,"Exceso en sodio","No tiene sello")),"No tiene sello"))</f>
        <v>No tiene sello</v>
      </c>
      <c r="AM571" s="13" t="str">
        <f>IFERROR(IF(F571=0,"No tiene sello",IF(+(AG571/1000)*9*100/F571&gt;1,"Exceso en grasa trans", "No tiene sello")),"No tiene sello")</f>
        <v>No tiene sello</v>
      </c>
    </row>
    <row r="572" spans="1:39" ht="13.5" customHeight="1" x14ac:dyDescent="0.25">
      <c r="A572" s="20" t="s">
        <v>1648</v>
      </c>
      <c r="B572" s="20" t="s">
        <v>1649</v>
      </c>
      <c r="C572" s="20" t="s">
        <v>1801</v>
      </c>
      <c r="D572" s="46">
        <v>100</v>
      </c>
      <c r="E572" s="23">
        <v>4</v>
      </c>
      <c r="F572" s="24">
        <v>579</v>
      </c>
      <c r="G572" s="23">
        <v>2423</v>
      </c>
      <c r="H572" s="24">
        <v>21.2</v>
      </c>
      <c r="I572" s="24">
        <v>49.9</v>
      </c>
      <c r="J572" s="24">
        <v>21.6</v>
      </c>
      <c r="K572" s="23">
        <v>10.6</v>
      </c>
      <c r="L572" s="23">
        <v>4.4000000000000004</v>
      </c>
      <c r="M572" s="24">
        <v>12.5</v>
      </c>
      <c r="N572" s="23">
        <v>3.3</v>
      </c>
      <c r="O572" s="25">
        <v>269</v>
      </c>
      <c r="P572" s="25">
        <v>3.7</v>
      </c>
      <c r="Q572" s="23">
        <v>1</v>
      </c>
      <c r="R572" s="25">
        <v>481</v>
      </c>
      <c r="S572" s="23">
        <v>3.1</v>
      </c>
      <c r="T572" s="23">
        <v>270</v>
      </c>
      <c r="U572" s="23">
        <v>733</v>
      </c>
      <c r="V572" s="23">
        <v>0.21</v>
      </c>
      <c r="W572" s="23">
        <v>1.01</v>
      </c>
      <c r="X572" s="23">
        <v>3.6</v>
      </c>
      <c r="Y572" s="23">
        <v>44</v>
      </c>
      <c r="Z572" s="23">
        <v>0</v>
      </c>
      <c r="AA572" s="25">
        <v>0</v>
      </c>
      <c r="AB572" s="25">
        <v>2</v>
      </c>
      <c r="AC572" s="25">
        <v>0</v>
      </c>
      <c r="AD572" s="23">
        <v>3.8</v>
      </c>
      <c r="AE572" s="23">
        <v>31.5</v>
      </c>
      <c r="AF572" s="23">
        <v>12.3</v>
      </c>
      <c r="AG572" s="23">
        <v>0</v>
      </c>
      <c r="AH572" s="24">
        <v>0</v>
      </c>
      <c r="AI572" s="23">
        <v>100</v>
      </c>
      <c r="AJ572" s="13" t="str">
        <f xml:space="preserve"> IF(AD572&gt;F572,"Exceso en grasa saturada",IFERROR(IF(F572=0,"No tiene sello",IF((AD572*9)*100/F572&gt;10,"Exceso en grasa saturada","No tiene sello")),"No tiene sello"))</f>
        <v>No tiene sello</v>
      </c>
      <c r="AK572" s="13">
        <f>IF(AJ572="No tiene sello",0,1)</f>
        <v>0</v>
      </c>
      <c r="AL572" s="13" t="str">
        <f>IF(Q572&gt;=300,"Exceso en sodio",IFERROR(IF(AND(F572=0,Q572&gt;0),"No tiene sello",IF(Q572/F572&gt;1,"Exceso en sodio","No tiene sello")),"No tiene sello"))</f>
        <v>No tiene sello</v>
      </c>
      <c r="AM572" s="13" t="str">
        <f>IFERROR(IF(F572=0,"No tiene sello",IF(+(AG572/1000)*9*100/F572&gt;1,"Exceso en grasa trans", "No tiene sello")),"No tiene sello")</f>
        <v>No tiene sello</v>
      </c>
    </row>
    <row r="573" spans="1:39" ht="13.5" customHeight="1" x14ac:dyDescent="0.25">
      <c r="A573" s="26" t="s">
        <v>1650</v>
      </c>
      <c r="B573" s="26" t="s">
        <v>1651</v>
      </c>
      <c r="C573" s="27" t="s">
        <v>1802</v>
      </c>
      <c r="D573" s="22">
        <v>100</v>
      </c>
      <c r="E573" s="28">
        <v>10.6</v>
      </c>
      <c r="F573" s="24">
        <v>247</v>
      </c>
      <c r="G573" s="28">
        <v>1034</v>
      </c>
      <c r="H573" s="24">
        <v>4</v>
      </c>
      <c r="I573" s="24">
        <v>1.2</v>
      </c>
      <c r="J573" s="24">
        <v>80.599999999999994</v>
      </c>
      <c r="K573" s="28">
        <v>27.5</v>
      </c>
      <c r="L573" s="28">
        <v>2.2000000000000002</v>
      </c>
      <c r="M573" s="24">
        <v>53.1</v>
      </c>
      <c r="N573" s="28">
        <v>3.6</v>
      </c>
      <c r="O573" s="25">
        <v>1002</v>
      </c>
      <c r="P573" s="25">
        <v>8.3000000000000007</v>
      </c>
      <c r="Q573" s="28">
        <v>10</v>
      </c>
      <c r="R573" s="25">
        <v>64</v>
      </c>
      <c r="S573" s="28">
        <v>1.8</v>
      </c>
      <c r="T573" s="28">
        <v>60</v>
      </c>
      <c r="U573" s="28">
        <v>431</v>
      </c>
      <c r="V573" s="28">
        <v>0.02</v>
      </c>
      <c r="W573" s="28">
        <v>0.04</v>
      </c>
      <c r="X573" s="28">
        <v>1.3</v>
      </c>
      <c r="Y573" s="28">
        <v>6</v>
      </c>
      <c r="Z573" s="28">
        <v>0</v>
      </c>
      <c r="AA573" s="25">
        <v>0</v>
      </c>
      <c r="AB573" s="25">
        <v>296</v>
      </c>
      <c r="AC573" s="25">
        <v>0</v>
      </c>
      <c r="AD573" s="28">
        <v>0.3</v>
      </c>
      <c r="AE573" s="28">
        <v>0.2</v>
      </c>
      <c r="AF573" s="28">
        <v>0.1</v>
      </c>
      <c r="AG573" s="28">
        <v>0</v>
      </c>
      <c r="AH573" s="24">
        <v>0</v>
      </c>
      <c r="AI573" s="28">
        <v>100</v>
      </c>
      <c r="AJ573" s="13" t="str">
        <f xml:space="preserve"> IF(AD573&gt;F573,"Exceso en grasa saturada",IFERROR(IF(F573=0,"No tiene sello",IF((AD573*9)*100/F573&gt;10,"Exceso en grasa saturada","No tiene sello")),"No tiene sello"))</f>
        <v>No tiene sello</v>
      </c>
      <c r="AK573" s="13">
        <f>IF(AJ573="No tiene sello",0,1)</f>
        <v>0</v>
      </c>
      <c r="AL573" s="13" t="str">
        <f>IF(Q573&gt;=300,"Exceso en sodio",IFERROR(IF(AND(F573=0,Q573&gt;0),"No tiene sello",IF(Q573/F573&gt;1,"Exceso en sodio","No tiene sello")),"No tiene sello"))</f>
        <v>No tiene sello</v>
      </c>
      <c r="AM573" s="13" t="str">
        <f>IFERROR(IF(F573=0,"No tiene sello",IF(+(AG573/1000)*9*100/F573&gt;1,"Exceso en grasa trans", "No tiene sello")),"No tiene sello")</f>
        <v>No tiene sello</v>
      </c>
    </row>
    <row r="574" spans="1:39" ht="13.5" customHeight="1" x14ac:dyDescent="0.25">
      <c r="A574" s="20" t="s">
        <v>1652</v>
      </c>
      <c r="B574" s="20" t="s">
        <v>1653</v>
      </c>
      <c r="C574" s="20" t="s">
        <v>1803</v>
      </c>
      <c r="D574" s="46">
        <v>100</v>
      </c>
      <c r="E574" s="23">
        <v>12.5</v>
      </c>
      <c r="F574" s="24">
        <v>251</v>
      </c>
      <c r="G574" s="23">
        <v>1051</v>
      </c>
      <c r="H574" s="24">
        <v>10.4</v>
      </c>
      <c r="I574" s="24">
        <v>3.3</v>
      </c>
      <c r="J574" s="24">
        <v>63.9</v>
      </c>
      <c r="K574" s="23">
        <v>38.4</v>
      </c>
      <c r="L574" s="23">
        <v>0.6</v>
      </c>
      <c r="M574" s="24">
        <v>25.5</v>
      </c>
      <c r="N574" s="23">
        <v>9.9</v>
      </c>
      <c r="O574" s="25">
        <v>443</v>
      </c>
      <c r="P574" s="25">
        <v>9.6999999999999993</v>
      </c>
      <c r="Q574" s="23">
        <v>20</v>
      </c>
      <c r="R574" s="25">
        <v>158</v>
      </c>
      <c r="S574" s="23">
        <v>1.2</v>
      </c>
      <c r="T574" s="23">
        <v>171</v>
      </c>
      <c r="U574" s="23">
        <v>1329</v>
      </c>
      <c r="V574" s="23">
        <v>0.11</v>
      </c>
      <c r="W574" s="23">
        <v>0.18</v>
      </c>
      <c r="X574" s="23">
        <v>1.1000000000000001</v>
      </c>
      <c r="Y574" s="23">
        <v>17</v>
      </c>
      <c r="Z574" s="23">
        <v>0</v>
      </c>
      <c r="AA574" s="25">
        <v>0</v>
      </c>
      <c r="AB574" s="25">
        <v>547</v>
      </c>
      <c r="AC574" s="25">
        <v>0</v>
      </c>
      <c r="AD574" s="23">
        <v>1.4</v>
      </c>
      <c r="AE574" s="23">
        <v>0.9</v>
      </c>
      <c r="AF574" s="23">
        <v>0.7</v>
      </c>
      <c r="AG574" s="23">
        <v>0</v>
      </c>
      <c r="AH574" s="24">
        <v>0</v>
      </c>
      <c r="AI574" s="23">
        <v>100</v>
      </c>
      <c r="AJ574" s="13" t="str">
        <f xml:space="preserve"> IF(AD574&gt;F574,"Exceso en grasa saturada",IFERROR(IF(F574=0,"No tiene sello",IF((AD574*9)*100/F574&gt;10,"Exceso en grasa saturada","No tiene sello")),"No tiene sello"))</f>
        <v>No tiene sello</v>
      </c>
      <c r="AK574" s="13">
        <f>IF(AJ574="No tiene sello",0,1)</f>
        <v>0</v>
      </c>
      <c r="AL574" s="13" t="str">
        <f>IF(Q574&gt;=300,"Exceso en sodio",IFERROR(IF(AND(F574=0,Q574&gt;0),"No tiene sello",IF(Q574/F574&gt;1,"Exceso en sodio","No tiene sello")),"No tiene sello"))</f>
        <v>No tiene sello</v>
      </c>
      <c r="AM574" s="13" t="str">
        <f>IFERROR(IF(F574=0,"No tiene sello",IF(+(AG574/1000)*9*100/F574&gt;1,"Exceso en grasa trans", "No tiene sello")),"No tiene sello")</f>
        <v>No tiene sello</v>
      </c>
    </row>
    <row r="575" spans="1:39" ht="13.5" customHeight="1" x14ac:dyDescent="0.25">
      <c r="A575" s="26" t="s">
        <v>1654</v>
      </c>
      <c r="B575" s="26" t="s">
        <v>1655</v>
      </c>
      <c r="C575" s="27" t="s">
        <v>1804</v>
      </c>
      <c r="D575" s="22">
        <v>100</v>
      </c>
      <c r="E575" s="28">
        <v>8</v>
      </c>
      <c r="F575" s="24">
        <v>375</v>
      </c>
      <c r="G575" s="28">
        <v>1569</v>
      </c>
      <c r="H575" s="24">
        <v>17.8</v>
      </c>
      <c r="I575" s="24">
        <v>22.3</v>
      </c>
      <c r="J575" s="24">
        <v>44.2</v>
      </c>
      <c r="K575" s="28">
        <v>29</v>
      </c>
      <c r="L575" s="28">
        <v>2.2999999999999998</v>
      </c>
      <c r="M575" s="24">
        <v>10.5</v>
      </c>
      <c r="N575" s="28">
        <v>7.7</v>
      </c>
      <c r="O575" s="25">
        <v>931</v>
      </c>
      <c r="P575" s="25">
        <v>66.400000000000006</v>
      </c>
      <c r="Q575" s="28">
        <v>168</v>
      </c>
      <c r="R575" s="25">
        <v>499</v>
      </c>
      <c r="S575" s="28">
        <v>4.8</v>
      </c>
      <c r="T575" s="28">
        <v>366</v>
      </c>
      <c r="U575" s="28">
        <v>1788</v>
      </c>
      <c r="V575" s="28">
        <v>0.63</v>
      </c>
      <c r="W575" s="28">
        <v>0.33</v>
      </c>
      <c r="X575" s="28">
        <v>4.5999999999999996</v>
      </c>
      <c r="Y575" s="28">
        <v>10</v>
      </c>
      <c r="Z575" s="28">
        <v>0</v>
      </c>
      <c r="AA575" s="25">
        <v>0</v>
      </c>
      <c r="AB575" s="25">
        <v>1270</v>
      </c>
      <c r="AC575" s="25">
        <v>0</v>
      </c>
      <c r="AD575" s="28">
        <v>1.5</v>
      </c>
      <c r="AE575" s="28">
        <v>12.2</v>
      </c>
      <c r="AF575" s="28">
        <v>3.3</v>
      </c>
      <c r="AG575" s="28">
        <v>0</v>
      </c>
      <c r="AH575" s="24">
        <v>0</v>
      </c>
      <c r="AI575" s="28">
        <v>100</v>
      </c>
      <c r="AJ575" s="13" t="str">
        <f xml:space="preserve"> IF(AD575&gt;F575,"Exceso en grasa saturada",IFERROR(IF(F575=0,"No tiene sello",IF((AD575*9)*100/F575&gt;10,"Exceso en grasa saturada","No tiene sello")),"No tiene sello"))</f>
        <v>No tiene sello</v>
      </c>
      <c r="AK575" s="13">
        <f>IF(AJ575="No tiene sello",0,1)</f>
        <v>0</v>
      </c>
      <c r="AL575" s="13" t="str">
        <f>IF(Q575&gt;=300,"Exceso en sodio",IFERROR(IF(AND(F575=0,Q575&gt;0),"No tiene sello",IF(Q575/F575&gt;1,"Exceso en sodio","No tiene sello")),"No tiene sello"))</f>
        <v>No tiene sello</v>
      </c>
      <c r="AM575" s="13" t="str">
        <f>IFERROR(IF(F575=0,"No tiene sello",IF(+(AG575/1000)*9*100/F575&gt;1,"Exceso en grasa trans", "No tiene sello")),"No tiene sello")</f>
        <v>No tiene sello</v>
      </c>
    </row>
    <row r="576" spans="1:39" s="5" customFormat="1" ht="13.5" customHeight="1" x14ac:dyDescent="0.25">
      <c r="A576" s="20" t="s">
        <v>1656</v>
      </c>
      <c r="B576" s="20" t="s">
        <v>1672</v>
      </c>
      <c r="C576" s="20" t="s">
        <v>1809</v>
      </c>
      <c r="D576" s="46">
        <v>100</v>
      </c>
      <c r="E576" s="23">
        <v>6</v>
      </c>
      <c r="F576" s="24">
        <v>400</v>
      </c>
      <c r="G576" s="23">
        <v>1674</v>
      </c>
      <c r="H576" s="24">
        <v>19.3</v>
      </c>
      <c r="I576" s="24">
        <v>13.3</v>
      </c>
      <c r="J576" s="24">
        <v>60</v>
      </c>
      <c r="K576" s="23">
        <v>23</v>
      </c>
      <c r="L576" s="23">
        <v>7</v>
      </c>
      <c r="M576" s="24">
        <v>37</v>
      </c>
      <c r="N576" s="23">
        <v>1.4</v>
      </c>
      <c r="O576" s="25">
        <v>45</v>
      </c>
      <c r="P576" s="25">
        <v>3.9</v>
      </c>
      <c r="Q576" s="23">
        <v>20</v>
      </c>
      <c r="R576" s="25">
        <v>143</v>
      </c>
      <c r="S576" s="23">
        <v>1.1000000000000001</v>
      </c>
      <c r="T576" s="23">
        <v>90</v>
      </c>
      <c r="U576" s="23">
        <v>543</v>
      </c>
      <c r="V576" s="23">
        <v>0.03</v>
      </c>
      <c r="W576" s="23">
        <v>0.02</v>
      </c>
      <c r="X576" s="23">
        <v>0.5</v>
      </c>
      <c r="Y576" s="23">
        <v>26</v>
      </c>
      <c r="Z576" s="23">
        <v>0</v>
      </c>
      <c r="AA576" s="25">
        <v>2</v>
      </c>
      <c r="AB576" s="25">
        <v>0</v>
      </c>
      <c r="AC576" s="25">
        <v>0</v>
      </c>
      <c r="AD576" s="23">
        <v>10</v>
      </c>
      <c r="AE576" s="23">
        <v>0.8</v>
      </c>
      <c r="AF576" s="23">
        <v>0.6</v>
      </c>
      <c r="AG576" s="23">
        <v>0</v>
      </c>
      <c r="AH576" s="24">
        <v>0</v>
      </c>
      <c r="AI576" s="23">
        <v>100</v>
      </c>
      <c r="AJ576" s="13" t="str">
        <f xml:space="preserve"> IF(AD576&gt;F576,"Exceso en grasa saturada",IFERROR(IF(F576=0,"No tiene sello",IF((AD576*9)*100/F576&gt;10,"Exceso en grasa saturada","No tiene sello")),"No tiene sello"))</f>
        <v>Exceso en grasa saturada</v>
      </c>
      <c r="AK576" s="13">
        <f>IF(AJ576="No tiene sello",0,1)</f>
        <v>1</v>
      </c>
      <c r="AL576" s="13" t="str">
        <f>IF(Q576&gt;=300,"Exceso en sodio",IFERROR(IF(AND(F576=0,Q576&gt;0),"No tiene sello",IF(Q576/F576&gt;1,"Exceso en sodio","No tiene sello")),"No tiene sello"))</f>
        <v>No tiene sello</v>
      </c>
      <c r="AM576" s="13" t="str">
        <f>IFERROR(IF(F576=0,"No tiene sello",IF(+(AG576/1000)*9*100/F576&gt;1,"Exceso en grasa trans", "No tiene sello")),"No tiene sello")</f>
        <v>No tiene sello</v>
      </c>
    </row>
    <row r="577" spans="1:39" ht="13.5" customHeight="1" x14ac:dyDescent="0.25">
      <c r="A577" s="26" t="s">
        <v>1658</v>
      </c>
      <c r="B577" s="26" t="s">
        <v>1657</v>
      </c>
      <c r="C577" s="27" t="s">
        <v>1805</v>
      </c>
      <c r="D577" s="22">
        <v>100</v>
      </c>
      <c r="E577" s="28">
        <v>10</v>
      </c>
      <c r="F577" s="24">
        <v>265</v>
      </c>
      <c r="G577" s="28">
        <v>1109</v>
      </c>
      <c r="H577" s="24">
        <v>9</v>
      </c>
      <c r="I577" s="24">
        <v>4.3</v>
      </c>
      <c r="J577" s="24">
        <v>68.900000000000006</v>
      </c>
      <c r="K577" s="28">
        <v>40</v>
      </c>
      <c r="L577" s="28">
        <v>4</v>
      </c>
      <c r="M577" s="24">
        <v>42.5</v>
      </c>
      <c r="N577" s="28">
        <v>7.8</v>
      </c>
      <c r="O577" s="25">
        <v>1597</v>
      </c>
      <c r="P577" s="25">
        <v>36.799999999999997</v>
      </c>
      <c r="Q577" s="28">
        <v>25</v>
      </c>
      <c r="R577" s="25">
        <v>148</v>
      </c>
      <c r="S577" s="28">
        <v>2.7</v>
      </c>
      <c r="T577" s="28">
        <v>270</v>
      </c>
      <c r="U577" s="28">
        <v>1260</v>
      </c>
      <c r="V577" s="28">
        <v>0.18</v>
      </c>
      <c r="W577" s="28">
        <v>0.53</v>
      </c>
      <c r="X577" s="28">
        <v>4.5999999999999996</v>
      </c>
      <c r="Y577" s="28">
        <v>237</v>
      </c>
      <c r="Z577" s="28">
        <v>0</v>
      </c>
      <c r="AA577" s="25">
        <v>0</v>
      </c>
      <c r="AB577" s="25">
        <v>1701</v>
      </c>
      <c r="AC577" s="25">
        <v>0</v>
      </c>
      <c r="AD577" s="28">
        <v>2.2999999999999998</v>
      </c>
      <c r="AE577" s="28">
        <v>0.6</v>
      </c>
      <c r="AF577" s="28">
        <v>1.4</v>
      </c>
      <c r="AG577" s="28">
        <v>0</v>
      </c>
      <c r="AH577" s="24">
        <v>0</v>
      </c>
      <c r="AI577" s="28">
        <v>100</v>
      </c>
      <c r="AJ577" s="13" t="str">
        <f xml:space="preserve"> IF(AD577&gt;F577,"Exceso en grasa saturada",IFERROR(IF(F577=0,"No tiene sello",IF((AD577*9)*100/F577&gt;10,"Exceso en grasa saturada","No tiene sello")),"No tiene sello"))</f>
        <v>No tiene sello</v>
      </c>
      <c r="AK577" s="13">
        <f>IF(AJ577="No tiene sello",0,1)</f>
        <v>0</v>
      </c>
      <c r="AL577" s="13" t="str">
        <f>IF(Q577&gt;=300,"Exceso en sodio",IFERROR(IF(AND(F577=0,Q577&gt;0),"No tiene sello",IF(Q577/F577&gt;1,"Exceso en sodio","No tiene sello")),"No tiene sello"))</f>
        <v>No tiene sello</v>
      </c>
      <c r="AM577" s="13" t="str">
        <f>IFERROR(IF(F577=0,"No tiene sello",IF(+(AG577/1000)*9*100/F577&gt;1,"Exceso en grasa trans", "No tiene sello")),"No tiene sello")</f>
        <v>No tiene sello</v>
      </c>
    </row>
    <row r="578" spans="1:39" ht="13.5" customHeight="1" x14ac:dyDescent="0.25">
      <c r="A578" s="20" t="s">
        <v>1660</v>
      </c>
      <c r="B578" s="20" t="s">
        <v>1659</v>
      </c>
      <c r="C578" s="20" t="s">
        <v>1806</v>
      </c>
      <c r="D578" s="46">
        <v>100</v>
      </c>
      <c r="E578" s="23">
        <v>6.5</v>
      </c>
      <c r="F578" s="24">
        <v>331</v>
      </c>
      <c r="G578" s="23">
        <v>1385</v>
      </c>
      <c r="H578" s="24">
        <v>16.600000000000001</v>
      </c>
      <c r="I578" s="24">
        <v>0.7</v>
      </c>
      <c r="J578" s="24">
        <v>72.7</v>
      </c>
      <c r="K578" s="23">
        <v>67.3</v>
      </c>
      <c r="L578" s="23">
        <v>2.4</v>
      </c>
      <c r="M578" s="24">
        <v>9</v>
      </c>
      <c r="N578" s="23">
        <v>3.5</v>
      </c>
      <c r="O578" s="25">
        <v>79</v>
      </c>
      <c r="P578" s="25">
        <v>7</v>
      </c>
      <c r="Q578" s="23">
        <v>60</v>
      </c>
      <c r="R578" s="25">
        <v>153</v>
      </c>
      <c r="S578" s="23">
        <v>1.2</v>
      </c>
      <c r="T578" s="23">
        <v>25</v>
      </c>
      <c r="U578" s="23">
        <v>1193</v>
      </c>
      <c r="V578" s="23">
        <v>0.44</v>
      </c>
      <c r="W578" s="23">
        <v>0.11</v>
      </c>
      <c r="X578" s="23">
        <v>0.7</v>
      </c>
      <c r="Y578" s="23">
        <v>47</v>
      </c>
      <c r="Z578" s="23">
        <v>0</v>
      </c>
      <c r="AA578" s="25">
        <v>12</v>
      </c>
      <c r="AB578" s="25">
        <v>0</v>
      </c>
      <c r="AC578" s="25">
        <v>0</v>
      </c>
      <c r="AD578" s="23">
        <v>0.2</v>
      </c>
      <c r="AE578" s="23">
        <v>0</v>
      </c>
      <c r="AF578" s="23">
        <v>0.3</v>
      </c>
      <c r="AG578" s="23">
        <v>0</v>
      </c>
      <c r="AH578" s="24">
        <v>0</v>
      </c>
      <c r="AI578" s="23">
        <v>100</v>
      </c>
      <c r="AJ578" s="13" t="str">
        <f xml:space="preserve"> IF(AD578&gt;F578,"Exceso en grasa saturada",IFERROR(IF(F578=0,"No tiene sello",IF((AD578*9)*100/F578&gt;10,"Exceso en grasa saturada","No tiene sello")),"No tiene sello"))</f>
        <v>No tiene sello</v>
      </c>
      <c r="AK578" s="13">
        <f>IF(AJ578="No tiene sello",0,1)</f>
        <v>0</v>
      </c>
      <c r="AL578" s="13" t="str">
        <f>IF(Q578&gt;=300,"Exceso en sodio",IFERROR(IF(AND(F578=0,Q578&gt;0),"No tiene sello",IF(Q578/F578&gt;1,"Exceso en sodio","No tiene sello")),"No tiene sello"))</f>
        <v>No tiene sello</v>
      </c>
      <c r="AM578" s="13" t="str">
        <f>IFERROR(IF(F578=0,"No tiene sello",IF(+(AG578/1000)*9*100/F578&gt;1,"Exceso en grasa trans", "No tiene sello")),"No tiene sello")</f>
        <v>No tiene sello</v>
      </c>
    </row>
    <row r="579" spans="1:39" ht="13.5" customHeight="1" x14ac:dyDescent="0.25">
      <c r="A579" s="26" t="s">
        <v>1662</v>
      </c>
      <c r="B579" s="26" t="s">
        <v>1673</v>
      </c>
      <c r="C579" s="27" t="s">
        <v>1810</v>
      </c>
      <c r="D579" s="22">
        <v>100</v>
      </c>
      <c r="E579" s="28">
        <v>67</v>
      </c>
      <c r="F579" s="24">
        <v>230</v>
      </c>
      <c r="G579" s="28">
        <v>962</v>
      </c>
      <c r="H579" s="24">
        <v>2.2999999999999998</v>
      </c>
      <c r="I579" s="24">
        <v>23.8</v>
      </c>
      <c r="J579" s="24">
        <v>5.5</v>
      </c>
      <c r="K579" s="28">
        <v>2.5</v>
      </c>
      <c r="L579" s="28">
        <v>2.5</v>
      </c>
      <c r="M579" s="24">
        <v>3</v>
      </c>
      <c r="N579" s="28">
        <v>1.4</v>
      </c>
      <c r="O579" s="25">
        <v>16</v>
      </c>
      <c r="P579" s="25">
        <v>1.6</v>
      </c>
      <c r="Q579" s="28">
        <v>15</v>
      </c>
      <c r="R579" s="25">
        <v>100</v>
      </c>
      <c r="S579" s="28">
        <v>0.7</v>
      </c>
      <c r="T579" s="28">
        <v>37</v>
      </c>
      <c r="U579" s="28">
        <v>263</v>
      </c>
      <c r="V579" s="28">
        <v>0.03</v>
      </c>
      <c r="W579" s="28">
        <v>0</v>
      </c>
      <c r="X579" s="28">
        <v>0.76</v>
      </c>
      <c r="Y579" s="28">
        <v>16</v>
      </c>
      <c r="Z579" s="28">
        <v>0</v>
      </c>
      <c r="AA579" s="25">
        <v>1</v>
      </c>
      <c r="AB579" s="25">
        <v>0</v>
      </c>
      <c r="AC579" s="25">
        <v>0</v>
      </c>
      <c r="AD579" s="28">
        <v>21</v>
      </c>
      <c r="AE579" s="28">
        <v>1</v>
      </c>
      <c r="AF579" s="28">
        <v>0.3</v>
      </c>
      <c r="AG579" s="28">
        <v>0</v>
      </c>
      <c r="AH579" s="24">
        <v>0</v>
      </c>
      <c r="AI579" s="28">
        <v>100</v>
      </c>
      <c r="AJ579" s="13" t="str">
        <f xml:space="preserve"> IF(AD579&gt;F579,"Exceso en grasa saturada",IFERROR(IF(F579=0,"No tiene sello",IF((AD579*9)*100/F579&gt;10,"Exceso en grasa saturada","No tiene sello")),"No tiene sello"))</f>
        <v>Exceso en grasa saturada</v>
      </c>
      <c r="AK579" s="13">
        <f>IF(AJ579="No tiene sello",0,1)</f>
        <v>1</v>
      </c>
      <c r="AL579" s="13" t="str">
        <f>IF(Q579&gt;=300,"Exceso en sodio",IFERROR(IF(AND(F579=0,Q579&gt;0),"No tiene sello",IF(Q579/F579&gt;1,"Exceso en sodio","No tiene sello")),"No tiene sello"))</f>
        <v>No tiene sello</v>
      </c>
      <c r="AM579" s="13" t="str">
        <f>IFERROR(IF(F579=0,"No tiene sello",IF(+(AG579/1000)*9*100/F579&gt;1,"Exceso en grasa trans", "No tiene sello")),"No tiene sello")</f>
        <v>No tiene sello</v>
      </c>
    </row>
    <row r="580" spans="1:39" ht="13.5" customHeight="1" x14ac:dyDescent="0.25">
      <c r="A580" s="20" t="s">
        <v>1664</v>
      </c>
      <c r="B580" s="20" t="s">
        <v>1661</v>
      </c>
      <c r="C580" s="20" t="s">
        <v>1806</v>
      </c>
      <c r="D580" s="46">
        <v>100</v>
      </c>
      <c r="E580" s="23">
        <v>5</v>
      </c>
      <c r="F580" s="24">
        <v>341</v>
      </c>
      <c r="G580" s="23">
        <v>1427</v>
      </c>
      <c r="H580" s="24">
        <v>8.4</v>
      </c>
      <c r="I580" s="24">
        <v>1</v>
      </c>
      <c r="J580" s="24">
        <v>79.099999999999994</v>
      </c>
      <c r="K580" s="23">
        <v>71.2</v>
      </c>
      <c r="L580" s="23">
        <v>4.7</v>
      </c>
      <c r="M580" s="24">
        <v>15.2</v>
      </c>
      <c r="N580" s="23">
        <v>6.5</v>
      </c>
      <c r="O580" s="25">
        <v>348</v>
      </c>
      <c r="P580" s="25">
        <v>3.4</v>
      </c>
      <c r="Q580" s="23">
        <v>48</v>
      </c>
      <c r="R580" s="25">
        <v>180</v>
      </c>
      <c r="S580" s="23">
        <v>0.9</v>
      </c>
      <c r="T580" s="23">
        <v>95</v>
      </c>
      <c r="U580" s="23">
        <v>1193</v>
      </c>
      <c r="V580" s="23">
        <v>0.45</v>
      </c>
      <c r="W580" s="23">
        <v>0.02</v>
      </c>
      <c r="X580" s="23">
        <v>0.2</v>
      </c>
      <c r="Y580" s="23">
        <v>23</v>
      </c>
      <c r="Z580" s="23">
        <v>0</v>
      </c>
      <c r="AA580" s="25">
        <v>0</v>
      </c>
      <c r="AB580" s="25">
        <v>0</v>
      </c>
      <c r="AC580" s="25">
        <v>0</v>
      </c>
      <c r="AD580" s="23">
        <v>0.2</v>
      </c>
      <c r="AE580" s="23">
        <v>0</v>
      </c>
      <c r="AF580" s="23">
        <v>0.5</v>
      </c>
      <c r="AG580" s="23">
        <v>0</v>
      </c>
      <c r="AH580" s="24">
        <v>0</v>
      </c>
      <c r="AI580" s="23">
        <v>100</v>
      </c>
      <c r="AJ580" s="13" t="str">
        <f xml:space="preserve"> IF(AD580&gt;F580,"Exceso en grasa saturada",IFERROR(IF(F580=0,"No tiene sello",IF((AD580*9)*100/F580&gt;10,"Exceso en grasa saturada","No tiene sello")),"No tiene sello"))</f>
        <v>No tiene sello</v>
      </c>
      <c r="AK580" s="13">
        <f>IF(AJ580="No tiene sello",0,1)</f>
        <v>0</v>
      </c>
      <c r="AL580" s="13" t="str">
        <f>IF(Q580&gt;=300,"Exceso en sodio",IFERROR(IF(AND(F580=0,Q580&gt;0),"No tiene sello",IF(Q580/F580&gt;1,"Exceso en sodio","No tiene sello")),"No tiene sello"))</f>
        <v>No tiene sello</v>
      </c>
      <c r="AM580" s="13" t="str">
        <f>IFERROR(IF(F580=0,"No tiene sello",IF(+(AG580/1000)*9*100/F580&gt;1,"Exceso en grasa trans", "No tiene sello")),"No tiene sello")</f>
        <v>No tiene sello</v>
      </c>
    </row>
    <row r="581" spans="1:39" ht="13.5" customHeight="1" x14ac:dyDescent="0.25">
      <c r="A581" s="26" t="s">
        <v>1666</v>
      </c>
      <c r="B581" s="26" t="s">
        <v>1674</v>
      </c>
      <c r="C581" s="27" t="s">
        <v>1811</v>
      </c>
      <c r="D581" s="22">
        <v>100</v>
      </c>
      <c r="E581" s="28">
        <v>58</v>
      </c>
      <c r="F581" s="24">
        <v>330</v>
      </c>
      <c r="G581" s="28">
        <v>1381</v>
      </c>
      <c r="H581" s="24">
        <v>3.2</v>
      </c>
      <c r="I581" s="24">
        <v>34.700000000000003</v>
      </c>
      <c r="J581" s="24">
        <v>3.6</v>
      </c>
      <c r="K581" s="28">
        <v>2</v>
      </c>
      <c r="L581" s="28">
        <v>2</v>
      </c>
      <c r="M581" s="24">
        <v>1.6</v>
      </c>
      <c r="N581" s="28">
        <v>0.5</v>
      </c>
      <c r="O581" s="25">
        <v>20</v>
      </c>
      <c r="P581" s="25">
        <v>2.1</v>
      </c>
      <c r="Q581" s="28">
        <v>20</v>
      </c>
      <c r="R581" s="25">
        <v>93</v>
      </c>
      <c r="S581" s="28">
        <v>0.9</v>
      </c>
      <c r="T581" s="28">
        <v>43</v>
      </c>
      <c r="U581" s="28">
        <v>230</v>
      </c>
      <c r="V581" s="28">
        <v>0.02</v>
      </c>
      <c r="W581" s="28">
        <v>0</v>
      </c>
      <c r="X581" s="28">
        <v>0.5</v>
      </c>
      <c r="Y581" s="28">
        <v>12</v>
      </c>
      <c r="Z581" s="28">
        <v>0</v>
      </c>
      <c r="AA581" s="25">
        <v>1</v>
      </c>
      <c r="AB581" s="25">
        <v>0</v>
      </c>
      <c r="AC581" s="25">
        <v>0</v>
      </c>
      <c r="AD581" s="28">
        <v>29</v>
      </c>
      <c r="AE581" s="28">
        <v>1.4</v>
      </c>
      <c r="AF581" s="28">
        <v>0.4</v>
      </c>
      <c r="AG581" s="28">
        <v>0</v>
      </c>
      <c r="AH581" s="24">
        <v>0</v>
      </c>
      <c r="AI581" s="28">
        <v>100</v>
      </c>
      <c r="AJ581" s="13" t="str">
        <f xml:space="preserve"> IF(AD581&gt;F581,"Exceso en grasa saturada",IFERROR(IF(F581=0,"No tiene sello",IF((AD581*9)*100/F581&gt;10,"Exceso en grasa saturada","No tiene sello")),"No tiene sello"))</f>
        <v>Exceso en grasa saturada</v>
      </c>
      <c r="AK581" s="13">
        <f>IF(AJ581="No tiene sello",0,1)</f>
        <v>1</v>
      </c>
      <c r="AL581" s="13" t="str">
        <f>IF(Q581&gt;=300,"Exceso en sodio",IFERROR(IF(AND(F581=0,Q581&gt;0),"No tiene sello",IF(Q581/F581&gt;1,"Exceso en sodio","No tiene sello")),"No tiene sello"))</f>
        <v>No tiene sello</v>
      </c>
      <c r="AM581" s="13" t="str">
        <f>IFERROR(IF(F581=0,"No tiene sello",IF(+(AG581/1000)*9*100/F581&gt;1,"Exceso en grasa trans", "No tiene sello")),"No tiene sello")</f>
        <v>No tiene sello</v>
      </c>
    </row>
    <row r="582" spans="1:39" ht="13.5" customHeight="1" x14ac:dyDescent="0.25">
      <c r="A582" s="20" t="s">
        <v>1678</v>
      </c>
      <c r="B582" s="20" t="s">
        <v>1663</v>
      </c>
      <c r="C582" s="20" t="s">
        <v>1807</v>
      </c>
      <c r="D582" s="46">
        <v>100</v>
      </c>
      <c r="E582" s="23">
        <v>5</v>
      </c>
      <c r="F582" s="24">
        <v>325</v>
      </c>
      <c r="G582" s="23">
        <v>1360</v>
      </c>
      <c r="H582" s="24">
        <v>45</v>
      </c>
      <c r="I582" s="24">
        <v>5</v>
      </c>
      <c r="J582" s="24">
        <v>35</v>
      </c>
      <c r="K582" s="23">
        <v>32</v>
      </c>
      <c r="L582" s="23">
        <v>0</v>
      </c>
      <c r="M582" s="24">
        <v>20</v>
      </c>
      <c r="N582" s="23">
        <v>10</v>
      </c>
      <c r="O582" s="25">
        <v>30</v>
      </c>
      <c r="P582" s="25">
        <v>18</v>
      </c>
      <c r="Q582" s="23">
        <v>30</v>
      </c>
      <c r="R582" s="25">
        <v>950</v>
      </c>
      <c r="S582" s="23">
        <v>8</v>
      </c>
      <c r="T582" s="23">
        <v>230</v>
      </c>
      <c r="U582" s="23">
        <v>2400</v>
      </c>
      <c r="V582" s="23">
        <v>12</v>
      </c>
      <c r="W582" s="23">
        <v>4</v>
      </c>
      <c r="X582" s="23">
        <v>50</v>
      </c>
      <c r="Y582" s="23">
        <v>2300</v>
      </c>
      <c r="Z582" s="23">
        <v>0</v>
      </c>
      <c r="AA582" s="25">
        <v>0</v>
      </c>
      <c r="AB582" s="25">
        <v>0</v>
      </c>
      <c r="AC582" s="25">
        <v>0</v>
      </c>
      <c r="AD582" s="23">
        <v>0.7</v>
      </c>
      <c r="AE582" s="23">
        <v>0.1</v>
      </c>
      <c r="AF582" s="23">
        <v>2.5</v>
      </c>
      <c r="AG582" s="23">
        <v>0</v>
      </c>
      <c r="AH582" s="24">
        <v>0</v>
      </c>
      <c r="AI582" s="23">
        <v>100</v>
      </c>
      <c r="AJ582" s="13" t="str">
        <f xml:space="preserve"> IF(AD582&gt;F582,"Exceso en grasa saturada",IFERROR(IF(F582=0,"No tiene sello",IF((AD582*9)*100/F582&gt;10,"Exceso en grasa saturada","No tiene sello")),"No tiene sello"))</f>
        <v>No tiene sello</v>
      </c>
      <c r="AK582" s="13">
        <f>IF(AJ582="No tiene sello",0,1)</f>
        <v>0</v>
      </c>
      <c r="AL582" s="13" t="str">
        <f>IF(Q582&gt;=300,"Exceso en sodio",IFERROR(IF(AND(F582=0,Q582&gt;0),"No tiene sello",IF(Q582/F582&gt;1,"Exceso en sodio","No tiene sello")),"No tiene sello"))</f>
        <v>No tiene sello</v>
      </c>
      <c r="AM582" s="13" t="str">
        <f>IFERROR(IF(F582=0,"No tiene sello",IF(+(AG582/1000)*9*100/F582&gt;1,"Exceso en grasa trans", "No tiene sello")),"No tiene sello")</f>
        <v>No tiene sello</v>
      </c>
    </row>
    <row r="583" spans="1:39" ht="13.5" customHeight="1" x14ac:dyDescent="0.25">
      <c r="A583" s="26" t="s">
        <v>1680</v>
      </c>
      <c r="B583" s="26" t="s">
        <v>1675</v>
      </c>
      <c r="C583" s="27" t="s">
        <v>1812</v>
      </c>
      <c r="D583" s="22">
        <v>100</v>
      </c>
      <c r="E583" s="28">
        <v>32</v>
      </c>
      <c r="F583" s="24">
        <v>260</v>
      </c>
      <c r="G583" s="28">
        <v>1088</v>
      </c>
      <c r="H583" s="24">
        <v>0</v>
      </c>
      <c r="I583" s="24">
        <v>0.1</v>
      </c>
      <c r="J583" s="24">
        <v>67</v>
      </c>
      <c r="K583" s="28">
        <v>67</v>
      </c>
      <c r="L583" s="28">
        <v>60.5</v>
      </c>
      <c r="M583" s="24">
        <v>0</v>
      </c>
      <c r="N583" s="28">
        <v>0.9</v>
      </c>
      <c r="O583" s="25">
        <v>67</v>
      </c>
      <c r="P583" s="25">
        <v>0.4</v>
      </c>
      <c r="Q583" s="28">
        <v>12</v>
      </c>
      <c r="R583" s="25">
        <v>2</v>
      </c>
      <c r="S583" s="28">
        <v>1.6</v>
      </c>
      <c r="T583" s="28">
        <v>21</v>
      </c>
      <c r="U583" s="28">
        <v>204</v>
      </c>
      <c r="V583" s="28">
        <v>0.01</v>
      </c>
      <c r="W583" s="28">
        <v>0.04</v>
      </c>
      <c r="X583" s="28">
        <v>0.08</v>
      </c>
      <c r="Y583" s="28">
        <v>0</v>
      </c>
      <c r="Z583" s="28">
        <v>0</v>
      </c>
      <c r="AA583" s="25">
        <v>0</v>
      </c>
      <c r="AB583" s="25">
        <v>0</v>
      </c>
      <c r="AC583" s="25">
        <v>0</v>
      </c>
      <c r="AD583" s="28">
        <v>0</v>
      </c>
      <c r="AE583" s="28">
        <v>0</v>
      </c>
      <c r="AF583" s="28">
        <v>0</v>
      </c>
      <c r="AG583" s="28">
        <v>0</v>
      </c>
      <c r="AH583" s="24">
        <v>0</v>
      </c>
      <c r="AI583" s="28">
        <v>100</v>
      </c>
      <c r="AJ583" s="13" t="str">
        <f xml:space="preserve"> IF(AD583&gt;F583,"Exceso en grasa saturada",IFERROR(IF(F583=0,"No tiene sello",IF((AD583*9)*100/F583&gt;10,"Exceso en grasa saturada","No tiene sello")),"No tiene sello"))</f>
        <v>No tiene sello</v>
      </c>
      <c r="AK583" s="13">
        <f>IF(AJ583="No tiene sello",0,1)</f>
        <v>0</v>
      </c>
      <c r="AL583" s="13" t="str">
        <f>IF(Q583&gt;=300,"Exceso en sodio",IFERROR(IF(AND(F583=0,Q583&gt;0),"No tiene sello",IF(Q583/F583&gt;1,"Exceso en sodio","No tiene sello")),"No tiene sello"))</f>
        <v>No tiene sello</v>
      </c>
      <c r="AM583" s="13" t="str">
        <f>IFERROR(IF(F583=0,"No tiene sello",IF(+(AG583/1000)*9*100/F583&gt;1,"Exceso en grasa trans", "No tiene sello")),"No tiene sello")</f>
        <v>No tiene sello</v>
      </c>
    </row>
    <row r="584" spans="1:39" ht="13.5" customHeight="1" x14ac:dyDescent="0.25">
      <c r="A584" s="20" t="s">
        <v>1682</v>
      </c>
      <c r="B584" s="20" t="s">
        <v>1676</v>
      </c>
      <c r="C584" s="20" t="s">
        <v>1813</v>
      </c>
      <c r="D584" s="46">
        <v>100</v>
      </c>
      <c r="E584" s="23">
        <v>0</v>
      </c>
      <c r="F584" s="24">
        <v>0</v>
      </c>
      <c r="G584" s="23">
        <v>0</v>
      </c>
      <c r="H584" s="24">
        <v>0</v>
      </c>
      <c r="I584" s="24">
        <v>0</v>
      </c>
      <c r="J584" s="24">
        <v>100</v>
      </c>
      <c r="K584" s="23">
        <v>100</v>
      </c>
      <c r="L584" s="23">
        <v>0</v>
      </c>
      <c r="M584" s="24">
        <v>0</v>
      </c>
      <c r="N584" s="23">
        <v>0</v>
      </c>
      <c r="O584" s="25">
        <v>0</v>
      </c>
      <c r="P584" s="25">
        <v>0</v>
      </c>
      <c r="Q584" s="23">
        <v>0</v>
      </c>
      <c r="R584" s="25">
        <v>0</v>
      </c>
      <c r="S584" s="23">
        <v>0</v>
      </c>
      <c r="T584" s="23">
        <v>0</v>
      </c>
      <c r="U584" s="23">
        <v>0</v>
      </c>
      <c r="V584" s="23">
        <v>0</v>
      </c>
      <c r="W584" s="23">
        <v>0</v>
      </c>
      <c r="X584" s="23">
        <v>0</v>
      </c>
      <c r="Y584" s="23">
        <v>0</v>
      </c>
      <c r="Z584" s="23">
        <v>0</v>
      </c>
      <c r="AA584" s="25">
        <v>0</v>
      </c>
      <c r="AB584" s="25">
        <v>0</v>
      </c>
      <c r="AC584" s="25">
        <v>0</v>
      </c>
      <c r="AD584" s="23">
        <v>0</v>
      </c>
      <c r="AE584" s="23">
        <v>0</v>
      </c>
      <c r="AF584" s="23">
        <v>0</v>
      </c>
      <c r="AG584" s="23">
        <v>0</v>
      </c>
      <c r="AH584" s="24">
        <v>0</v>
      </c>
      <c r="AI584" s="23">
        <v>100</v>
      </c>
      <c r="AJ584" s="13" t="str">
        <f xml:space="preserve"> IF(AD584&gt;F584,"Exceso en grasa saturada",IFERROR(IF(F584=0,"No tiene sello",IF((AD584*9)*100/F584&gt;10,"Exceso en grasa saturada","No tiene sello")),"No tiene sello"))</f>
        <v>No tiene sello</v>
      </c>
      <c r="AK584" s="13">
        <f>IF(AJ584="No tiene sello",0,1)</f>
        <v>0</v>
      </c>
      <c r="AL584" s="13" t="str">
        <f>IF(Q584&gt;=300,"Exceso en sodio",IFERROR(IF(AND(F584=0,Q584&gt;0),"No tiene sello",IF(Q584/F584&gt;1,"Exceso en sodio","No tiene sello")),"No tiene sello"))</f>
        <v>No tiene sello</v>
      </c>
      <c r="AM584" s="13" t="str">
        <f>IFERROR(IF(F584=0,"No tiene sello",IF(+(AG584/1000)*9*100/F584&gt;1,"Exceso en grasa trans", "No tiene sello")),"No tiene sello")</f>
        <v>No tiene sello</v>
      </c>
    </row>
    <row r="585" spans="1:39" ht="13.5" customHeight="1" x14ac:dyDescent="0.25">
      <c r="A585" s="26" t="s">
        <v>1684</v>
      </c>
      <c r="B585" s="26" t="s">
        <v>1665</v>
      </c>
      <c r="C585" s="27" t="s">
        <v>1808</v>
      </c>
      <c r="D585" s="22">
        <v>100</v>
      </c>
      <c r="E585" s="28">
        <v>6</v>
      </c>
      <c r="F585" s="24">
        <v>486</v>
      </c>
      <c r="G585" s="28">
        <v>2034</v>
      </c>
      <c r="H585" s="24">
        <v>16.5</v>
      </c>
      <c r="I585" s="24">
        <v>30.7</v>
      </c>
      <c r="J585" s="24">
        <v>42.1</v>
      </c>
      <c r="K585" s="28">
        <v>7.7</v>
      </c>
      <c r="L585" s="28">
        <v>0</v>
      </c>
      <c r="M585" s="24">
        <v>34.4</v>
      </c>
      <c r="N585" s="28">
        <v>4.7</v>
      </c>
      <c r="O585" s="25">
        <v>631</v>
      </c>
      <c r="P585" s="25">
        <v>7.7</v>
      </c>
      <c r="Q585" s="28">
        <v>16</v>
      </c>
      <c r="R585" s="25">
        <v>860</v>
      </c>
      <c r="S585" s="28">
        <v>4.5999999999999996</v>
      </c>
      <c r="T585" s="28">
        <v>335</v>
      </c>
      <c r="U585" s="28">
        <v>407</v>
      </c>
      <c r="V585" s="28">
        <v>0.62</v>
      </c>
      <c r="W585" s="28">
        <v>0.17</v>
      </c>
      <c r="X585" s="28">
        <v>8.8000000000000007</v>
      </c>
      <c r="Y585" s="28">
        <v>49</v>
      </c>
      <c r="Z585" s="28">
        <v>0</v>
      </c>
      <c r="AA585" s="25">
        <v>0</v>
      </c>
      <c r="AB585" s="25">
        <v>54</v>
      </c>
      <c r="AC585" s="25">
        <v>0</v>
      </c>
      <c r="AD585" s="28">
        <v>3.3</v>
      </c>
      <c r="AE585" s="28">
        <v>2.2999999999999998</v>
      </c>
      <c r="AF585" s="28">
        <v>23.7</v>
      </c>
      <c r="AG585" s="28">
        <v>0</v>
      </c>
      <c r="AH585" s="24">
        <v>0</v>
      </c>
      <c r="AI585" s="28">
        <v>100</v>
      </c>
      <c r="AJ585" s="13" t="str">
        <f xml:space="preserve"> IF(AD585&gt;F585,"Exceso en grasa saturada",IFERROR(IF(F585=0,"No tiene sello",IF((AD585*9)*100/F585&gt;10,"Exceso en grasa saturada","No tiene sello")),"No tiene sello"))</f>
        <v>No tiene sello</v>
      </c>
      <c r="AK585" s="13">
        <f>IF(AJ585="No tiene sello",0,1)</f>
        <v>0</v>
      </c>
      <c r="AL585" s="13" t="str">
        <f>IF(Q585&gt;=300,"Exceso en sodio",IFERROR(IF(AND(F585=0,Q585&gt;0),"No tiene sello",IF(Q585/F585&gt;1,"Exceso en sodio","No tiene sello")),"No tiene sello"))</f>
        <v>No tiene sello</v>
      </c>
      <c r="AM585" s="13" t="str">
        <f>IFERROR(IF(F585=0,"No tiene sello",IF(+(AG585/1000)*9*100/F585&gt;1,"Exceso en grasa trans", "No tiene sello")),"No tiene sello")</f>
        <v>No tiene sello</v>
      </c>
    </row>
    <row r="586" spans="1:39" s="5" customFormat="1" ht="13.5" customHeight="1" x14ac:dyDescent="0.25">
      <c r="A586" s="20" t="s">
        <v>1686</v>
      </c>
      <c r="B586" s="20" t="s">
        <v>1667</v>
      </c>
      <c r="C586" s="20" t="s">
        <v>1804</v>
      </c>
      <c r="D586" s="46">
        <v>100</v>
      </c>
      <c r="E586" s="23">
        <v>7</v>
      </c>
      <c r="F586" s="24">
        <v>534</v>
      </c>
      <c r="G586" s="23">
        <v>2234</v>
      </c>
      <c r="H586" s="24">
        <v>18.3</v>
      </c>
      <c r="I586" s="24">
        <v>42.2</v>
      </c>
      <c r="J586" s="24">
        <v>28.9</v>
      </c>
      <c r="K586" s="23">
        <v>1.6</v>
      </c>
      <c r="L586" s="23">
        <v>1.6</v>
      </c>
      <c r="M586" s="24">
        <v>27.3</v>
      </c>
      <c r="N586" s="23">
        <v>3.6</v>
      </c>
      <c r="O586" s="25">
        <v>255</v>
      </c>
      <c r="P586" s="25">
        <v>5.7</v>
      </c>
      <c r="Q586" s="23">
        <v>30</v>
      </c>
      <c r="R586" s="25">
        <v>642</v>
      </c>
      <c r="S586" s="23">
        <v>4.3</v>
      </c>
      <c r="T586" s="23">
        <v>392</v>
      </c>
      <c r="U586" s="23">
        <v>813</v>
      </c>
      <c r="V586" s="23">
        <v>1.64</v>
      </c>
      <c r="W586" s="23">
        <v>0.16</v>
      </c>
      <c r="X586" s="23">
        <v>3.1</v>
      </c>
      <c r="Y586" s="23">
        <v>87</v>
      </c>
      <c r="Z586" s="23">
        <v>0</v>
      </c>
      <c r="AA586" s="25">
        <v>0</v>
      </c>
      <c r="AB586" s="25">
        <v>0</v>
      </c>
      <c r="AC586" s="25">
        <v>0</v>
      </c>
      <c r="AD586" s="23">
        <v>3.7</v>
      </c>
      <c r="AE586" s="23">
        <v>7.5</v>
      </c>
      <c r="AF586" s="23">
        <v>28.7</v>
      </c>
      <c r="AG586" s="23">
        <v>0</v>
      </c>
      <c r="AH586" s="24">
        <v>0</v>
      </c>
      <c r="AI586" s="23">
        <v>100</v>
      </c>
      <c r="AJ586" s="13" t="str">
        <f xml:space="preserve"> IF(AD586&gt;F586,"Exceso en grasa saturada",IFERROR(IF(F586=0,"No tiene sello",IF((AD586*9)*100/F586&gt;10,"Exceso en grasa saturada","No tiene sello")),"No tiene sello"))</f>
        <v>No tiene sello</v>
      </c>
      <c r="AK586" s="13">
        <f>IF(AJ586="No tiene sello",0,1)</f>
        <v>0</v>
      </c>
      <c r="AL586" s="13" t="str">
        <f>IF(Q586&gt;=300,"Exceso en sodio",IFERROR(IF(AND(F586=0,Q586&gt;0),"No tiene sello",IF(Q586/F586&gt;1,"Exceso en sodio","No tiene sello")),"No tiene sello"))</f>
        <v>No tiene sello</v>
      </c>
      <c r="AM586" s="13" t="str">
        <f>IFERROR(IF(F586=0,"No tiene sello",IF(+(AG586/1000)*9*100/F586&gt;1,"Exceso en grasa trans", "No tiene sello")),"No tiene sello")</f>
        <v>No tiene sello</v>
      </c>
    </row>
    <row r="587" spans="1:39" ht="13.5" customHeight="1" x14ac:dyDescent="0.25">
      <c r="A587" s="26" t="s">
        <v>1688</v>
      </c>
      <c r="B587" s="26" t="s">
        <v>1677</v>
      </c>
      <c r="C587" s="27" t="s">
        <v>1814</v>
      </c>
      <c r="D587" s="22">
        <v>100</v>
      </c>
      <c r="E587" s="28">
        <v>3</v>
      </c>
      <c r="F587" s="24">
        <v>0</v>
      </c>
      <c r="G587" s="28">
        <v>0</v>
      </c>
      <c r="H587" s="24">
        <v>0</v>
      </c>
      <c r="I587" s="24">
        <v>0</v>
      </c>
      <c r="J587" s="24">
        <v>96</v>
      </c>
      <c r="K587" s="28">
        <v>0</v>
      </c>
      <c r="L587" s="28">
        <v>0</v>
      </c>
      <c r="M587" s="24">
        <v>0</v>
      </c>
      <c r="N587" s="28">
        <v>1</v>
      </c>
      <c r="O587" s="25">
        <v>120</v>
      </c>
      <c r="P587" s="25">
        <v>0.3</v>
      </c>
      <c r="Q587" s="28">
        <v>15</v>
      </c>
      <c r="R587" s="25">
        <v>0</v>
      </c>
      <c r="S587" s="28">
        <v>0</v>
      </c>
      <c r="T587" s="28">
        <v>0</v>
      </c>
      <c r="U587" s="28">
        <v>0</v>
      </c>
      <c r="V587" s="28">
        <v>0</v>
      </c>
      <c r="W587" s="28">
        <v>0</v>
      </c>
      <c r="X587" s="28">
        <v>0</v>
      </c>
      <c r="Y587" s="28">
        <v>0</v>
      </c>
      <c r="Z587" s="28">
        <v>0</v>
      </c>
      <c r="AA587" s="25">
        <v>0</v>
      </c>
      <c r="AB587" s="25">
        <v>0</v>
      </c>
      <c r="AC587" s="25">
        <v>0</v>
      </c>
      <c r="AD587" s="28">
        <v>0</v>
      </c>
      <c r="AE587" s="28">
        <v>0</v>
      </c>
      <c r="AF587" s="28">
        <v>0</v>
      </c>
      <c r="AG587" s="28">
        <v>0</v>
      </c>
      <c r="AH587" s="24">
        <v>0</v>
      </c>
      <c r="AI587" s="28">
        <v>100</v>
      </c>
      <c r="AJ587" s="13" t="str">
        <f xml:space="preserve"> IF(AD587&gt;F587,"Exceso en grasa saturada",IFERROR(IF(F587=0,"No tiene sello",IF((AD587*9)*100/F587&gt;10,"Exceso en grasa saturada","No tiene sello")),"No tiene sello"))</f>
        <v>No tiene sello</v>
      </c>
      <c r="AK587" s="13">
        <f>IF(AJ587="No tiene sello",0,1)</f>
        <v>0</v>
      </c>
      <c r="AL587" s="13" t="str">
        <f>IF(Q587&gt;=300,"Exceso en sodio",IFERROR(IF(AND(F587=0,Q587&gt;0),"No tiene sello",IF(Q587/F587&gt;1,"Exceso en sodio","No tiene sello")),"No tiene sello"))</f>
        <v>No tiene sello</v>
      </c>
      <c r="AM587" s="13" t="str">
        <f>IFERROR(IF(F587=0,"No tiene sello",IF(+(AG587/1000)*9*100/F587&gt;1,"Exceso en grasa trans", "No tiene sello")),"No tiene sello")</f>
        <v>No tiene sello</v>
      </c>
    </row>
    <row r="588" spans="1:39" ht="13.5" customHeight="1" x14ac:dyDescent="0.25">
      <c r="A588" s="20" t="s">
        <v>1690</v>
      </c>
      <c r="B588" s="20" t="s">
        <v>1679</v>
      </c>
      <c r="C588" s="20" t="s">
        <v>1815</v>
      </c>
      <c r="D588" s="46">
        <v>100</v>
      </c>
      <c r="E588" s="23">
        <v>4</v>
      </c>
      <c r="F588" s="24">
        <v>370</v>
      </c>
      <c r="G588" s="23">
        <v>1548</v>
      </c>
      <c r="H588" s="24">
        <v>90</v>
      </c>
      <c r="I588" s="24">
        <v>1</v>
      </c>
      <c r="J588" s="24">
        <v>3</v>
      </c>
      <c r="K588" s="23">
        <v>2</v>
      </c>
      <c r="L588" s="23">
        <v>2</v>
      </c>
      <c r="M588" s="24">
        <v>0</v>
      </c>
      <c r="N588" s="23">
        <v>2</v>
      </c>
      <c r="O588" s="25">
        <v>600</v>
      </c>
      <c r="P588" s="25">
        <v>0.5</v>
      </c>
      <c r="Q588" s="23">
        <v>200</v>
      </c>
      <c r="R588" s="25">
        <v>400</v>
      </c>
      <c r="S588" s="23">
        <v>2</v>
      </c>
      <c r="T588" s="23">
        <v>50</v>
      </c>
      <c r="U588" s="23">
        <v>400</v>
      </c>
      <c r="V588" s="23">
        <v>0.1</v>
      </c>
      <c r="W588" s="23">
        <v>0.8</v>
      </c>
      <c r="X588" s="23">
        <v>1.5</v>
      </c>
      <c r="Y588" s="23">
        <v>20</v>
      </c>
      <c r="Z588" s="23">
        <v>2.5</v>
      </c>
      <c r="AA588" s="25">
        <v>0</v>
      </c>
      <c r="AB588" s="25">
        <v>0</v>
      </c>
      <c r="AC588" s="25">
        <v>0</v>
      </c>
      <c r="AD588" s="23">
        <v>0.5</v>
      </c>
      <c r="AE588" s="23">
        <v>0.2</v>
      </c>
      <c r="AF588" s="23">
        <v>0.1</v>
      </c>
      <c r="AG588" s="23">
        <v>0</v>
      </c>
      <c r="AH588" s="24">
        <v>50</v>
      </c>
      <c r="AI588" s="23">
        <v>100</v>
      </c>
      <c r="AJ588" s="13" t="str">
        <f xml:space="preserve"> IF(AD588&gt;F588,"Exceso en grasa saturada",IFERROR(IF(F588=0,"No tiene sello",IF((AD588*9)*100/F588&gt;10,"Exceso en grasa saturada","No tiene sello")),"No tiene sello"))</f>
        <v>No tiene sello</v>
      </c>
      <c r="AK588" s="13">
        <f>IF(AJ588="No tiene sello",0,1)</f>
        <v>0</v>
      </c>
      <c r="AL588" s="13" t="str">
        <f>IF(Q588&gt;=300,"Exceso en sodio",IFERROR(IF(AND(F588=0,Q588&gt;0),"No tiene sello",IF(Q588/F588&gt;1,"Exceso en sodio","No tiene sello")),"No tiene sello"))</f>
        <v>No tiene sello</v>
      </c>
      <c r="AM588" s="13" t="str">
        <f>IFERROR(IF(F588=0,"No tiene sello",IF(+(AG588/1000)*9*100/F588&gt;1,"Exceso en grasa trans", "No tiene sello")),"No tiene sello")</f>
        <v>No tiene sello</v>
      </c>
    </row>
    <row r="589" spans="1:39" ht="13.5" customHeight="1" x14ac:dyDescent="0.25">
      <c r="A589" s="26" t="s">
        <v>1692</v>
      </c>
      <c r="B589" s="26" t="s">
        <v>1681</v>
      </c>
      <c r="C589" s="27" t="s">
        <v>1816</v>
      </c>
      <c r="D589" s="22">
        <v>100</v>
      </c>
      <c r="E589" s="28">
        <v>8</v>
      </c>
      <c r="F589" s="24">
        <v>350</v>
      </c>
      <c r="G589" s="28">
        <v>1465</v>
      </c>
      <c r="H589" s="24">
        <v>88</v>
      </c>
      <c r="I589" s="24">
        <v>0</v>
      </c>
      <c r="J589" s="24">
        <v>0</v>
      </c>
      <c r="K589" s="28">
        <v>0</v>
      </c>
      <c r="L589" s="28">
        <v>0</v>
      </c>
      <c r="M589" s="24">
        <v>0</v>
      </c>
      <c r="N589" s="28">
        <v>4</v>
      </c>
      <c r="O589" s="25">
        <v>0</v>
      </c>
      <c r="P589" s="25">
        <v>0.1</v>
      </c>
      <c r="Q589" s="28">
        <v>150</v>
      </c>
      <c r="R589" s="25">
        <v>0</v>
      </c>
      <c r="S589" s="28">
        <v>0</v>
      </c>
      <c r="T589" s="28">
        <v>0</v>
      </c>
      <c r="U589" s="28">
        <v>0</v>
      </c>
      <c r="V589" s="28">
        <v>0</v>
      </c>
      <c r="W589" s="28">
        <v>0</v>
      </c>
      <c r="X589" s="28">
        <v>0</v>
      </c>
      <c r="Y589" s="28">
        <v>0</v>
      </c>
      <c r="Z589" s="28">
        <v>0</v>
      </c>
      <c r="AA589" s="25">
        <v>0</v>
      </c>
      <c r="AB589" s="25">
        <v>0</v>
      </c>
      <c r="AC589" s="25">
        <v>0</v>
      </c>
      <c r="AD589" s="28">
        <v>0</v>
      </c>
      <c r="AE589" s="28">
        <v>0</v>
      </c>
      <c r="AF589" s="28">
        <v>0</v>
      </c>
      <c r="AG589" s="28">
        <v>0</v>
      </c>
      <c r="AH589" s="24">
        <v>0</v>
      </c>
      <c r="AI589" s="28">
        <v>100</v>
      </c>
      <c r="AJ589" s="13" t="str">
        <f xml:space="preserve"> IF(AD589&gt;F589,"Exceso en grasa saturada",IFERROR(IF(F589=0,"No tiene sello",IF((AD589*9)*100/F589&gt;10,"Exceso en grasa saturada","No tiene sello")),"No tiene sello"))</f>
        <v>No tiene sello</v>
      </c>
      <c r="AK589" s="13">
        <f>IF(AJ589="No tiene sello",0,1)</f>
        <v>0</v>
      </c>
      <c r="AL589" s="13" t="str">
        <f>IF(Q589&gt;=300,"Exceso en sodio",IFERROR(IF(AND(F589=0,Q589&gt;0),"No tiene sello",IF(Q589/F589&gt;1,"Exceso en sodio","No tiene sello")),"No tiene sello"))</f>
        <v>No tiene sello</v>
      </c>
      <c r="AM589" s="13" t="str">
        <f>IFERROR(IF(F589=0,"No tiene sello",IF(+(AG589/1000)*9*100/F589&gt;1,"Exceso en grasa trans", "No tiene sello")),"No tiene sello")</f>
        <v>No tiene sello</v>
      </c>
    </row>
    <row r="590" spans="1:39" s="5" customFormat="1" ht="13.5" customHeight="1" x14ac:dyDescent="0.25">
      <c r="A590" s="20" t="s">
        <v>1694</v>
      </c>
      <c r="B590" s="20" t="s">
        <v>1683</v>
      </c>
      <c r="C590" s="20" t="s">
        <v>1817</v>
      </c>
      <c r="D590" s="46">
        <v>100</v>
      </c>
      <c r="E590" s="23">
        <v>5</v>
      </c>
      <c r="F590" s="24">
        <v>559</v>
      </c>
      <c r="G590" s="23">
        <v>2339</v>
      </c>
      <c r="H590" s="24">
        <v>30.2</v>
      </c>
      <c r="I590" s="24">
        <v>49.1</v>
      </c>
      <c r="J590" s="24">
        <v>10.7</v>
      </c>
      <c r="K590" s="23">
        <v>1.4</v>
      </c>
      <c r="L590" s="23">
        <v>1.4</v>
      </c>
      <c r="M590" s="24">
        <v>9.3000000000000007</v>
      </c>
      <c r="N590" s="23">
        <v>5</v>
      </c>
      <c r="O590" s="25">
        <v>46</v>
      </c>
      <c r="P590" s="25">
        <v>8.8000000000000007</v>
      </c>
      <c r="Q590" s="23">
        <v>7</v>
      </c>
      <c r="R590" s="25">
        <v>1233</v>
      </c>
      <c r="S590" s="23">
        <v>7.8</v>
      </c>
      <c r="T590" s="23">
        <v>592</v>
      </c>
      <c r="U590" s="23">
        <v>809</v>
      </c>
      <c r="V590" s="23">
        <v>0.27</v>
      </c>
      <c r="W590" s="23">
        <v>0.15</v>
      </c>
      <c r="X590" s="23">
        <v>4.99</v>
      </c>
      <c r="Y590" s="23">
        <v>58</v>
      </c>
      <c r="Z590" s="23">
        <v>0</v>
      </c>
      <c r="AA590" s="25">
        <v>2</v>
      </c>
      <c r="AB590" s="25">
        <v>0</v>
      </c>
      <c r="AC590" s="25">
        <v>0</v>
      </c>
      <c r="AD590" s="23">
        <v>8.6999999999999993</v>
      </c>
      <c r="AE590" s="23">
        <v>15.7</v>
      </c>
      <c r="AF590" s="23">
        <v>20.9</v>
      </c>
      <c r="AG590" s="23">
        <v>0</v>
      </c>
      <c r="AH590" s="24">
        <v>0</v>
      </c>
      <c r="AI590" s="23">
        <v>100</v>
      </c>
      <c r="AJ590" s="13" t="str">
        <f xml:space="preserve"> IF(AD590&gt;F590,"Exceso en grasa saturada",IFERROR(IF(F590=0,"No tiene sello",IF((AD590*9)*100/F590&gt;10,"Exceso en grasa saturada","No tiene sello")),"No tiene sello"))</f>
        <v>Exceso en grasa saturada</v>
      </c>
      <c r="AK590" s="13">
        <f>IF(AJ590="No tiene sello",0,1)</f>
        <v>1</v>
      </c>
      <c r="AL590" s="13" t="str">
        <f>IF(Q590&gt;=300,"Exceso en sodio",IFERROR(IF(AND(F590=0,Q590&gt;0),"No tiene sello",IF(Q590/F590&gt;1,"Exceso en sodio","No tiene sello")),"No tiene sello"))</f>
        <v>No tiene sello</v>
      </c>
      <c r="AM590" s="13" t="str">
        <f>IFERROR(IF(F590=0,"No tiene sello",IF(+(AG590/1000)*9*100/F590&gt;1,"Exceso en grasa trans", "No tiene sello")),"No tiene sello")</f>
        <v>No tiene sello</v>
      </c>
    </row>
    <row r="591" spans="1:39" ht="13.5" customHeight="1" x14ac:dyDescent="0.25">
      <c r="A591" s="26" t="s">
        <v>1696</v>
      </c>
      <c r="B591" s="26" t="s">
        <v>1685</v>
      </c>
      <c r="C591" s="27" t="s">
        <v>1817</v>
      </c>
      <c r="D591" s="22">
        <v>100</v>
      </c>
      <c r="E591" s="28">
        <v>4.7</v>
      </c>
      <c r="F591" s="24">
        <v>584</v>
      </c>
      <c r="G591" s="28">
        <v>2445</v>
      </c>
      <c r="H591" s="24">
        <v>20.8</v>
      </c>
      <c r="I591" s="24">
        <v>51.5</v>
      </c>
      <c r="J591" s="24">
        <v>20</v>
      </c>
      <c r="K591" s="28">
        <v>2.6</v>
      </c>
      <c r="L591" s="28">
        <v>2.6</v>
      </c>
      <c r="M591" s="24">
        <v>17.399999999999999</v>
      </c>
      <c r="N591" s="28">
        <v>3</v>
      </c>
      <c r="O591" s="25">
        <v>78</v>
      </c>
      <c r="P591" s="25">
        <v>5.3</v>
      </c>
      <c r="Q591" s="28">
        <v>9</v>
      </c>
      <c r="R591" s="25">
        <v>660</v>
      </c>
      <c r="S591" s="28">
        <v>5</v>
      </c>
      <c r="T591" s="28">
        <v>325</v>
      </c>
      <c r="U591" s="28">
        <v>645</v>
      </c>
      <c r="V591" s="28">
        <v>1.48</v>
      </c>
      <c r="W591" s="28">
        <v>0.36</v>
      </c>
      <c r="X591" s="28">
        <v>8.34</v>
      </c>
      <c r="Y591" s="28">
        <v>227</v>
      </c>
      <c r="Z591" s="28">
        <v>0</v>
      </c>
      <c r="AA591" s="25">
        <v>1</v>
      </c>
      <c r="AB591" s="25">
        <v>0</v>
      </c>
      <c r="AC591" s="25">
        <v>0</v>
      </c>
      <c r="AD591" s="28">
        <v>4.5</v>
      </c>
      <c r="AE591" s="28">
        <v>18.5</v>
      </c>
      <c r="AF591" s="28">
        <v>23.1</v>
      </c>
      <c r="AG591" s="28">
        <v>0</v>
      </c>
      <c r="AH591" s="24">
        <v>0</v>
      </c>
      <c r="AI591" s="28">
        <v>100</v>
      </c>
      <c r="AJ591" s="13" t="str">
        <f xml:space="preserve"> IF(AD591&gt;F591,"Exceso en grasa saturada",IFERROR(IF(F591=0,"No tiene sello",IF((AD591*9)*100/F591&gt;10,"Exceso en grasa saturada","No tiene sello")),"No tiene sello"))</f>
        <v>No tiene sello</v>
      </c>
      <c r="AK591" s="13">
        <f>IF(AJ591="No tiene sello",0,1)</f>
        <v>0</v>
      </c>
      <c r="AL591" s="13" t="str">
        <f>IF(Q591&gt;=300,"Exceso en sodio",IFERROR(IF(AND(F591=0,Q591&gt;0),"No tiene sello",IF(Q591/F591&gt;1,"Exceso en sodio","No tiene sello")),"No tiene sello"))</f>
        <v>No tiene sello</v>
      </c>
      <c r="AM591" s="13" t="str">
        <f>IFERROR(IF(F591=0,"No tiene sello",IF(+(AG591/1000)*9*100/F591&gt;1,"Exceso en grasa trans", "No tiene sello")),"No tiene sello")</f>
        <v>No tiene sello</v>
      </c>
    </row>
    <row r="592" spans="1:39" ht="13.5" customHeight="1" x14ac:dyDescent="0.25">
      <c r="A592" s="20" t="s">
        <v>1698</v>
      </c>
      <c r="B592" s="20" t="s">
        <v>1687</v>
      </c>
      <c r="C592" s="20" t="s">
        <v>1818</v>
      </c>
      <c r="D592" s="46">
        <v>100</v>
      </c>
      <c r="E592" s="23">
        <v>2</v>
      </c>
      <c r="F592" s="24">
        <v>628</v>
      </c>
      <c r="G592" s="23">
        <v>2629</v>
      </c>
      <c r="H592" s="24">
        <v>15</v>
      </c>
      <c r="I592" s="24">
        <v>60.8</v>
      </c>
      <c r="J592" s="24">
        <v>16.7</v>
      </c>
      <c r="K592" s="23">
        <v>4.3</v>
      </c>
      <c r="L592" s="23">
        <v>4.3</v>
      </c>
      <c r="M592" s="24">
        <v>12.4</v>
      </c>
      <c r="N592" s="23">
        <v>2.5</v>
      </c>
      <c r="O592" s="25">
        <v>114</v>
      </c>
      <c r="P592" s="25">
        <v>4.7</v>
      </c>
      <c r="Q592" s="23">
        <v>0</v>
      </c>
      <c r="R592" s="25">
        <v>290</v>
      </c>
      <c r="S592" s="23">
        <v>2.5</v>
      </c>
      <c r="T592" s="23">
        <v>163</v>
      </c>
      <c r="U592" s="23">
        <v>680</v>
      </c>
      <c r="V592" s="23">
        <v>0.64</v>
      </c>
      <c r="W592" s="23">
        <v>0.11</v>
      </c>
      <c r="X592" s="23">
        <v>1.8</v>
      </c>
      <c r="Y592" s="23">
        <v>113</v>
      </c>
      <c r="Z592" s="23">
        <v>0</v>
      </c>
      <c r="AA592" s="25">
        <v>0</v>
      </c>
      <c r="AB592" s="25">
        <v>0</v>
      </c>
      <c r="AC592" s="25">
        <v>0</v>
      </c>
      <c r="AD592" s="23">
        <v>4.5</v>
      </c>
      <c r="AE592" s="23">
        <v>45.7</v>
      </c>
      <c r="AF592" s="23">
        <v>7.9</v>
      </c>
      <c r="AG592" s="23">
        <v>0</v>
      </c>
      <c r="AH592" s="24">
        <v>0</v>
      </c>
      <c r="AI592" s="23">
        <v>100</v>
      </c>
      <c r="AJ592" s="13" t="str">
        <f xml:space="preserve"> IF(AD592&gt;F592,"Exceso en grasa saturada",IFERROR(IF(F592=0,"No tiene sello",IF((AD592*9)*100/F592&gt;10,"Exceso en grasa saturada","No tiene sello")),"No tiene sello"))</f>
        <v>No tiene sello</v>
      </c>
      <c r="AK592" s="13">
        <f>IF(AJ592="No tiene sello",0,1)</f>
        <v>0</v>
      </c>
      <c r="AL592" s="13" t="str">
        <f>IF(Q592&gt;=300,"Exceso en sodio",IFERROR(IF(AND(F592=0,Q592&gt;0),"No tiene sello",IF(Q592/F592&gt;1,"Exceso en sodio","No tiene sello")),"No tiene sello"))</f>
        <v>No tiene sello</v>
      </c>
      <c r="AM592" s="13" t="str">
        <f>IFERROR(IF(F592=0,"No tiene sello",IF(+(AG592/1000)*9*100/F592&gt;1,"Exceso en grasa trans", "No tiene sello")),"No tiene sello")</f>
        <v>No tiene sello</v>
      </c>
    </row>
    <row r="593" spans="1:39" ht="13.5" customHeight="1" x14ac:dyDescent="0.25">
      <c r="A593" s="26" t="s">
        <v>1700</v>
      </c>
      <c r="B593" s="26" t="s">
        <v>1689</v>
      </c>
      <c r="C593" s="27" t="s">
        <v>1819</v>
      </c>
      <c r="D593" s="22">
        <v>100</v>
      </c>
      <c r="E593" s="28">
        <v>3.5</v>
      </c>
      <c r="F593" s="24">
        <v>691</v>
      </c>
      <c r="G593" s="28">
        <v>2893</v>
      </c>
      <c r="H593" s="24">
        <v>9.1999999999999993</v>
      </c>
      <c r="I593" s="24">
        <v>72</v>
      </c>
      <c r="J593" s="24">
        <v>13.9</v>
      </c>
      <c r="K593" s="28">
        <v>4</v>
      </c>
      <c r="L593" s="28">
        <v>4</v>
      </c>
      <c r="M593" s="24">
        <v>9.9</v>
      </c>
      <c r="N593" s="28">
        <v>1.4</v>
      </c>
      <c r="O593" s="25">
        <v>70</v>
      </c>
      <c r="P593" s="25">
        <v>2.5</v>
      </c>
      <c r="Q593" s="28">
        <v>0</v>
      </c>
      <c r="R593" s="25">
        <v>277</v>
      </c>
      <c r="S593" s="28">
        <v>4.5</v>
      </c>
      <c r="T593" s="28">
        <v>121</v>
      </c>
      <c r="U593" s="28">
        <v>410</v>
      </c>
      <c r="V593" s="28">
        <v>0.66</v>
      </c>
      <c r="W593" s="28">
        <v>0.13</v>
      </c>
      <c r="X593" s="28">
        <v>1.17</v>
      </c>
      <c r="Y593" s="28">
        <v>22</v>
      </c>
      <c r="Z593" s="28">
        <v>0</v>
      </c>
      <c r="AA593" s="25">
        <v>1</v>
      </c>
      <c r="AB593" s="25">
        <v>0</v>
      </c>
      <c r="AC593" s="25">
        <v>0</v>
      </c>
      <c r="AD593" s="28">
        <v>6.2</v>
      </c>
      <c r="AE593" s="28">
        <v>40.799999999999997</v>
      </c>
      <c r="AF593" s="28">
        <v>21.6</v>
      </c>
      <c r="AG593" s="28">
        <v>0</v>
      </c>
      <c r="AH593" s="24">
        <v>0</v>
      </c>
      <c r="AI593" s="28">
        <v>100</v>
      </c>
      <c r="AJ593" s="13" t="str">
        <f xml:space="preserve"> IF(AD593&gt;F593,"Exceso en grasa saturada",IFERROR(IF(F593=0,"No tiene sello",IF((AD593*9)*100/F593&gt;10,"Exceso en grasa saturada","No tiene sello")),"No tiene sello"))</f>
        <v>No tiene sello</v>
      </c>
      <c r="AK593" s="13">
        <f>IF(AJ593="No tiene sello",0,1)</f>
        <v>0</v>
      </c>
      <c r="AL593" s="13" t="str">
        <f>IF(Q593&gt;=300,"Exceso en sodio",IFERROR(IF(AND(F593=0,Q593&gt;0),"No tiene sello",IF(Q593/F593&gt;1,"Exceso en sodio","No tiene sello")),"No tiene sello"))</f>
        <v>No tiene sello</v>
      </c>
      <c r="AM593" s="13" t="str">
        <f>IFERROR(IF(F593=0,"No tiene sello",IF(+(AG593/1000)*9*100/F593&gt;1,"Exceso en grasa trans", "No tiene sello")),"No tiene sello")</f>
        <v>No tiene sello</v>
      </c>
    </row>
    <row r="594" spans="1:39" ht="13.5" customHeight="1" x14ac:dyDescent="0.25">
      <c r="A594" s="20" t="s">
        <v>1702</v>
      </c>
      <c r="B594" s="20" t="s">
        <v>1691</v>
      </c>
      <c r="C594" s="20" t="s">
        <v>1820</v>
      </c>
      <c r="D594" s="46">
        <v>100</v>
      </c>
      <c r="E594" s="23">
        <v>2.2999999999999998</v>
      </c>
      <c r="F594" s="24">
        <v>673</v>
      </c>
      <c r="G594" s="23">
        <v>2816</v>
      </c>
      <c r="H594" s="24">
        <v>13.7</v>
      </c>
      <c r="I594" s="24">
        <v>68.400000000000006</v>
      </c>
      <c r="J594" s="24">
        <v>13.1</v>
      </c>
      <c r="K594" s="23">
        <v>3.7</v>
      </c>
      <c r="L594" s="23">
        <v>3.7</v>
      </c>
      <c r="M594" s="24">
        <v>9.4</v>
      </c>
      <c r="N594" s="23">
        <v>2.5</v>
      </c>
      <c r="O594" s="25">
        <v>16</v>
      </c>
      <c r="P594" s="25">
        <v>5.5</v>
      </c>
      <c r="Q594" s="23">
        <v>2</v>
      </c>
      <c r="R594" s="25">
        <v>575</v>
      </c>
      <c r="S594" s="23">
        <v>6.4</v>
      </c>
      <c r="T594" s="23">
        <v>251</v>
      </c>
      <c r="U594" s="23">
        <v>597</v>
      </c>
      <c r="V594" s="23">
        <v>0.36</v>
      </c>
      <c r="W594" s="23">
        <v>0.23</v>
      </c>
      <c r="X594" s="23">
        <v>4.3899999999999997</v>
      </c>
      <c r="Y594" s="23">
        <v>34</v>
      </c>
      <c r="Z594" s="23">
        <v>0</v>
      </c>
      <c r="AA594" s="25">
        <v>1</v>
      </c>
      <c r="AB594" s="25">
        <v>0</v>
      </c>
      <c r="AC594" s="25">
        <v>0</v>
      </c>
      <c r="AD594" s="23">
        <v>4.9000000000000004</v>
      </c>
      <c r="AE594" s="23">
        <v>18.7</v>
      </c>
      <c r="AF594" s="23">
        <v>34.1</v>
      </c>
      <c r="AG594" s="23">
        <v>0</v>
      </c>
      <c r="AH594" s="24">
        <v>0</v>
      </c>
      <c r="AI594" s="23">
        <v>100</v>
      </c>
      <c r="AJ594" s="13" t="str">
        <f xml:space="preserve"> IF(AD594&gt;F594,"Exceso en grasa saturada",IFERROR(IF(F594=0,"No tiene sello",IF((AD594*9)*100/F594&gt;10,"Exceso en grasa saturada","No tiene sello")),"No tiene sello"))</f>
        <v>No tiene sello</v>
      </c>
      <c r="AK594" s="13">
        <f>IF(AJ594="No tiene sello",0,1)</f>
        <v>0</v>
      </c>
      <c r="AL594" s="13" t="str">
        <f>IF(Q594&gt;=300,"Exceso en sodio",IFERROR(IF(AND(F594=0,Q594&gt;0),"No tiene sello",IF(Q594/F594&gt;1,"Exceso en sodio","No tiene sello")),"No tiene sello"))</f>
        <v>No tiene sello</v>
      </c>
      <c r="AM594" s="13" t="str">
        <f>IFERROR(IF(F594=0,"No tiene sello",IF(+(AG594/1000)*9*100/F594&gt;1,"Exceso en grasa trans", "No tiene sello")),"No tiene sello")</f>
        <v>No tiene sello</v>
      </c>
    </row>
    <row r="595" spans="1:39" ht="13.5" customHeight="1" x14ac:dyDescent="0.25">
      <c r="A595" s="26" t="s">
        <v>1704</v>
      </c>
      <c r="B595" s="26" t="s">
        <v>1693</v>
      </c>
      <c r="C595" s="27" t="s">
        <v>1821</v>
      </c>
      <c r="D595" s="22">
        <v>100</v>
      </c>
      <c r="E595" s="28">
        <v>1.5</v>
      </c>
      <c r="F595" s="24">
        <v>614</v>
      </c>
      <c r="G595" s="28">
        <v>2570</v>
      </c>
      <c r="H595" s="24">
        <v>21.2</v>
      </c>
      <c r="I595" s="24">
        <v>55.5</v>
      </c>
      <c r="J595" s="24">
        <v>18.8</v>
      </c>
      <c r="K595" s="28">
        <v>6.4</v>
      </c>
      <c r="L595" s="28">
        <v>4.4000000000000004</v>
      </c>
      <c r="M595" s="24">
        <v>12.4</v>
      </c>
      <c r="N595" s="28">
        <v>3</v>
      </c>
      <c r="O595" s="25">
        <v>347</v>
      </c>
      <c r="P595" s="25">
        <v>3.5</v>
      </c>
      <c r="Q595" s="28">
        <v>7</v>
      </c>
      <c r="R595" s="25">
        <v>508</v>
      </c>
      <c r="S595" s="28">
        <v>3.1</v>
      </c>
      <c r="T595" s="28">
        <v>279</v>
      </c>
      <c r="U595" s="28">
        <v>748</v>
      </c>
      <c r="V595" s="28">
        <v>0.2</v>
      </c>
      <c r="W595" s="28">
        <v>1.02</v>
      </c>
      <c r="X595" s="28">
        <v>3.62</v>
      </c>
      <c r="Y595" s="28">
        <v>44</v>
      </c>
      <c r="Z595" s="28">
        <v>0</v>
      </c>
      <c r="AA595" s="25">
        <v>0</v>
      </c>
      <c r="AB595" s="25">
        <v>0</v>
      </c>
      <c r="AC595" s="25">
        <v>0</v>
      </c>
      <c r="AD595" s="28">
        <v>4.2</v>
      </c>
      <c r="AE595" s="28">
        <v>34.5</v>
      </c>
      <c r="AF595" s="28">
        <v>14.2</v>
      </c>
      <c r="AG595" s="28">
        <v>0</v>
      </c>
      <c r="AH595" s="24">
        <v>0</v>
      </c>
      <c r="AI595" s="28">
        <v>100</v>
      </c>
      <c r="AJ595" s="13" t="str">
        <f xml:space="preserve"> IF(AD595&gt;F595,"Exceso en grasa saturada",IFERROR(IF(F595=0,"No tiene sello",IF((AD595*9)*100/F595&gt;10,"Exceso en grasa saturada","No tiene sello")),"No tiene sello"))</f>
        <v>No tiene sello</v>
      </c>
      <c r="AK595" s="13">
        <f>IF(AJ595="No tiene sello",0,1)</f>
        <v>0</v>
      </c>
      <c r="AL595" s="13" t="str">
        <f>IF(Q595&gt;=300,"Exceso en sodio",IFERROR(IF(AND(F595=0,Q595&gt;0),"No tiene sello",IF(Q595/F595&gt;1,"Exceso en sodio","No tiene sello")),"No tiene sello"))</f>
        <v>No tiene sello</v>
      </c>
      <c r="AM595" s="13" t="str">
        <f>IFERROR(IF(F595=0,"No tiene sello",IF(+(AG595/1000)*9*100/F595&gt;1,"Exceso en grasa trans", "No tiene sello")),"No tiene sello")</f>
        <v>No tiene sello</v>
      </c>
    </row>
    <row r="596" spans="1:39" ht="13.5" customHeight="1" x14ac:dyDescent="0.25">
      <c r="A596" s="20" t="s">
        <v>1706</v>
      </c>
      <c r="B596" s="20" t="s">
        <v>1695</v>
      </c>
      <c r="C596" s="20" t="s">
        <v>1822</v>
      </c>
      <c r="D596" s="46">
        <v>100</v>
      </c>
      <c r="E596" s="23">
        <v>1.2</v>
      </c>
      <c r="F596" s="24">
        <v>595</v>
      </c>
      <c r="G596" s="23">
        <v>2490</v>
      </c>
      <c r="H596" s="24">
        <v>17</v>
      </c>
      <c r="I596" s="24">
        <v>53.8</v>
      </c>
      <c r="J596" s="24">
        <v>21.2</v>
      </c>
      <c r="K596" s="23">
        <v>0.5</v>
      </c>
      <c r="L596" s="23">
        <v>0.5</v>
      </c>
      <c r="M596" s="24">
        <v>20.7</v>
      </c>
      <c r="N596" s="23">
        <v>6.8</v>
      </c>
      <c r="O596" s="25">
        <v>426</v>
      </c>
      <c r="P596" s="25">
        <v>8.9</v>
      </c>
      <c r="Q596" s="23">
        <v>115</v>
      </c>
      <c r="R596" s="25">
        <v>732</v>
      </c>
      <c r="S596" s="23">
        <v>4.5999999999999996</v>
      </c>
      <c r="T596" s="23">
        <v>95</v>
      </c>
      <c r="U596" s="23">
        <v>414</v>
      </c>
      <c r="V596" s="23">
        <v>0.79</v>
      </c>
      <c r="W596" s="23">
        <v>0.47</v>
      </c>
      <c r="X596" s="23">
        <v>5.45</v>
      </c>
      <c r="Y596" s="23">
        <v>98</v>
      </c>
      <c r="Z596" s="23">
        <v>0</v>
      </c>
      <c r="AA596" s="25">
        <v>0</v>
      </c>
      <c r="AB596" s="25">
        <v>0</v>
      </c>
      <c r="AC596" s="25">
        <v>0</v>
      </c>
      <c r="AD596" s="23">
        <v>7.6</v>
      </c>
      <c r="AE596" s="23">
        <v>20.3</v>
      </c>
      <c r="AF596" s="23">
        <v>23.8</v>
      </c>
      <c r="AG596" s="23">
        <v>0</v>
      </c>
      <c r="AH596" s="24">
        <v>0</v>
      </c>
      <c r="AI596" s="23">
        <v>100</v>
      </c>
      <c r="AJ596" s="13" t="str">
        <f xml:space="preserve"> IF(AD596&gt;F596,"Exceso en grasa saturada",IFERROR(IF(F596=0,"No tiene sello",IF((AD596*9)*100/F596&gt;10,"Exceso en grasa saturada","No tiene sello")),"No tiene sello"))</f>
        <v>Exceso en grasa saturada</v>
      </c>
      <c r="AK596" s="13">
        <f>IF(AJ596="No tiene sello",0,1)</f>
        <v>1</v>
      </c>
      <c r="AL596" s="13" t="str">
        <f>IF(Q596&gt;=300,"Exceso en sodio",IFERROR(IF(AND(F596=0,Q596&gt;0),"No tiene sello",IF(Q596/F596&gt;1,"Exceso en sodio","No tiene sello")),"No tiene sello"))</f>
        <v>No tiene sello</v>
      </c>
      <c r="AM596" s="13" t="str">
        <f>IFERROR(IF(F596=0,"No tiene sello",IF(+(AG596/1000)*9*100/F596&gt;1,"Exceso en grasa trans", "No tiene sello")),"No tiene sello")</f>
        <v>No tiene sello</v>
      </c>
    </row>
    <row r="597" spans="1:39" ht="13.5" customHeight="1" x14ac:dyDescent="0.25">
      <c r="A597" s="26" t="s">
        <v>1708</v>
      </c>
      <c r="B597" s="26" t="s">
        <v>1697</v>
      </c>
      <c r="C597" s="27" t="s">
        <v>1823</v>
      </c>
      <c r="D597" s="22">
        <v>100</v>
      </c>
      <c r="E597" s="28">
        <v>63</v>
      </c>
      <c r="F597" s="24">
        <v>60</v>
      </c>
      <c r="G597" s="28">
        <v>251</v>
      </c>
      <c r="H597" s="24">
        <v>10.5</v>
      </c>
      <c r="I597" s="24">
        <v>0.1</v>
      </c>
      <c r="J597" s="24">
        <v>5.6</v>
      </c>
      <c r="K597" s="28">
        <v>5.6</v>
      </c>
      <c r="L597" s="28">
        <v>0.4</v>
      </c>
      <c r="M597" s="24">
        <v>0.8</v>
      </c>
      <c r="N597" s="28">
        <v>20.8</v>
      </c>
      <c r="O597" s="25">
        <v>20</v>
      </c>
      <c r="P597" s="25">
        <v>2</v>
      </c>
      <c r="Q597" s="28">
        <v>3700</v>
      </c>
      <c r="R597" s="25">
        <v>130</v>
      </c>
      <c r="S597" s="28">
        <v>0.7</v>
      </c>
      <c r="T597" s="28">
        <v>180</v>
      </c>
      <c r="U597" s="28">
        <v>217</v>
      </c>
      <c r="V597" s="28">
        <v>0.08</v>
      </c>
      <c r="W597" s="28">
        <v>0.25</v>
      </c>
      <c r="X597" s="28">
        <v>3.98</v>
      </c>
      <c r="Y597" s="28">
        <v>18</v>
      </c>
      <c r="Z597" s="28">
        <v>0</v>
      </c>
      <c r="AA597" s="25">
        <v>0</v>
      </c>
      <c r="AB597" s="25">
        <v>0</v>
      </c>
      <c r="AC597" s="25">
        <v>0</v>
      </c>
      <c r="AD597" s="28">
        <v>0</v>
      </c>
      <c r="AE597" s="28">
        <v>0</v>
      </c>
      <c r="AF597" s="28">
        <v>0</v>
      </c>
      <c r="AG597" s="28">
        <v>0</v>
      </c>
      <c r="AH597" s="24">
        <v>0</v>
      </c>
      <c r="AI597" s="28">
        <v>100</v>
      </c>
      <c r="AJ597" s="13" t="str">
        <f xml:space="preserve"> IF(AD597&gt;F597,"Exceso en grasa saturada",IFERROR(IF(F597=0,"No tiene sello",IF((AD597*9)*100/F597&gt;10,"Exceso en grasa saturada","No tiene sello")),"No tiene sello"))</f>
        <v>No tiene sello</v>
      </c>
      <c r="AK597" s="13">
        <f>IF(AJ597="No tiene sello",0,1)</f>
        <v>0</v>
      </c>
      <c r="AL597" s="13" t="str">
        <f>IF(Q597&gt;=300,"Exceso en sodio",IFERROR(IF(AND(F597=0,Q597&gt;0),"No tiene sello",IF(Q597/F597&gt;1,"Exceso en sodio","No tiene sello")),"No tiene sello"))</f>
        <v>Exceso en sodio</v>
      </c>
      <c r="AM597" s="13" t="str">
        <f>IFERROR(IF(F597=0,"No tiene sello",IF(+(AG597/1000)*9*100/F597&gt;1,"Exceso en grasa trans", "No tiene sello")),"No tiene sello")</f>
        <v>No tiene sello</v>
      </c>
    </row>
    <row r="598" spans="1:39" ht="13.5" customHeight="1" x14ac:dyDescent="0.25">
      <c r="A598" s="20" t="s">
        <v>1710</v>
      </c>
      <c r="B598" s="20" t="s">
        <v>1699</v>
      </c>
      <c r="C598" s="20" t="s">
        <v>1824</v>
      </c>
      <c r="D598" s="46">
        <v>100</v>
      </c>
      <c r="E598" s="23">
        <v>94</v>
      </c>
      <c r="F598" s="24">
        <v>22</v>
      </c>
      <c r="G598" s="23">
        <v>92</v>
      </c>
      <c r="H598" s="24">
        <v>0</v>
      </c>
      <c r="I598" s="24">
        <v>0</v>
      </c>
      <c r="J598" s="24">
        <v>0.9</v>
      </c>
      <c r="K598" s="23">
        <v>0.9</v>
      </c>
      <c r="L598" s="23">
        <v>0</v>
      </c>
      <c r="M598" s="24">
        <v>0</v>
      </c>
      <c r="N598" s="23">
        <v>0.3</v>
      </c>
      <c r="O598" s="25">
        <v>7</v>
      </c>
      <c r="P598" s="25">
        <v>0.2</v>
      </c>
      <c r="Q598" s="23">
        <v>5</v>
      </c>
      <c r="R598" s="25">
        <v>8</v>
      </c>
      <c r="S598" s="23">
        <v>0</v>
      </c>
      <c r="T598" s="23">
        <v>5</v>
      </c>
      <c r="U598" s="23">
        <v>73</v>
      </c>
      <c r="V598" s="23">
        <v>0</v>
      </c>
      <c r="W598" s="23">
        <v>0</v>
      </c>
      <c r="X598" s="23">
        <v>0</v>
      </c>
      <c r="Y598" s="23">
        <v>0</v>
      </c>
      <c r="Z598" s="23">
        <v>0</v>
      </c>
      <c r="AA598" s="25">
        <v>0</v>
      </c>
      <c r="AB598" s="25">
        <v>0</v>
      </c>
      <c r="AC598" s="25">
        <v>0</v>
      </c>
      <c r="AD598" s="23">
        <v>0</v>
      </c>
      <c r="AE598" s="23">
        <v>0</v>
      </c>
      <c r="AF598" s="23">
        <v>0</v>
      </c>
      <c r="AG598" s="23">
        <v>0</v>
      </c>
      <c r="AH598" s="24">
        <v>0</v>
      </c>
      <c r="AI598" s="23">
        <v>100</v>
      </c>
      <c r="AJ598" s="13" t="str">
        <f xml:space="preserve"> IF(AD598&gt;F598,"Exceso en grasa saturada",IFERROR(IF(F598=0,"No tiene sello",IF((AD598*9)*100/F598&gt;10,"Exceso en grasa saturada","No tiene sello")),"No tiene sello"))</f>
        <v>No tiene sello</v>
      </c>
      <c r="AK598" s="13">
        <f>IF(AJ598="No tiene sello",0,1)</f>
        <v>0</v>
      </c>
      <c r="AL598" s="13" t="str">
        <f>IF(Q598&gt;=300,"Exceso en sodio",IFERROR(IF(AND(F598=0,Q598&gt;0),"No tiene sello",IF(Q598/F598&gt;1,"Exceso en sodio","No tiene sello")),"No tiene sello"))</f>
        <v>No tiene sello</v>
      </c>
      <c r="AM598" s="13" t="str">
        <f>IFERROR(IF(F598=0,"No tiene sello",IF(+(AG598/1000)*9*100/F598&gt;1,"Exceso en grasa trans", "No tiene sello")),"No tiene sello")</f>
        <v>No tiene sello</v>
      </c>
    </row>
    <row r="599" spans="1:39" ht="13.5" customHeight="1" x14ac:dyDescent="0.25">
      <c r="A599" s="26" t="s">
        <v>1712</v>
      </c>
      <c r="B599" s="26" t="s">
        <v>1701</v>
      </c>
      <c r="C599" s="27" t="s">
        <v>1825</v>
      </c>
      <c r="D599" s="22">
        <v>100</v>
      </c>
      <c r="E599" s="28">
        <v>77</v>
      </c>
      <c r="F599" s="24">
        <v>88</v>
      </c>
      <c r="G599" s="28">
        <v>368</v>
      </c>
      <c r="H599" s="24">
        <v>0.5</v>
      </c>
      <c r="I599" s="24">
        <v>0</v>
      </c>
      <c r="J599" s="24">
        <v>17</v>
      </c>
      <c r="K599" s="28">
        <v>17</v>
      </c>
      <c r="L599" s="28">
        <v>14.9</v>
      </c>
      <c r="M599" s="24">
        <v>0</v>
      </c>
      <c r="N599" s="28">
        <v>0.5</v>
      </c>
      <c r="O599" s="25">
        <v>27</v>
      </c>
      <c r="P599" s="25">
        <v>0.7</v>
      </c>
      <c r="Q599" s="28">
        <v>23</v>
      </c>
      <c r="R599" s="25">
        <v>19</v>
      </c>
      <c r="S599" s="28">
        <v>0.1</v>
      </c>
      <c r="T599" s="28">
        <v>12</v>
      </c>
      <c r="U599" s="28">
        <v>112</v>
      </c>
      <c r="V599" s="28">
        <v>0.01</v>
      </c>
      <c r="W599" s="28">
        <v>0.05</v>
      </c>
      <c r="X599" s="28">
        <v>0.2</v>
      </c>
      <c r="Y599" s="28">
        <v>0</v>
      </c>
      <c r="Z599" s="28">
        <v>0</v>
      </c>
      <c r="AA599" s="25">
        <v>0</v>
      </c>
      <c r="AB599" s="25">
        <v>0</v>
      </c>
      <c r="AC599" s="25">
        <v>0</v>
      </c>
      <c r="AD599" s="28">
        <v>0</v>
      </c>
      <c r="AE599" s="28">
        <v>0</v>
      </c>
      <c r="AF599" s="28">
        <v>0</v>
      </c>
      <c r="AG599" s="28">
        <v>0</v>
      </c>
      <c r="AH599" s="24">
        <v>0</v>
      </c>
      <c r="AI599" s="28">
        <v>100</v>
      </c>
      <c r="AJ599" s="13" t="str">
        <f xml:space="preserve"> IF(AD599&gt;F599,"Exceso en grasa saturada",IFERROR(IF(F599=0,"No tiene sello",IF((AD599*9)*100/F599&gt;10,"Exceso en grasa saturada","No tiene sello")),"No tiene sello"))</f>
        <v>No tiene sello</v>
      </c>
      <c r="AK599" s="13">
        <f>IF(AJ599="No tiene sello",0,1)</f>
        <v>0</v>
      </c>
      <c r="AL599" s="13" t="str">
        <f>IF(Q599&gt;=300,"Exceso en sodio",IFERROR(IF(AND(F599=0,Q599&gt;0),"No tiene sello",IF(Q599/F599&gt;1,"Exceso en sodio","No tiene sello")),"No tiene sello"))</f>
        <v>No tiene sello</v>
      </c>
      <c r="AM599" s="13" t="str">
        <f>IFERROR(IF(F599=0,"No tiene sello",IF(+(AG599/1000)*9*100/F599&gt;1,"Exceso en grasa trans", "No tiene sello")),"No tiene sello")</f>
        <v>No tiene sello</v>
      </c>
    </row>
    <row r="600" spans="1:39" ht="13.5" customHeight="1" x14ac:dyDescent="0.25">
      <c r="A600" s="20" t="s">
        <v>1714</v>
      </c>
      <c r="B600" s="20" t="s">
        <v>1703</v>
      </c>
      <c r="C600" s="20" t="s">
        <v>1826</v>
      </c>
      <c r="D600" s="46">
        <v>100</v>
      </c>
      <c r="E600" s="23">
        <v>86</v>
      </c>
      <c r="F600" s="24">
        <v>66</v>
      </c>
      <c r="G600" s="23">
        <v>276</v>
      </c>
      <c r="H600" s="24">
        <v>4.4000000000000004</v>
      </c>
      <c r="I600" s="24">
        <v>3.3</v>
      </c>
      <c r="J600" s="24">
        <v>5.8</v>
      </c>
      <c r="K600" s="23">
        <v>4.9000000000000004</v>
      </c>
      <c r="L600" s="23">
        <v>0.6</v>
      </c>
      <c r="M600" s="24">
        <v>0.9</v>
      </c>
      <c r="N600" s="23">
        <v>0.5</v>
      </c>
      <c r="O600" s="25">
        <v>63</v>
      </c>
      <c r="P600" s="25">
        <v>1.2</v>
      </c>
      <c r="Q600" s="23">
        <v>1135</v>
      </c>
      <c r="R600" s="25">
        <v>108</v>
      </c>
      <c r="S600" s="23">
        <v>0.3</v>
      </c>
      <c r="T600" s="23">
        <v>26</v>
      </c>
      <c r="U600" s="23">
        <v>138</v>
      </c>
      <c r="V600" s="23">
        <v>0.08</v>
      </c>
      <c r="W600" s="23">
        <v>0.09</v>
      </c>
      <c r="X600" s="23">
        <v>0.8</v>
      </c>
      <c r="Y600" s="23">
        <v>6</v>
      </c>
      <c r="Z600" s="23">
        <v>0</v>
      </c>
      <c r="AA600" s="25">
        <v>0</v>
      </c>
      <c r="AB600" s="25">
        <v>0</v>
      </c>
      <c r="AC600" s="25">
        <v>0</v>
      </c>
      <c r="AD600" s="23">
        <v>0.2</v>
      </c>
      <c r="AE600" s="23">
        <v>0.7</v>
      </c>
      <c r="AF600" s="23">
        <v>1.7</v>
      </c>
      <c r="AG600" s="23">
        <v>0</v>
      </c>
      <c r="AH600" s="24">
        <v>0</v>
      </c>
      <c r="AI600" s="23">
        <v>100</v>
      </c>
      <c r="AJ600" s="13" t="str">
        <f xml:space="preserve"> IF(AD600&gt;F600,"Exceso en grasa saturada",IFERROR(IF(F600=0,"No tiene sello",IF((AD600*9)*100/F600&gt;10,"Exceso en grasa saturada","No tiene sello")),"No tiene sello"))</f>
        <v>No tiene sello</v>
      </c>
      <c r="AK600" s="13">
        <f>IF(AJ600="No tiene sello",0,1)</f>
        <v>0</v>
      </c>
      <c r="AL600" s="13" t="str">
        <f>IF(Q600&gt;=300,"Exceso en sodio",IFERROR(IF(AND(F600=0,Q600&gt;0),"No tiene sello",IF(Q600/F600&gt;1,"Exceso en sodio","No tiene sello")),"No tiene sello"))</f>
        <v>Exceso en sodio</v>
      </c>
      <c r="AM600" s="13" t="str">
        <f>IFERROR(IF(F600=0,"No tiene sello",IF(+(AG600/1000)*9*100/F600&gt;1,"Exceso en grasa trans", "No tiene sello")),"No tiene sello")</f>
        <v>No tiene sello</v>
      </c>
    </row>
    <row r="601" spans="1:39" ht="13.5" customHeight="1" x14ac:dyDescent="0.25">
      <c r="A601" s="26" t="s">
        <v>1716</v>
      </c>
      <c r="B601" s="26" t="s">
        <v>1705</v>
      </c>
      <c r="C601" s="27" t="s">
        <v>1827</v>
      </c>
      <c r="D601" s="22">
        <v>100</v>
      </c>
      <c r="E601" s="28">
        <v>68</v>
      </c>
      <c r="F601" s="24">
        <v>101</v>
      </c>
      <c r="G601" s="28">
        <v>423</v>
      </c>
      <c r="H601" s="24">
        <v>1</v>
      </c>
      <c r="I601" s="24">
        <v>0.1</v>
      </c>
      <c r="J601" s="24">
        <v>27</v>
      </c>
      <c r="K601" s="28">
        <v>24</v>
      </c>
      <c r="L601" s="28">
        <v>22</v>
      </c>
      <c r="M601" s="24">
        <v>3</v>
      </c>
      <c r="N601" s="28">
        <v>3.9</v>
      </c>
      <c r="O601" s="25">
        <v>13</v>
      </c>
      <c r="P601" s="25">
        <v>0.6</v>
      </c>
      <c r="Q601" s="28">
        <v>405</v>
      </c>
      <c r="R601" s="25">
        <v>24</v>
      </c>
      <c r="S601" s="28">
        <v>0.2</v>
      </c>
      <c r="T601" s="28">
        <v>11</v>
      </c>
      <c r="U601" s="28">
        <v>297</v>
      </c>
      <c r="V601" s="28">
        <v>0.03</v>
      </c>
      <c r="W601" s="28">
        <v>0.04</v>
      </c>
      <c r="X601" s="28">
        <v>1.1000000000000001</v>
      </c>
      <c r="Y601" s="28">
        <v>5</v>
      </c>
      <c r="Z601" s="28">
        <v>0</v>
      </c>
      <c r="AA601" s="25">
        <v>4</v>
      </c>
      <c r="AB601" s="25">
        <v>22</v>
      </c>
      <c r="AC601" s="25">
        <v>0</v>
      </c>
      <c r="AD601" s="28">
        <v>0</v>
      </c>
      <c r="AE601" s="28">
        <v>0</v>
      </c>
      <c r="AF601" s="28">
        <v>0</v>
      </c>
      <c r="AG601" s="28">
        <v>0</v>
      </c>
      <c r="AH601" s="24">
        <v>0</v>
      </c>
      <c r="AI601" s="28">
        <v>100</v>
      </c>
      <c r="AJ601" s="13" t="str">
        <f xml:space="preserve"> IF(AD601&gt;F601,"Exceso en grasa saturada",IFERROR(IF(F601=0,"No tiene sello",IF((AD601*9)*100/F601&gt;10,"Exceso en grasa saturada","No tiene sello")),"No tiene sello"))</f>
        <v>No tiene sello</v>
      </c>
      <c r="AK601" s="13">
        <f>IF(AJ601="No tiene sello",0,1)</f>
        <v>0</v>
      </c>
      <c r="AL601" s="13" t="str">
        <f>IF(Q601&gt;=300,"Exceso en sodio",IFERROR(IF(AND(F601=0,Q601&gt;0),"No tiene sello",IF(Q601/F601&gt;1,"Exceso en sodio","No tiene sello")),"No tiene sello"))</f>
        <v>Exceso en sodio</v>
      </c>
      <c r="AM601" s="13" t="str">
        <f>IFERROR(IF(F601=0,"No tiene sello",IF(+(AG601/1000)*9*100/F601&gt;1,"Exceso en grasa trans", "No tiene sello")),"No tiene sello")</f>
        <v>No tiene sello</v>
      </c>
    </row>
    <row r="602" spans="1:39" ht="13.5" customHeight="1" x14ac:dyDescent="0.25">
      <c r="A602" s="20" t="s">
        <v>1718</v>
      </c>
      <c r="B602" s="20" t="s">
        <v>1707</v>
      </c>
      <c r="C602" s="20" t="s">
        <v>1828</v>
      </c>
      <c r="D602" s="46">
        <v>100</v>
      </c>
      <c r="E602" s="23">
        <v>45</v>
      </c>
      <c r="F602" s="24">
        <v>460</v>
      </c>
      <c r="G602" s="23">
        <v>1925</v>
      </c>
      <c r="H602" s="24">
        <v>7</v>
      </c>
      <c r="I602" s="24">
        <v>42</v>
      </c>
      <c r="J602" s="24">
        <v>4</v>
      </c>
      <c r="K602" s="23">
        <v>2</v>
      </c>
      <c r="L602" s="23">
        <v>1</v>
      </c>
      <c r="M602" s="24">
        <v>2</v>
      </c>
      <c r="N602" s="23">
        <v>3</v>
      </c>
      <c r="O602" s="25">
        <v>220</v>
      </c>
      <c r="P602" s="25">
        <v>1.5</v>
      </c>
      <c r="Q602" s="23">
        <v>450</v>
      </c>
      <c r="R602" s="25">
        <v>150</v>
      </c>
      <c r="S602" s="23">
        <v>0.8</v>
      </c>
      <c r="T602" s="23">
        <v>60</v>
      </c>
      <c r="U602" s="23">
        <v>280</v>
      </c>
      <c r="V602" s="23">
        <v>0.05</v>
      </c>
      <c r="W602" s="23">
        <v>0.15</v>
      </c>
      <c r="X602" s="23">
        <v>1.2</v>
      </c>
      <c r="Y602" s="23">
        <v>30</v>
      </c>
      <c r="Z602" s="23">
        <v>0.3</v>
      </c>
      <c r="AA602" s="25">
        <v>2</v>
      </c>
      <c r="AB602" s="25">
        <v>85</v>
      </c>
      <c r="AC602" s="25">
        <v>0</v>
      </c>
      <c r="AD602" s="23">
        <v>8.5</v>
      </c>
      <c r="AE602" s="23">
        <v>25</v>
      </c>
      <c r="AF602" s="23">
        <v>6.5</v>
      </c>
      <c r="AG602" s="23">
        <v>0</v>
      </c>
      <c r="AH602" s="24">
        <v>15</v>
      </c>
      <c r="AI602" s="23">
        <v>100</v>
      </c>
      <c r="AJ602" s="13" t="str">
        <f xml:space="preserve"> IF(AD602&gt;F602,"Exceso en grasa saturada",IFERROR(IF(F602=0,"No tiene sello",IF((AD602*9)*100/F602&gt;10,"Exceso en grasa saturada","No tiene sello")),"No tiene sello"))</f>
        <v>Exceso en grasa saturada</v>
      </c>
      <c r="AK602" s="13">
        <f>IF(AJ602="No tiene sello",0,1)</f>
        <v>1</v>
      </c>
      <c r="AL602" s="13" t="str">
        <f>IF(Q602&gt;=300,"Exceso en sodio",IFERROR(IF(AND(F602=0,Q602&gt;0),"No tiene sello",IF(Q602/F602&gt;1,"Exceso en sodio","No tiene sello")),"No tiene sello"))</f>
        <v>Exceso en sodio</v>
      </c>
      <c r="AM602" s="13" t="str">
        <f>IFERROR(IF(F602=0,"No tiene sello",IF(+(AG602/1000)*9*100/F602&gt;1,"Exceso en grasa trans", "No tiene sello")),"No tiene sello")</f>
        <v>No tiene sello</v>
      </c>
    </row>
    <row r="603" spans="1:39" ht="13.5" customHeight="1" x14ac:dyDescent="0.25">
      <c r="A603" s="26" t="s">
        <v>1719</v>
      </c>
      <c r="B603" s="26" t="s">
        <v>1709</v>
      </c>
      <c r="C603" s="27" t="s">
        <v>1829</v>
      </c>
      <c r="D603" s="22">
        <v>100</v>
      </c>
      <c r="E603" s="28">
        <v>10</v>
      </c>
      <c r="F603" s="24">
        <v>274</v>
      </c>
      <c r="G603" s="28">
        <v>1147</v>
      </c>
      <c r="H603" s="24">
        <v>5.9</v>
      </c>
      <c r="I603" s="24">
        <v>13</v>
      </c>
      <c r="J603" s="24">
        <v>65.5</v>
      </c>
      <c r="K603" s="28">
        <v>27.7</v>
      </c>
      <c r="L603" s="28">
        <v>2.77</v>
      </c>
      <c r="M603" s="24">
        <v>37.799999999999997</v>
      </c>
      <c r="N603" s="28">
        <v>5.6</v>
      </c>
      <c r="O603" s="25">
        <v>632</v>
      </c>
      <c r="P603" s="25">
        <v>11.8</v>
      </c>
      <c r="Q603" s="28">
        <v>277</v>
      </c>
      <c r="R603" s="25">
        <v>104</v>
      </c>
      <c r="S603" s="28">
        <v>2.2999999999999998</v>
      </c>
      <c r="T603" s="28">
        <v>259</v>
      </c>
      <c r="U603" s="28">
        <v>1020</v>
      </c>
      <c r="V603" s="28">
        <v>0.16</v>
      </c>
      <c r="W603" s="28">
        <v>0.22</v>
      </c>
      <c r="X603" s="28">
        <v>1.56</v>
      </c>
      <c r="Y603" s="28">
        <v>25</v>
      </c>
      <c r="Z603" s="28">
        <v>0</v>
      </c>
      <c r="AA603" s="25">
        <v>0</v>
      </c>
      <c r="AB603" s="25">
        <v>160</v>
      </c>
      <c r="AC603" s="25">
        <v>0</v>
      </c>
      <c r="AD603" s="28">
        <v>15.6</v>
      </c>
      <c r="AE603" s="28">
        <v>1.4</v>
      </c>
      <c r="AF603" s="28">
        <v>3.7</v>
      </c>
      <c r="AG603" s="28">
        <v>0</v>
      </c>
      <c r="AH603" s="24">
        <v>0</v>
      </c>
      <c r="AI603" s="28">
        <v>100</v>
      </c>
      <c r="AJ603" s="13" t="str">
        <f xml:space="preserve"> IF(AD603&gt;F603,"Exceso en grasa saturada",IFERROR(IF(F603=0,"No tiene sello",IF((AD603*9)*100/F603&gt;10,"Exceso en grasa saturada","No tiene sello")),"No tiene sello"))</f>
        <v>Exceso en grasa saturada</v>
      </c>
      <c r="AK603" s="13">
        <f>IF(AJ603="No tiene sello",0,1)</f>
        <v>1</v>
      </c>
      <c r="AL603" s="13" t="str">
        <f>IF(Q603&gt;=300,"Exceso en sodio",IFERROR(IF(AND(F603=0,Q603&gt;0),"No tiene sello",IF(Q603/F603&gt;1,"Exceso en sodio","No tiene sello")),"No tiene sello"))</f>
        <v>Exceso en sodio</v>
      </c>
      <c r="AM603" s="13" t="str">
        <f>IFERROR(IF(F603=0,"No tiene sello",IF(+(AG603/1000)*9*100/F603&gt;1,"Exceso en grasa trans", "No tiene sello")),"No tiene sello")</f>
        <v>No tiene sello</v>
      </c>
    </row>
    <row r="604" spans="1:39" ht="13.5" customHeight="1" x14ac:dyDescent="0.25">
      <c r="A604" s="20" t="s">
        <v>1720</v>
      </c>
      <c r="B604" s="20" t="s">
        <v>1711</v>
      </c>
      <c r="C604" s="20" t="s">
        <v>1830</v>
      </c>
      <c r="D604" s="46">
        <v>100</v>
      </c>
      <c r="E604" s="23">
        <v>6</v>
      </c>
      <c r="F604" s="24">
        <v>525</v>
      </c>
      <c r="G604" s="23">
        <v>2197</v>
      </c>
      <c r="H604" s="24">
        <v>5.8</v>
      </c>
      <c r="I604" s="24">
        <v>36.299999999999997</v>
      </c>
      <c r="J604" s="24">
        <v>49.3</v>
      </c>
      <c r="K604" s="23">
        <v>28.5</v>
      </c>
      <c r="L604" s="23">
        <v>2.85</v>
      </c>
      <c r="M604" s="24">
        <v>20.8</v>
      </c>
      <c r="N604" s="23">
        <v>2.6</v>
      </c>
      <c r="O604" s="25">
        <v>184</v>
      </c>
      <c r="P604" s="25">
        <v>3</v>
      </c>
      <c r="Q604" s="23">
        <v>16</v>
      </c>
      <c r="R604" s="25">
        <v>213</v>
      </c>
      <c r="S604" s="23">
        <v>2.2000000000000002</v>
      </c>
      <c r="T604" s="23">
        <v>183</v>
      </c>
      <c r="U604" s="23">
        <v>350</v>
      </c>
      <c r="V604" s="23">
        <v>0.35</v>
      </c>
      <c r="W604" s="23">
        <v>0.06</v>
      </c>
      <c r="X604" s="23">
        <v>1.3</v>
      </c>
      <c r="Y604" s="23">
        <v>76</v>
      </c>
      <c r="Z604" s="23">
        <v>0</v>
      </c>
      <c r="AA604" s="25">
        <v>0</v>
      </c>
      <c r="AB604" s="25">
        <v>102</v>
      </c>
      <c r="AC604" s="25">
        <v>0</v>
      </c>
      <c r="AD604" s="23">
        <v>2</v>
      </c>
      <c r="AE604" s="23">
        <v>0.8</v>
      </c>
      <c r="AF604" s="23">
        <v>0.3</v>
      </c>
      <c r="AG604" s="23">
        <v>0</v>
      </c>
      <c r="AH604" s="24">
        <v>0</v>
      </c>
      <c r="AI604" s="23">
        <v>100</v>
      </c>
      <c r="AJ604" s="13" t="str">
        <f xml:space="preserve"> IF(AD604&gt;F604,"Exceso en grasa saturada",IFERROR(IF(F604=0,"No tiene sello",IF((AD604*9)*100/F604&gt;10,"Exceso en grasa saturada","No tiene sello")),"No tiene sello"))</f>
        <v>No tiene sello</v>
      </c>
      <c r="AK604" s="13">
        <f>IF(AJ604="No tiene sello",0,1)</f>
        <v>0</v>
      </c>
      <c r="AL604" s="13" t="str">
        <f>IF(Q604&gt;=300,"Exceso en sodio",IFERROR(IF(AND(F604=0,Q604&gt;0),"No tiene sello",IF(Q604/F604&gt;1,"Exceso en sodio","No tiene sello")),"No tiene sello"))</f>
        <v>No tiene sello</v>
      </c>
      <c r="AM604" s="13" t="str">
        <f>IFERROR(IF(F604=0,"No tiene sello",IF(+(AG604/1000)*9*100/F604&gt;1,"Exceso en grasa trans", "No tiene sello")),"No tiene sello")</f>
        <v>No tiene sello</v>
      </c>
    </row>
    <row r="605" spans="1:39" ht="13.5" customHeight="1" x14ac:dyDescent="0.25">
      <c r="A605" s="26" t="s">
        <v>1721</v>
      </c>
      <c r="B605" s="26" t="s">
        <v>1713</v>
      </c>
      <c r="C605" s="27" t="s">
        <v>1831</v>
      </c>
      <c r="D605" s="22">
        <v>100</v>
      </c>
      <c r="E605" s="28">
        <v>8</v>
      </c>
      <c r="F605" s="24">
        <v>311</v>
      </c>
      <c r="G605" s="28">
        <v>1302</v>
      </c>
      <c r="H605" s="24">
        <v>10.8</v>
      </c>
      <c r="I605" s="24">
        <v>6.7</v>
      </c>
      <c r="J605" s="24">
        <v>68.5</v>
      </c>
      <c r="K605" s="28">
        <v>0</v>
      </c>
      <c r="L605" s="28">
        <v>0</v>
      </c>
      <c r="M605" s="24">
        <v>28</v>
      </c>
      <c r="N605" s="28">
        <v>6</v>
      </c>
      <c r="O605" s="25">
        <v>383</v>
      </c>
      <c r="P605" s="25">
        <v>13.9</v>
      </c>
      <c r="Q605" s="28">
        <v>18</v>
      </c>
      <c r="R605" s="25">
        <v>178</v>
      </c>
      <c r="S605" s="28">
        <v>7.3</v>
      </c>
      <c r="T605" s="28">
        <v>229</v>
      </c>
      <c r="U605" s="28">
        <v>1119</v>
      </c>
      <c r="V605" s="28">
        <v>0.2</v>
      </c>
      <c r="W605" s="28">
        <v>0.18</v>
      </c>
      <c r="X605" s="28">
        <v>1.1000000000000001</v>
      </c>
      <c r="Y605" s="28">
        <v>0</v>
      </c>
      <c r="Z605" s="28">
        <v>0</v>
      </c>
      <c r="AA605" s="25">
        <v>0</v>
      </c>
      <c r="AB605" s="25">
        <v>0</v>
      </c>
      <c r="AC605" s="25">
        <v>0</v>
      </c>
      <c r="AD605" s="28">
        <v>0.7</v>
      </c>
      <c r="AE605" s="28">
        <v>0.9</v>
      </c>
      <c r="AF605" s="28">
        <v>0.4</v>
      </c>
      <c r="AG605" s="28">
        <v>0</v>
      </c>
      <c r="AH605" s="24">
        <v>0</v>
      </c>
      <c r="AI605" s="28">
        <v>100</v>
      </c>
      <c r="AJ605" s="13" t="str">
        <f xml:space="preserve"> IF(AD605&gt;F605,"Exceso en grasa saturada",IFERROR(IF(F605=0,"No tiene sello",IF((AD605*9)*100/F605&gt;10,"Exceso en grasa saturada","No tiene sello")),"No tiene sello"))</f>
        <v>No tiene sello</v>
      </c>
      <c r="AK605" s="13">
        <f>IF(AJ605="No tiene sello",0,1)</f>
        <v>0</v>
      </c>
      <c r="AL605" s="13" t="str">
        <f>IF(Q605&gt;=300,"Exceso en sodio",IFERROR(IF(AND(F605=0,Q605&gt;0),"No tiene sello",IF(Q605/F605&gt;1,"Exceso en sodio","No tiene sello")),"No tiene sello"))</f>
        <v>No tiene sello</v>
      </c>
      <c r="AM605" s="13" t="str">
        <f>IFERROR(IF(F605=0,"No tiene sello",IF(+(AG605/1000)*9*100/F605&gt;1,"Exceso en grasa trans", "No tiene sello")),"No tiene sello")</f>
        <v>No tiene sello</v>
      </c>
    </row>
    <row r="606" spans="1:39" ht="13.5" customHeight="1" x14ac:dyDescent="0.25">
      <c r="A606" s="20" t="s">
        <v>1722</v>
      </c>
      <c r="B606" s="20" t="s">
        <v>1715</v>
      </c>
      <c r="C606" s="20" t="s">
        <v>1832</v>
      </c>
      <c r="D606" s="46">
        <v>100</v>
      </c>
      <c r="E606" s="23">
        <v>12</v>
      </c>
      <c r="F606" s="24">
        <v>282</v>
      </c>
      <c r="G606" s="23">
        <v>1180</v>
      </c>
      <c r="H606" s="24">
        <v>14.1</v>
      </c>
      <c r="I606" s="24">
        <v>12.9</v>
      </c>
      <c r="J606" s="24">
        <v>53.9</v>
      </c>
      <c r="K606" s="23">
        <v>13</v>
      </c>
      <c r="L606" s="23">
        <v>1.3</v>
      </c>
      <c r="M606" s="24">
        <v>40.9</v>
      </c>
      <c r="N606" s="23">
        <v>7.1</v>
      </c>
      <c r="O606" s="25">
        <v>229</v>
      </c>
      <c r="P606" s="25">
        <v>21.1</v>
      </c>
      <c r="Q606" s="23">
        <v>68</v>
      </c>
      <c r="R606" s="25">
        <v>314</v>
      </c>
      <c r="S606" s="23">
        <v>4.3</v>
      </c>
      <c r="T606" s="23">
        <v>178</v>
      </c>
      <c r="U606" s="23">
        <v>2280</v>
      </c>
      <c r="V606" s="23">
        <v>0.33</v>
      </c>
      <c r="W606" s="23">
        <v>1.23</v>
      </c>
      <c r="X606" s="23">
        <v>10.9</v>
      </c>
      <c r="Y606" s="23">
        <v>49</v>
      </c>
      <c r="Z606" s="23">
        <v>0</v>
      </c>
      <c r="AA606" s="25">
        <v>0</v>
      </c>
      <c r="AB606" s="25">
        <v>2080</v>
      </c>
      <c r="AC606" s="25">
        <v>0</v>
      </c>
      <c r="AD606" s="23">
        <v>2.1</v>
      </c>
      <c r="AE606" s="23">
        <v>1.2</v>
      </c>
      <c r="AF606" s="23">
        <v>6.9</v>
      </c>
      <c r="AG606" s="23">
        <v>0</v>
      </c>
      <c r="AH606" s="24">
        <v>0</v>
      </c>
      <c r="AI606" s="23">
        <v>100</v>
      </c>
      <c r="AJ606" s="13" t="str">
        <f xml:space="preserve"> IF(AD606&gt;F606,"Exceso en grasa saturada",IFERROR(IF(F606=0,"No tiene sello",IF((AD606*9)*100/F606&gt;10,"Exceso en grasa saturada","No tiene sello")),"No tiene sello"))</f>
        <v>No tiene sello</v>
      </c>
      <c r="AK606" s="13">
        <f>IF(AJ606="No tiene sello",0,1)</f>
        <v>0</v>
      </c>
      <c r="AL606" s="13" t="str">
        <f>IF(Q606&gt;=300,"Exceso en sodio",IFERROR(IF(AND(F606=0,Q606&gt;0),"No tiene sello",IF(Q606/F606&gt;1,"Exceso en sodio","No tiene sello")),"No tiene sello"))</f>
        <v>No tiene sello</v>
      </c>
      <c r="AM606" s="13" t="str">
        <f>IFERROR(IF(F606=0,"No tiene sello",IF(+(AG606/1000)*9*100/F606&gt;1,"Exceso en grasa trans", "No tiene sello")),"No tiene sello")</f>
        <v>No tiene sello</v>
      </c>
    </row>
    <row r="607" spans="1:39" ht="13.5" customHeight="1" x14ac:dyDescent="0.25">
      <c r="A607" s="26" t="s">
        <v>1723</v>
      </c>
      <c r="B607" s="26" t="s">
        <v>1717</v>
      </c>
      <c r="C607" s="27" t="s">
        <v>1833</v>
      </c>
      <c r="D607" s="22">
        <v>100</v>
      </c>
      <c r="E607" s="28">
        <v>10</v>
      </c>
      <c r="F607" s="24">
        <v>0</v>
      </c>
      <c r="G607" s="28">
        <v>0</v>
      </c>
      <c r="H607" s="24">
        <v>0</v>
      </c>
      <c r="I607" s="24">
        <v>0</v>
      </c>
      <c r="J607" s="24">
        <v>80</v>
      </c>
      <c r="K607" s="28">
        <v>0</v>
      </c>
      <c r="L607" s="28">
        <v>0</v>
      </c>
      <c r="M607" s="24">
        <v>80</v>
      </c>
      <c r="N607" s="28">
        <v>10</v>
      </c>
      <c r="O607" s="25">
        <v>0</v>
      </c>
      <c r="P607" s="25">
        <v>0</v>
      </c>
      <c r="Q607" s="28">
        <v>0</v>
      </c>
      <c r="R607" s="25">
        <v>0</v>
      </c>
      <c r="S607" s="28">
        <v>0</v>
      </c>
      <c r="T607" s="28">
        <v>0</v>
      </c>
      <c r="U607" s="28">
        <v>0</v>
      </c>
      <c r="V607" s="28">
        <v>0</v>
      </c>
      <c r="W607" s="28">
        <v>0</v>
      </c>
      <c r="X607" s="28">
        <v>0</v>
      </c>
      <c r="Y607" s="28">
        <v>0</v>
      </c>
      <c r="Z607" s="28">
        <v>0</v>
      </c>
      <c r="AA607" s="25">
        <v>0</v>
      </c>
      <c r="AB607" s="25">
        <v>0</v>
      </c>
      <c r="AC607" s="25">
        <v>0</v>
      </c>
      <c r="AD607" s="28">
        <v>0</v>
      </c>
      <c r="AE607" s="28">
        <v>0</v>
      </c>
      <c r="AF607" s="28">
        <v>0</v>
      </c>
      <c r="AG607" s="28">
        <v>0</v>
      </c>
      <c r="AH607" s="24">
        <v>0</v>
      </c>
      <c r="AI607" s="28">
        <v>100</v>
      </c>
      <c r="AJ607" s="13" t="str">
        <f xml:space="preserve"> IF(AD607&gt;F607,"Exceso en grasa saturada",IFERROR(IF(F607=0,"No tiene sello",IF((AD607*9)*100/F607&gt;10,"Exceso en grasa saturada","No tiene sello")),"No tiene sello"))</f>
        <v>No tiene sello</v>
      </c>
      <c r="AK607" s="13">
        <f>IF(AJ607="No tiene sello",0,1)</f>
        <v>0</v>
      </c>
      <c r="AL607" s="13" t="str">
        <f>IF(Q607&gt;=300,"Exceso en sodio",IFERROR(IF(AND(F607=0,Q607&gt;0),"No tiene sello",IF(Q607/F607&gt;1,"Exceso en sodio","No tiene sello")),"No tiene sello"))</f>
        <v>No tiene sello</v>
      </c>
      <c r="AM607" s="13" t="str">
        <f>IFERROR(IF(F607=0,"No tiene sello",IF(+(AG607/1000)*9*100/F607&gt;1,"Exceso en grasa trans", "No tiene sello")),"No tiene sello")</f>
        <v>No tiene sello</v>
      </c>
    </row>
    <row r="608" spans="1:39" ht="13.5" customHeight="1" x14ac:dyDescent="0.25">
      <c r="A608" s="20" t="s">
        <v>1724</v>
      </c>
      <c r="B608" s="26" t="s">
        <v>1728</v>
      </c>
      <c r="C608" s="27" t="s">
        <v>1804</v>
      </c>
      <c r="D608" s="46">
        <v>100</v>
      </c>
      <c r="E608" s="28">
        <v>3</v>
      </c>
      <c r="F608" s="24">
        <v>228</v>
      </c>
      <c r="G608" s="28">
        <v>954</v>
      </c>
      <c r="H608" s="24">
        <v>19.600000000000001</v>
      </c>
      <c r="I608" s="24">
        <v>13.7</v>
      </c>
      <c r="J608" s="24">
        <v>57.9</v>
      </c>
      <c r="K608" s="28">
        <v>22.7</v>
      </c>
      <c r="L608" s="28">
        <v>1.8</v>
      </c>
      <c r="M608" s="24">
        <v>37</v>
      </c>
      <c r="N608" s="28">
        <v>5.8</v>
      </c>
      <c r="O608" s="25">
        <v>128</v>
      </c>
      <c r="P608" s="25">
        <v>13.9</v>
      </c>
      <c r="Q608" s="28">
        <v>21</v>
      </c>
      <c r="R608" s="25">
        <v>734</v>
      </c>
      <c r="S608" s="28">
        <v>6.8</v>
      </c>
      <c r="T608" s="28">
        <v>499</v>
      </c>
      <c r="U608" s="28">
        <v>1524</v>
      </c>
      <c r="V608" s="28">
        <v>0.08</v>
      </c>
      <c r="W608" s="28">
        <v>0.24</v>
      </c>
      <c r="X608" s="28">
        <v>2.2000000000000002</v>
      </c>
      <c r="Y608" s="28">
        <v>32</v>
      </c>
      <c r="Z608" s="28">
        <v>0</v>
      </c>
      <c r="AA608" s="25">
        <v>0</v>
      </c>
      <c r="AB608" s="25">
        <v>0</v>
      </c>
      <c r="AC608" s="25">
        <v>0</v>
      </c>
      <c r="AD608" s="28">
        <v>8.1</v>
      </c>
      <c r="AE608" s="28">
        <v>3.3</v>
      </c>
      <c r="AF608" s="28">
        <v>0.4</v>
      </c>
      <c r="AG608" s="28">
        <v>0</v>
      </c>
      <c r="AH608" s="24">
        <v>0</v>
      </c>
      <c r="AI608" s="28">
        <v>100</v>
      </c>
      <c r="AJ608" s="13" t="str">
        <f xml:space="preserve"> IF(AD608&gt;F608,"Exceso en grasa saturada",IFERROR(IF(F608=0,"No tiene sello",IF((AD608*9)*100/F608&gt;10,"Exceso en grasa saturada","No tiene sello")),"No tiene sello"))</f>
        <v>Exceso en grasa saturada</v>
      </c>
      <c r="AK608" s="13">
        <f>IF(AJ608="No tiene sello",0,1)</f>
        <v>1</v>
      </c>
      <c r="AL608" s="13" t="str">
        <f>IF(Q608&gt;=300,"Exceso en sodio",IFERROR(IF(AND(F608=0,Q608&gt;0),"No tiene sello",IF(Q608/F608&gt;1,"Exceso en sodio","No tiene sello")),"No tiene sello"))</f>
        <v>No tiene sello</v>
      </c>
      <c r="AM608" s="13" t="str">
        <f>IFERROR(IF(F608=0,"No tiene sello",IF(+(AG608/1000)*9*100/F608&gt;1,"Exceso en grasa trans", "No tiene sello")),"No tiene sello")</f>
        <v>No tiene sello</v>
      </c>
    </row>
    <row r="609" spans="1:39" ht="13.5" customHeight="1" x14ac:dyDescent="0.25">
      <c r="A609" s="26" t="s">
        <v>1725</v>
      </c>
      <c r="B609" s="20" t="s">
        <v>1729</v>
      </c>
      <c r="C609" s="20" t="s">
        <v>1833</v>
      </c>
      <c r="D609" s="22">
        <v>100</v>
      </c>
      <c r="E609" s="23">
        <v>10</v>
      </c>
      <c r="F609" s="24">
        <v>0</v>
      </c>
      <c r="G609" s="23">
        <v>0</v>
      </c>
      <c r="H609" s="24">
        <v>0</v>
      </c>
      <c r="I609" s="24">
        <v>0</v>
      </c>
      <c r="J609" s="24">
        <v>80</v>
      </c>
      <c r="K609" s="23">
        <v>0</v>
      </c>
      <c r="L609" s="23">
        <v>0</v>
      </c>
      <c r="M609" s="24">
        <v>80</v>
      </c>
      <c r="N609" s="23">
        <v>10</v>
      </c>
      <c r="O609" s="25">
        <v>0</v>
      </c>
      <c r="P609" s="25">
        <v>0</v>
      </c>
      <c r="Q609" s="23">
        <v>0</v>
      </c>
      <c r="R609" s="25">
        <v>0</v>
      </c>
      <c r="S609" s="23">
        <v>0</v>
      </c>
      <c r="T609" s="23">
        <v>0</v>
      </c>
      <c r="U609" s="23">
        <v>0</v>
      </c>
      <c r="V609" s="23">
        <v>0</v>
      </c>
      <c r="W609" s="23">
        <v>0</v>
      </c>
      <c r="X609" s="23">
        <v>0</v>
      </c>
      <c r="Y609" s="23">
        <v>0</v>
      </c>
      <c r="Z609" s="23">
        <v>0</v>
      </c>
      <c r="AA609" s="25">
        <v>0</v>
      </c>
      <c r="AB609" s="25">
        <v>0</v>
      </c>
      <c r="AC609" s="25">
        <v>0</v>
      </c>
      <c r="AD609" s="23">
        <v>0</v>
      </c>
      <c r="AE609" s="23">
        <v>0</v>
      </c>
      <c r="AF609" s="23">
        <v>0</v>
      </c>
      <c r="AG609" s="23">
        <v>0</v>
      </c>
      <c r="AH609" s="24">
        <v>0</v>
      </c>
      <c r="AI609" s="23">
        <v>100</v>
      </c>
      <c r="AJ609" s="13" t="str">
        <f xml:space="preserve"> IF(AD609&gt;F609,"Exceso en grasa saturada",IFERROR(IF(F609=0,"No tiene sello",IF((AD609*9)*100/F609&gt;10,"Exceso en grasa saturada","No tiene sello")),"No tiene sello"))</f>
        <v>No tiene sello</v>
      </c>
      <c r="AK609" s="13">
        <f>IF(AJ609="No tiene sello",0,1)</f>
        <v>0</v>
      </c>
      <c r="AL609" s="13" t="str">
        <f>IF(Q609&gt;=300,"Exceso en sodio",IFERROR(IF(AND(F609=0,Q609&gt;0),"No tiene sello",IF(Q609/F609&gt;1,"Exceso en sodio","No tiene sello")),"No tiene sello"))</f>
        <v>No tiene sello</v>
      </c>
      <c r="AM609" s="13" t="str">
        <f>IFERROR(IF(F609=0,"No tiene sello",IF(+(AG609/1000)*9*100/F609&gt;1,"Exceso en grasa trans", "No tiene sello")),"No tiene sello")</f>
        <v>No tiene sello</v>
      </c>
    </row>
    <row r="610" spans="1:39" ht="13.5" customHeight="1" x14ac:dyDescent="0.25">
      <c r="A610" s="20" t="s">
        <v>1726</v>
      </c>
      <c r="B610" s="26" t="s">
        <v>1730</v>
      </c>
      <c r="C610" s="27" t="s">
        <v>1813</v>
      </c>
      <c r="D610" s="46">
        <v>100</v>
      </c>
      <c r="E610" s="28">
        <v>0</v>
      </c>
      <c r="F610" s="24">
        <v>0</v>
      </c>
      <c r="G610" s="28">
        <v>0</v>
      </c>
      <c r="H610" s="24">
        <v>0</v>
      </c>
      <c r="I610" s="24">
        <v>0</v>
      </c>
      <c r="J610" s="24">
        <v>100</v>
      </c>
      <c r="K610" s="28">
        <v>100</v>
      </c>
      <c r="L610" s="28">
        <v>0</v>
      </c>
      <c r="M610" s="24">
        <v>0</v>
      </c>
      <c r="N610" s="28">
        <v>0</v>
      </c>
      <c r="O610" s="25">
        <v>0</v>
      </c>
      <c r="P610" s="25">
        <v>0</v>
      </c>
      <c r="Q610" s="28">
        <v>0</v>
      </c>
      <c r="R610" s="25">
        <v>0</v>
      </c>
      <c r="S610" s="28">
        <v>0</v>
      </c>
      <c r="T610" s="28">
        <v>0</v>
      </c>
      <c r="U610" s="28">
        <v>0</v>
      </c>
      <c r="V610" s="28">
        <v>0</v>
      </c>
      <c r="W610" s="28">
        <v>0</v>
      </c>
      <c r="X610" s="28">
        <v>0</v>
      </c>
      <c r="Y610" s="28">
        <v>0</v>
      </c>
      <c r="Z610" s="28">
        <v>0</v>
      </c>
      <c r="AA610" s="25">
        <v>0</v>
      </c>
      <c r="AB610" s="25">
        <v>0</v>
      </c>
      <c r="AC610" s="25">
        <v>0</v>
      </c>
      <c r="AD610" s="28">
        <v>0</v>
      </c>
      <c r="AE610" s="28">
        <v>0</v>
      </c>
      <c r="AF610" s="28">
        <v>0</v>
      </c>
      <c r="AG610" s="28">
        <v>0</v>
      </c>
      <c r="AH610" s="24">
        <v>0</v>
      </c>
      <c r="AI610" s="28">
        <v>100</v>
      </c>
      <c r="AJ610" s="13" t="str">
        <f xml:space="preserve"> IF(AD610&gt;F610,"Exceso en grasa saturada",IFERROR(IF(F610=0,"No tiene sello",IF((AD610*9)*100/F610&gt;10,"Exceso en grasa saturada","No tiene sello")),"No tiene sello"))</f>
        <v>No tiene sello</v>
      </c>
      <c r="AK610" s="13">
        <f>IF(AJ610="No tiene sello",0,1)</f>
        <v>0</v>
      </c>
      <c r="AL610" s="13" t="str">
        <f>IF(Q610&gt;=300,"Exceso en sodio",IFERROR(IF(AND(F610=0,Q610&gt;0),"No tiene sello",IF(Q610/F610&gt;1,"Exceso en sodio","No tiene sello")),"No tiene sello"))</f>
        <v>No tiene sello</v>
      </c>
      <c r="AM610" s="13" t="str">
        <f>IFERROR(IF(F610=0,"No tiene sello",IF(+(AG610/1000)*9*100/F610&gt;1,"Exceso en grasa trans", "No tiene sello")),"No tiene sello")</f>
        <v>No tiene sello</v>
      </c>
    </row>
    <row r="611" spans="1:39" ht="13.5" customHeight="1" x14ac:dyDescent="0.25">
      <c r="A611" s="26" t="s">
        <v>1727</v>
      </c>
      <c r="B611" s="20" t="s">
        <v>1731</v>
      </c>
      <c r="C611" s="20" t="s">
        <v>1816</v>
      </c>
      <c r="D611" s="22">
        <v>100</v>
      </c>
      <c r="E611" s="23">
        <v>8</v>
      </c>
      <c r="F611" s="24">
        <v>350</v>
      </c>
      <c r="G611" s="23">
        <v>1465</v>
      </c>
      <c r="H611" s="24">
        <v>88</v>
      </c>
      <c r="I611" s="24">
        <v>0</v>
      </c>
      <c r="J611" s="24">
        <v>0</v>
      </c>
      <c r="K611" s="23">
        <v>0</v>
      </c>
      <c r="L611" s="23">
        <v>0</v>
      </c>
      <c r="M611" s="24">
        <v>0</v>
      </c>
      <c r="N611" s="23">
        <v>4</v>
      </c>
      <c r="O611" s="25">
        <v>0</v>
      </c>
      <c r="P611" s="25">
        <v>0.1</v>
      </c>
      <c r="Q611" s="23">
        <v>150</v>
      </c>
      <c r="R611" s="25">
        <v>0</v>
      </c>
      <c r="S611" s="23">
        <v>0</v>
      </c>
      <c r="T611" s="23">
        <v>0</v>
      </c>
      <c r="U611" s="23">
        <v>0</v>
      </c>
      <c r="V611" s="23">
        <v>0</v>
      </c>
      <c r="W611" s="23">
        <v>0</v>
      </c>
      <c r="X611" s="23">
        <v>0</v>
      </c>
      <c r="Y611" s="23">
        <v>0</v>
      </c>
      <c r="Z611" s="23">
        <v>0</v>
      </c>
      <c r="AA611" s="25">
        <v>0</v>
      </c>
      <c r="AB611" s="25">
        <v>0</v>
      </c>
      <c r="AC611" s="25">
        <v>0</v>
      </c>
      <c r="AD611" s="23">
        <v>0</v>
      </c>
      <c r="AE611" s="23">
        <v>0</v>
      </c>
      <c r="AF611" s="23">
        <v>0</v>
      </c>
      <c r="AG611" s="23">
        <v>0</v>
      </c>
      <c r="AH611" s="24">
        <v>0</v>
      </c>
      <c r="AI611" s="23">
        <v>100</v>
      </c>
      <c r="AJ611" s="13" t="str">
        <f xml:space="preserve"> IF(AD611&gt;F611,"Exceso en grasa saturada",IFERROR(IF(F611=0,"No tiene sello",IF((AD611*9)*100/F611&gt;10,"Exceso en grasa saturada","No tiene sello")),"No tiene sello"))</f>
        <v>No tiene sello</v>
      </c>
      <c r="AK611" s="13">
        <f>IF(AJ611="No tiene sello",0,1)</f>
        <v>0</v>
      </c>
      <c r="AL611" s="13" t="str">
        <f>IF(Q611&gt;=300,"Exceso en sodio",IFERROR(IF(AND(F611=0,Q611&gt;0),"No tiene sello",IF(Q611/F611&gt;1,"Exceso en sodio","No tiene sello")),"No tiene sello"))</f>
        <v>No tiene sello</v>
      </c>
      <c r="AM611" s="13" t="str">
        <f>IFERROR(IF(F611=0,"No tiene sello",IF(+(AG611/1000)*9*100/F611&gt;1,"Exceso en grasa trans", "No tiene sello")),"No tiene sello")</f>
        <v>No tiene sello</v>
      </c>
    </row>
    <row r="612" spans="1:39" ht="13.5" customHeight="1" x14ac:dyDescent="0.25">
      <c r="A612" s="20" t="s">
        <v>1732</v>
      </c>
      <c r="B612" s="26" t="s">
        <v>1736</v>
      </c>
      <c r="C612" s="27" t="s">
        <v>1812</v>
      </c>
      <c r="D612" s="46">
        <v>100</v>
      </c>
      <c r="E612" s="28">
        <v>32</v>
      </c>
      <c r="F612" s="24">
        <v>260</v>
      </c>
      <c r="G612" s="28">
        <v>1088</v>
      </c>
      <c r="H612" s="24">
        <v>0</v>
      </c>
      <c r="I612" s="24">
        <v>0.1</v>
      </c>
      <c r="J612" s="24">
        <v>67</v>
      </c>
      <c r="K612" s="28">
        <v>67</v>
      </c>
      <c r="L612" s="28">
        <v>60.5</v>
      </c>
      <c r="M612" s="24">
        <v>0</v>
      </c>
      <c r="N612" s="28">
        <v>0.9</v>
      </c>
      <c r="O612" s="25">
        <v>67</v>
      </c>
      <c r="P612" s="25">
        <v>0.4</v>
      </c>
      <c r="Q612" s="28">
        <v>12</v>
      </c>
      <c r="R612" s="25">
        <v>2</v>
      </c>
      <c r="S612" s="28">
        <v>1.6</v>
      </c>
      <c r="T612" s="28">
        <v>21</v>
      </c>
      <c r="U612" s="28">
        <v>204</v>
      </c>
      <c r="V612" s="28">
        <v>0.01</v>
      </c>
      <c r="W612" s="28">
        <v>0.04</v>
      </c>
      <c r="X612" s="28">
        <v>0.08</v>
      </c>
      <c r="Y612" s="28">
        <v>0</v>
      </c>
      <c r="Z612" s="28">
        <v>0</v>
      </c>
      <c r="AA612" s="25">
        <v>0</v>
      </c>
      <c r="AB612" s="25">
        <v>0</v>
      </c>
      <c r="AC612" s="25">
        <v>0</v>
      </c>
      <c r="AD612" s="28">
        <v>0</v>
      </c>
      <c r="AE612" s="28">
        <v>0</v>
      </c>
      <c r="AF612" s="28">
        <v>0</v>
      </c>
      <c r="AG612" s="28">
        <v>0</v>
      </c>
      <c r="AH612" s="24">
        <v>0</v>
      </c>
      <c r="AI612" s="28">
        <v>100</v>
      </c>
      <c r="AJ612" s="13" t="str">
        <f xml:space="preserve"> IF(AD612&gt;F612,"Exceso en grasa saturada",IFERROR(IF(F612=0,"No tiene sello",IF((AD612*9)*100/F612&gt;10,"Exceso en grasa saturada","No tiene sello")),"No tiene sello"))</f>
        <v>No tiene sello</v>
      </c>
      <c r="AK612" s="13">
        <f>IF(AJ612="No tiene sello",0,1)</f>
        <v>0</v>
      </c>
      <c r="AL612" s="13" t="str">
        <f>IF(Q612&gt;=300,"Exceso en sodio",IFERROR(IF(AND(F612=0,Q612&gt;0),"No tiene sello",IF(Q612/F612&gt;1,"Exceso en sodio","No tiene sello")),"No tiene sello"))</f>
        <v>No tiene sello</v>
      </c>
      <c r="AM612" s="13" t="str">
        <f>IFERROR(IF(F612=0,"No tiene sello",IF(+(AG612/1000)*9*100/F612&gt;1,"Exceso en grasa trans", "No tiene sello")),"No tiene sello")</f>
        <v>No tiene sello</v>
      </c>
    </row>
    <row r="613" spans="1:39" ht="13.5" customHeight="1" x14ac:dyDescent="0.25">
      <c r="A613" s="26" t="s">
        <v>1733</v>
      </c>
      <c r="B613" s="20" t="s">
        <v>1738</v>
      </c>
      <c r="C613" s="20" t="s">
        <v>1817</v>
      </c>
      <c r="D613" s="22">
        <v>100</v>
      </c>
      <c r="E613" s="23">
        <v>5</v>
      </c>
      <c r="F613" s="24">
        <v>559</v>
      </c>
      <c r="G613" s="23">
        <v>2339</v>
      </c>
      <c r="H613" s="24">
        <v>30.2</v>
      </c>
      <c r="I613" s="24">
        <v>49.1</v>
      </c>
      <c r="J613" s="24">
        <v>10.7</v>
      </c>
      <c r="K613" s="23">
        <v>1.4</v>
      </c>
      <c r="L613" s="23">
        <v>1.4</v>
      </c>
      <c r="M613" s="24">
        <v>9.3000000000000007</v>
      </c>
      <c r="N613" s="23">
        <v>5</v>
      </c>
      <c r="O613" s="25">
        <v>46</v>
      </c>
      <c r="P613" s="25">
        <v>8.8000000000000007</v>
      </c>
      <c r="Q613" s="23">
        <v>7</v>
      </c>
      <c r="R613" s="25">
        <v>1233</v>
      </c>
      <c r="S613" s="23">
        <v>7.8</v>
      </c>
      <c r="T613" s="23">
        <v>592</v>
      </c>
      <c r="U613" s="23">
        <v>809</v>
      </c>
      <c r="V613" s="23">
        <v>0.27</v>
      </c>
      <c r="W613" s="23">
        <v>0.15</v>
      </c>
      <c r="X613" s="23">
        <v>4.99</v>
      </c>
      <c r="Y613" s="23">
        <v>58</v>
      </c>
      <c r="Z613" s="23">
        <v>0</v>
      </c>
      <c r="AA613" s="25">
        <v>2</v>
      </c>
      <c r="AB613" s="25">
        <v>0</v>
      </c>
      <c r="AC613" s="25">
        <v>0</v>
      </c>
      <c r="AD613" s="23">
        <v>8.6999999999999993</v>
      </c>
      <c r="AE613" s="23">
        <v>15.7</v>
      </c>
      <c r="AF613" s="23">
        <v>20.9</v>
      </c>
      <c r="AG613" s="23">
        <v>0</v>
      </c>
      <c r="AH613" s="24">
        <v>0</v>
      </c>
      <c r="AI613" s="23">
        <v>100</v>
      </c>
      <c r="AJ613" s="13" t="str">
        <f xml:space="preserve"> IF(AD613&gt;F613,"Exceso en grasa saturada",IFERROR(IF(F613=0,"No tiene sello",IF((AD613*9)*100/F613&gt;10,"Exceso en grasa saturada","No tiene sello")),"No tiene sello"))</f>
        <v>Exceso en grasa saturada</v>
      </c>
      <c r="AK613" s="13">
        <f>IF(AJ613="No tiene sello",0,1)</f>
        <v>1</v>
      </c>
      <c r="AL613" s="13" t="str">
        <f>IF(Q613&gt;=300,"Exceso en sodio",IFERROR(IF(AND(F613=0,Q613&gt;0),"No tiene sello",IF(Q613/F613&gt;1,"Exceso en sodio","No tiene sello")),"No tiene sello"))</f>
        <v>No tiene sello</v>
      </c>
      <c r="AM613" s="13" t="str">
        <f>IFERROR(IF(F613=0,"No tiene sello",IF(+(AG613/1000)*9*100/F613&gt;1,"Exceso en grasa trans", "No tiene sello")),"No tiene sello")</f>
        <v>No tiene sello</v>
      </c>
    </row>
    <row r="614" spans="1:39" ht="13.5" customHeight="1" x14ac:dyDescent="0.25">
      <c r="A614" s="20" t="s">
        <v>1734</v>
      </c>
      <c r="B614" s="26" t="s">
        <v>1740</v>
      </c>
      <c r="C614" s="27" t="s">
        <v>1817</v>
      </c>
      <c r="D614" s="46">
        <v>100</v>
      </c>
      <c r="E614" s="28">
        <v>4.7</v>
      </c>
      <c r="F614" s="24">
        <v>584</v>
      </c>
      <c r="G614" s="28">
        <v>2445</v>
      </c>
      <c r="H614" s="24">
        <v>20.8</v>
      </c>
      <c r="I614" s="24">
        <v>51.5</v>
      </c>
      <c r="J614" s="24">
        <v>20</v>
      </c>
      <c r="K614" s="28">
        <v>2.6</v>
      </c>
      <c r="L614" s="28">
        <v>2.6</v>
      </c>
      <c r="M614" s="24">
        <v>17.399999999999999</v>
      </c>
      <c r="N614" s="28">
        <v>3</v>
      </c>
      <c r="O614" s="25">
        <v>78</v>
      </c>
      <c r="P614" s="25">
        <v>5.3</v>
      </c>
      <c r="Q614" s="28">
        <v>9</v>
      </c>
      <c r="R614" s="25">
        <v>660</v>
      </c>
      <c r="S614" s="28">
        <v>5</v>
      </c>
      <c r="T614" s="28">
        <v>325</v>
      </c>
      <c r="U614" s="28">
        <v>645</v>
      </c>
      <c r="V614" s="28">
        <v>1.48</v>
      </c>
      <c r="W614" s="28">
        <v>0.36</v>
      </c>
      <c r="X614" s="28">
        <v>8.34</v>
      </c>
      <c r="Y614" s="28">
        <v>227</v>
      </c>
      <c r="Z614" s="28">
        <v>0</v>
      </c>
      <c r="AA614" s="25">
        <v>1</v>
      </c>
      <c r="AB614" s="25">
        <v>0</v>
      </c>
      <c r="AC614" s="25">
        <v>0</v>
      </c>
      <c r="AD614" s="28">
        <v>4.5</v>
      </c>
      <c r="AE614" s="28">
        <v>18.5</v>
      </c>
      <c r="AF614" s="28">
        <v>23.1</v>
      </c>
      <c r="AG614" s="28">
        <v>0</v>
      </c>
      <c r="AH614" s="24">
        <v>0</v>
      </c>
      <c r="AI614" s="28">
        <v>100</v>
      </c>
      <c r="AJ614" s="13" t="str">
        <f xml:space="preserve"> IF(AD614&gt;F614,"Exceso en grasa saturada",IFERROR(IF(F614=0,"No tiene sello",IF((AD614*9)*100/F614&gt;10,"Exceso en grasa saturada","No tiene sello")),"No tiene sello"))</f>
        <v>No tiene sello</v>
      </c>
      <c r="AK614" s="13">
        <f>IF(AJ614="No tiene sello",0,1)</f>
        <v>0</v>
      </c>
      <c r="AL614" s="13" t="str">
        <f>IF(Q614&gt;=300,"Exceso en sodio",IFERROR(IF(AND(F614=0,Q614&gt;0),"No tiene sello",IF(Q614/F614&gt;1,"Exceso en sodio","No tiene sello")),"No tiene sello"))</f>
        <v>No tiene sello</v>
      </c>
      <c r="AM614" s="13" t="str">
        <f>IFERROR(IF(F614=0,"No tiene sello",IF(+(AG614/1000)*9*100/F614&gt;1,"Exceso en grasa trans", "No tiene sello")),"No tiene sello")</f>
        <v>No tiene sello</v>
      </c>
    </row>
    <row r="615" spans="1:39" ht="13.5" customHeight="1" x14ac:dyDescent="0.25">
      <c r="A615" s="26" t="s">
        <v>1735</v>
      </c>
      <c r="B615" s="20" t="s">
        <v>1742</v>
      </c>
      <c r="C615" s="20" t="s">
        <v>1818</v>
      </c>
      <c r="D615" s="22">
        <v>100</v>
      </c>
      <c r="E615" s="23">
        <v>2</v>
      </c>
      <c r="F615" s="24">
        <v>628</v>
      </c>
      <c r="G615" s="23">
        <v>2629</v>
      </c>
      <c r="H615" s="24">
        <v>15</v>
      </c>
      <c r="I615" s="24">
        <v>60.8</v>
      </c>
      <c r="J615" s="24">
        <v>16.7</v>
      </c>
      <c r="K615" s="23">
        <v>4.3</v>
      </c>
      <c r="L615" s="23">
        <v>4.3</v>
      </c>
      <c r="M615" s="24">
        <v>12.4</v>
      </c>
      <c r="N615" s="23">
        <v>2.5</v>
      </c>
      <c r="O615" s="25">
        <v>114</v>
      </c>
      <c r="P615" s="25">
        <v>4.7</v>
      </c>
      <c r="Q615" s="23">
        <v>0</v>
      </c>
      <c r="R615" s="25">
        <v>290</v>
      </c>
      <c r="S615" s="23">
        <v>2.5</v>
      </c>
      <c r="T615" s="23">
        <v>163</v>
      </c>
      <c r="U615" s="23">
        <v>680</v>
      </c>
      <c r="V615" s="23">
        <v>0.64</v>
      </c>
      <c r="W615" s="23">
        <v>0.11</v>
      </c>
      <c r="X615" s="23">
        <v>1.8</v>
      </c>
      <c r="Y615" s="23">
        <v>113</v>
      </c>
      <c r="Z615" s="23">
        <v>0</v>
      </c>
      <c r="AA615" s="25">
        <v>0</v>
      </c>
      <c r="AB615" s="25">
        <v>0</v>
      </c>
      <c r="AC615" s="25">
        <v>0</v>
      </c>
      <c r="AD615" s="23">
        <v>4.5</v>
      </c>
      <c r="AE615" s="23">
        <v>45.7</v>
      </c>
      <c r="AF615" s="23">
        <v>7.9</v>
      </c>
      <c r="AG615" s="23">
        <v>0</v>
      </c>
      <c r="AH615" s="24">
        <v>0</v>
      </c>
      <c r="AI615" s="23">
        <v>100</v>
      </c>
      <c r="AJ615" s="13" t="str">
        <f xml:space="preserve"> IF(AD615&gt;F615,"Exceso en grasa saturada",IFERROR(IF(F615=0,"No tiene sello",IF((AD615*9)*100/F615&gt;10,"Exceso en grasa saturada","No tiene sello")),"No tiene sello"))</f>
        <v>No tiene sello</v>
      </c>
      <c r="AK615" s="13">
        <f>IF(AJ615="No tiene sello",0,1)</f>
        <v>0</v>
      </c>
      <c r="AL615" s="13" t="str">
        <f>IF(Q615&gt;=300,"Exceso en sodio",IFERROR(IF(AND(F615=0,Q615&gt;0),"No tiene sello",IF(Q615/F615&gt;1,"Exceso en sodio","No tiene sello")),"No tiene sello"))</f>
        <v>No tiene sello</v>
      </c>
      <c r="AM615" s="13" t="str">
        <f>IFERROR(IF(F615=0,"No tiene sello",IF(+(AG615/1000)*9*100/F615&gt;1,"Exceso en grasa trans", "No tiene sello")),"No tiene sello")</f>
        <v>No tiene sello</v>
      </c>
    </row>
    <row r="616" spans="1:39" ht="13.5" customHeight="1" x14ac:dyDescent="0.25">
      <c r="A616" s="20" t="s">
        <v>1737</v>
      </c>
      <c r="B616" s="26" t="s">
        <v>1743</v>
      </c>
      <c r="C616" s="27" t="s">
        <v>1823</v>
      </c>
      <c r="D616" s="46">
        <v>100</v>
      </c>
      <c r="E616" s="28">
        <v>63</v>
      </c>
      <c r="F616" s="24">
        <v>60</v>
      </c>
      <c r="G616" s="28">
        <v>251</v>
      </c>
      <c r="H616" s="24">
        <v>10.5</v>
      </c>
      <c r="I616" s="24">
        <v>0.1</v>
      </c>
      <c r="J616" s="24">
        <v>5.6</v>
      </c>
      <c r="K616" s="28">
        <v>5.6</v>
      </c>
      <c r="L616" s="28">
        <v>0.4</v>
      </c>
      <c r="M616" s="24">
        <v>0.8</v>
      </c>
      <c r="N616" s="28">
        <v>20.8</v>
      </c>
      <c r="O616" s="25">
        <v>20</v>
      </c>
      <c r="P616" s="25">
        <v>2</v>
      </c>
      <c r="Q616" s="28">
        <v>3700</v>
      </c>
      <c r="R616" s="25">
        <v>130</v>
      </c>
      <c r="S616" s="28">
        <v>0.7</v>
      </c>
      <c r="T616" s="28">
        <v>180</v>
      </c>
      <c r="U616" s="28">
        <v>217</v>
      </c>
      <c r="V616" s="28">
        <v>0.08</v>
      </c>
      <c r="W616" s="28">
        <v>0.25</v>
      </c>
      <c r="X616" s="28">
        <v>3.98</v>
      </c>
      <c r="Y616" s="28">
        <v>18</v>
      </c>
      <c r="Z616" s="28">
        <v>0</v>
      </c>
      <c r="AA616" s="25">
        <v>0</v>
      </c>
      <c r="AB616" s="25">
        <v>0</v>
      </c>
      <c r="AC616" s="25">
        <v>0</v>
      </c>
      <c r="AD616" s="28">
        <v>0</v>
      </c>
      <c r="AE616" s="28">
        <v>0</v>
      </c>
      <c r="AF616" s="28">
        <v>0</v>
      </c>
      <c r="AG616" s="28">
        <v>0</v>
      </c>
      <c r="AH616" s="24">
        <v>0</v>
      </c>
      <c r="AI616" s="28">
        <v>100</v>
      </c>
      <c r="AJ616" s="13" t="str">
        <f xml:space="preserve"> IF(AD616&gt;F616,"Exceso en grasa saturada",IFERROR(IF(F616=0,"No tiene sello",IF((AD616*9)*100/F616&gt;10,"Exceso en grasa saturada","No tiene sello")),"No tiene sello"))</f>
        <v>No tiene sello</v>
      </c>
      <c r="AK616" s="13">
        <f>IF(AJ616="No tiene sello",0,1)</f>
        <v>0</v>
      </c>
      <c r="AL616" s="13" t="str">
        <f>IF(Q616&gt;=300,"Exceso en sodio",IFERROR(IF(AND(F616=0,Q616&gt;0),"No tiene sello",IF(Q616/F616&gt;1,"Exceso en sodio","No tiene sello")),"No tiene sello"))</f>
        <v>Exceso en sodio</v>
      </c>
      <c r="AM616" s="13" t="str">
        <f>IFERROR(IF(F616=0,"No tiene sello",IF(+(AG616/1000)*9*100/F616&gt;1,"Exceso en grasa trans", "No tiene sello")),"No tiene sello")</f>
        <v>No tiene sello</v>
      </c>
    </row>
    <row r="617" spans="1:39" ht="13.5" customHeight="1" x14ac:dyDescent="0.25">
      <c r="A617" s="26" t="s">
        <v>1739</v>
      </c>
      <c r="B617" s="20" t="s">
        <v>1744</v>
      </c>
      <c r="C617" s="20" t="s">
        <v>1829</v>
      </c>
      <c r="D617" s="22">
        <v>100</v>
      </c>
      <c r="E617" s="23">
        <v>10</v>
      </c>
      <c r="F617" s="24">
        <v>274</v>
      </c>
      <c r="G617" s="23">
        <v>1147</v>
      </c>
      <c r="H617" s="24">
        <v>5.9</v>
      </c>
      <c r="I617" s="24">
        <v>13</v>
      </c>
      <c r="J617" s="24">
        <v>65.5</v>
      </c>
      <c r="K617" s="23">
        <v>27.7</v>
      </c>
      <c r="L617" s="23">
        <v>2.77</v>
      </c>
      <c r="M617" s="24">
        <v>37.799999999999997</v>
      </c>
      <c r="N617" s="23">
        <v>5.6</v>
      </c>
      <c r="O617" s="25">
        <v>632</v>
      </c>
      <c r="P617" s="25">
        <v>11.8</v>
      </c>
      <c r="Q617" s="23">
        <v>277</v>
      </c>
      <c r="R617" s="25">
        <v>104</v>
      </c>
      <c r="S617" s="23">
        <v>2.2999999999999998</v>
      </c>
      <c r="T617" s="23">
        <v>259</v>
      </c>
      <c r="U617" s="23">
        <v>1020</v>
      </c>
      <c r="V617" s="23">
        <v>0.16</v>
      </c>
      <c r="W617" s="23">
        <v>0.22</v>
      </c>
      <c r="X617" s="23">
        <v>1.56</v>
      </c>
      <c r="Y617" s="23">
        <v>25</v>
      </c>
      <c r="Z617" s="23">
        <v>0</v>
      </c>
      <c r="AA617" s="25">
        <v>0</v>
      </c>
      <c r="AB617" s="25">
        <v>160</v>
      </c>
      <c r="AC617" s="25">
        <v>0</v>
      </c>
      <c r="AD617" s="23">
        <v>15.6</v>
      </c>
      <c r="AE617" s="23">
        <v>1.4</v>
      </c>
      <c r="AF617" s="23">
        <v>3.7</v>
      </c>
      <c r="AG617" s="23">
        <v>0</v>
      </c>
      <c r="AH617" s="24">
        <v>0</v>
      </c>
      <c r="AI617" s="23">
        <v>100</v>
      </c>
      <c r="AJ617" s="13" t="str">
        <f xml:space="preserve"> IF(AD617&gt;F617,"Exceso en grasa saturada",IFERROR(IF(F617=0,"No tiene sello",IF((AD617*9)*100/F617&gt;10,"Exceso en grasa saturada","No tiene sello")),"No tiene sello"))</f>
        <v>Exceso en grasa saturada</v>
      </c>
      <c r="AK617" s="13">
        <f>IF(AJ617="No tiene sello",0,1)</f>
        <v>1</v>
      </c>
      <c r="AL617" s="13" t="str">
        <f>IF(Q617&gt;=300,"Exceso en sodio",IFERROR(IF(AND(F617=0,Q617&gt;0),"No tiene sello",IF(Q617/F617&gt;1,"Exceso en sodio","No tiene sello")),"No tiene sello"))</f>
        <v>Exceso en sodio</v>
      </c>
      <c r="AM617" s="13" t="str">
        <f>IFERROR(IF(F617=0,"No tiene sello",IF(+(AG617/1000)*9*100/F617&gt;1,"Exceso en grasa trans", "No tiene sello")),"No tiene sello")</f>
        <v>No tiene sello</v>
      </c>
    </row>
    <row r="618" spans="1:39" ht="13.5" customHeight="1" x14ac:dyDescent="0.25">
      <c r="A618" s="20" t="s">
        <v>1741</v>
      </c>
      <c r="B618" s="20" t="s">
        <v>1745</v>
      </c>
      <c r="C618" s="20" t="s">
        <v>1831</v>
      </c>
      <c r="D618" s="46">
        <v>100</v>
      </c>
      <c r="E618" s="23">
        <v>8</v>
      </c>
      <c r="F618" s="24">
        <v>311</v>
      </c>
      <c r="G618" s="23">
        <v>1302</v>
      </c>
      <c r="H618" s="24">
        <v>10.8</v>
      </c>
      <c r="I618" s="24">
        <v>6.7</v>
      </c>
      <c r="J618" s="24">
        <v>68.5</v>
      </c>
      <c r="K618" s="23">
        <v>0</v>
      </c>
      <c r="L618" s="23">
        <v>0</v>
      </c>
      <c r="M618" s="24">
        <v>28</v>
      </c>
      <c r="N618" s="23">
        <v>6</v>
      </c>
      <c r="O618" s="25">
        <v>383</v>
      </c>
      <c r="P618" s="25">
        <v>13.9</v>
      </c>
      <c r="Q618" s="23">
        <v>18</v>
      </c>
      <c r="R618" s="25">
        <v>178</v>
      </c>
      <c r="S618" s="23">
        <v>7.3</v>
      </c>
      <c r="T618" s="23">
        <v>229</v>
      </c>
      <c r="U618" s="23">
        <v>1119</v>
      </c>
      <c r="V618" s="23">
        <v>0.2</v>
      </c>
      <c r="W618" s="23">
        <v>0.18</v>
      </c>
      <c r="X618" s="23">
        <v>1.1000000000000001</v>
      </c>
      <c r="Y618" s="23">
        <v>0</v>
      </c>
      <c r="Z618" s="23">
        <v>0</v>
      </c>
      <c r="AA618" s="25">
        <v>0</v>
      </c>
      <c r="AB618" s="25">
        <v>0</v>
      </c>
      <c r="AC618" s="25">
        <v>0</v>
      </c>
      <c r="AD618" s="23">
        <v>0.7</v>
      </c>
      <c r="AE618" s="23">
        <v>0.9</v>
      </c>
      <c r="AF618" s="23">
        <v>0.4</v>
      </c>
      <c r="AG618" s="23">
        <v>0</v>
      </c>
      <c r="AH618" s="24">
        <v>0</v>
      </c>
      <c r="AI618" s="23">
        <v>100</v>
      </c>
      <c r="AJ618" s="13" t="str">
        <f xml:space="preserve"> IF(AD618&gt;F618,"Exceso en grasa saturada",IFERROR(IF(F618=0,"No tiene sello",IF((AD618*9)*100/F618&gt;10,"Exceso en grasa saturada","No tiene sello")),"No tiene sello"))</f>
        <v>No tiene sello</v>
      </c>
      <c r="AK618" s="13">
        <f>IF(AJ618="No tiene sello",0,1)</f>
        <v>0</v>
      </c>
      <c r="AL618" s="13" t="str">
        <f>IF(Q618&gt;=300,"Exceso en sodio",IFERROR(IF(AND(F618=0,Q618&gt;0),"No tiene sello",IF(Q618/F618&gt;1,"Exceso en sodio","No tiene sello")),"No tiene sello"))</f>
        <v>No tiene sello</v>
      </c>
      <c r="AM618" s="13" t="str">
        <f>IFERROR(IF(F618=0,"No tiene sello",IF(+(AG618/1000)*9*100/F618&gt;1,"Exceso en grasa trans", "No tiene sello")),"No tiene sello")</f>
        <v>No tiene sello</v>
      </c>
    </row>
    <row r="619" spans="1:39" ht="13.5" customHeight="1" x14ac:dyDescent="0.25">
      <c r="A619" s="20" t="s">
        <v>486</v>
      </c>
      <c r="B619" s="20" t="s">
        <v>487</v>
      </c>
      <c r="C619" s="20" t="s">
        <v>461</v>
      </c>
      <c r="D619" s="22">
        <v>100</v>
      </c>
      <c r="E619" s="23">
        <v>74.3</v>
      </c>
      <c r="F619" s="24">
        <v>154</v>
      </c>
      <c r="G619" s="23">
        <v>640</v>
      </c>
      <c r="H619" s="24">
        <v>13</v>
      </c>
      <c r="I619" s="24">
        <v>11.1</v>
      </c>
      <c r="J619" s="24">
        <v>0.5</v>
      </c>
      <c r="K619" s="23">
        <v>0</v>
      </c>
      <c r="L619" s="23">
        <v>0.05</v>
      </c>
      <c r="M619" s="24">
        <v>0</v>
      </c>
      <c r="N619" s="23">
        <v>1.1000000000000001</v>
      </c>
      <c r="O619" s="25">
        <v>64</v>
      </c>
      <c r="P619" s="25">
        <v>3.6</v>
      </c>
      <c r="Q619" s="23">
        <v>141</v>
      </c>
      <c r="R619" s="25">
        <v>226</v>
      </c>
      <c r="S619" s="23">
        <v>1.5</v>
      </c>
      <c r="T619" s="23">
        <v>13</v>
      </c>
      <c r="U619" s="23">
        <v>132</v>
      </c>
      <c r="V619" s="23">
        <v>0.13</v>
      </c>
      <c r="W619" s="23">
        <v>0.79</v>
      </c>
      <c r="X619" s="23">
        <v>0.2</v>
      </c>
      <c r="Y619" s="23">
        <v>66</v>
      </c>
      <c r="Z619" s="23">
        <v>1.58</v>
      </c>
      <c r="AA619" s="25">
        <v>0</v>
      </c>
      <c r="AB619" s="25">
        <v>159</v>
      </c>
      <c r="AC619" s="25">
        <v>1.5</v>
      </c>
      <c r="AD619" s="23">
        <v>3.6</v>
      </c>
      <c r="AE619" s="23">
        <v>4.3</v>
      </c>
      <c r="AF619" s="23">
        <v>1.3</v>
      </c>
      <c r="AG619" s="23">
        <v>15</v>
      </c>
      <c r="AH619" s="24">
        <v>844</v>
      </c>
      <c r="AI619" s="23">
        <v>92</v>
      </c>
      <c r="AJ619" s="13" t="str">
        <f xml:space="preserve"> IF(AD619&gt;F619,"Exceso en grasa saturada",IFERROR(IF(F619=0,"No tiene sello",IF((AD619*9)*100/F619&gt;10,"Exceso en grasa saturada","No tiene sello")),"No tiene sello"))</f>
        <v>Exceso en grasa saturada</v>
      </c>
      <c r="AK619" s="13">
        <f>IF(AJ619="No tiene sello",0,1)</f>
        <v>1</v>
      </c>
      <c r="AL619" s="13" t="str">
        <f>IF(Q619&gt;=300,"Exceso en sodio",IFERROR(IF(AND(F619=0,Q619&gt;0),"No tiene sello",IF(Q619/F619&gt;1,"Exceso en sodio","No tiene sello")),"No tiene sello"))</f>
        <v>No tiene sello</v>
      </c>
      <c r="AM619" s="13" t="str">
        <f>IFERROR(IF(F619=0,"No tiene sello",IF(+(AG619/1000)*9*100/F619&gt;1,"Exceso en grasa trans", "No tiene sello")),"No tiene sello")</f>
        <v>No tiene sello</v>
      </c>
    </row>
    <row r="620" spans="1:39" ht="13.5" customHeight="1" x14ac:dyDescent="0.25">
      <c r="A620" s="26" t="s">
        <v>483</v>
      </c>
      <c r="B620" s="26" t="s">
        <v>485</v>
      </c>
      <c r="C620" s="26" t="s">
        <v>484</v>
      </c>
      <c r="D620" s="16">
        <v>100</v>
      </c>
      <c r="E620" s="28">
        <v>87.8</v>
      </c>
      <c r="F620" s="24">
        <v>47</v>
      </c>
      <c r="G620" s="28">
        <v>201</v>
      </c>
      <c r="H620" s="24">
        <v>10.8</v>
      </c>
      <c r="I620" s="24">
        <v>0.2</v>
      </c>
      <c r="J620" s="24">
        <v>0.6</v>
      </c>
      <c r="K620" s="28">
        <v>0</v>
      </c>
      <c r="L620" s="28">
        <v>0.06</v>
      </c>
      <c r="M620" s="24">
        <v>0</v>
      </c>
      <c r="N620" s="28">
        <v>0.6</v>
      </c>
      <c r="O620" s="25">
        <v>6</v>
      </c>
      <c r="P620" s="25">
        <v>0.1</v>
      </c>
      <c r="Q620" s="28">
        <v>173</v>
      </c>
      <c r="R620" s="25">
        <v>15</v>
      </c>
      <c r="S620" s="28">
        <v>0</v>
      </c>
      <c r="T620" s="28">
        <v>11</v>
      </c>
      <c r="U620" s="28">
        <v>154</v>
      </c>
      <c r="V620" s="28">
        <v>0</v>
      </c>
      <c r="W620" s="28">
        <v>0.44</v>
      </c>
      <c r="X620" s="28">
        <v>0.1</v>
      </c>
      <c r="Y620" s="28">
        <v>6</v>
      </c>
      <c r="Z620" s="28">
        <v>0.09</v>
      </c>
      <c r="AA620" s="25">
        <v>0</v>
      </c>
      <c r="AB620" s="25">
        <v>0</v>
      </c>
      <c r="AC620" s="25">
        <v>0</v>
      </c>
      <c r="AD620" s="28">
        <v>0</v>
      </c>
      <c r="AE620" s="28">
        <v>0</v>
      </c>
      <c r="AF620" s="28">
        <v>0</v>
      </c>
      <c r="AG620" s="28">
        <v>0</v>
      </c>
      <c r="AH620" s="24">
        <v>0</v>
      </c>
      <c r="AI620" s="28">
        <v>100</v>
      </c>
      <c r="AJ620" s="13" t="str">
        <f xml:space="preserve"> IF(AD620&gt;F620,"Exceso en grasa saturada",IFERROR(IF(F620=0,"No tiene sello",IF((AD620*9)*100/F620&gt;10,"Exceso en grasa saturada","No tiene sello")),"No tiene sello"))</f>
        <v>No tiene sello</v>
      </c>
      <c r="AK620" s="13">
        <f>IF(AJ620="No tiene sello",0,1)</f>
        <v>0</v>
      </c>
      <c r="AL620" s="13" t="str">
        <f>IF(Q620&gt;=300,"Exceso en sodio",IFERROR(IF(AND(F620=0,Q620&gt;0),"No tiene sello",IF(Q620/F620&gt;1,"Exceso en sodio","No tiene sello")),"No tiene sello"))</f>
        <v>Exceso en sodio</v>
      </c>
      <c r="AM620" s="13" t="str">
        <f>IFERROR(IF(F620=0,"No tiene sello",IF(+(AG620/1000)*9*100/F620&gt;1,"Exceso en grasa trans", "No tiene sello")),"No tiene sello")</f>
        <v>No tiene sello</v>
      </c>
    </row>
    <row r="621" spans="1:39" ht="13.5" customHeight="1" x14ac:dyDescent="0.25">
      <c r="A621" s="29" t="s">
        <v>481</v>
      </c>
      <c r="B621" s="29" t="s">
        <v>482</v>
      </c>
      <c r="C621" s="29" t="s">
        <v>461</v>
      </c>
      <c r="D621" s="22">
        <v>100</v>
      </c>
      <c r="E621" s="31">
        <v>75.599999999999994</v>
      </c>
      <c r="F621" s="24">
        <v>145</v>
      </c>
      <c r="G621" s="31">
        <v>605</v>
      </c>
      <c r="H621" s="24">
        <v>13</v>
      </c>
      <c r="I621" s="24">
        <v>10.4</v>
      </c>
      <c r="J621" s="24">
        <v>0</v>
      </c>
      <c r="K621" s="31">
        <v>0</v>
      </c>
      <c r="L621" s="31">
        <v>0</v>
      </c>
      <c r="M621" s="24">
        <v>0</v>
      </c>
      <c r="N621" s="31">
        <v>1</v>
      </c>
      <c r="O621" s="31">
        <v>49</v>
      </c>
      <c r="P621" s="25">
        <v>1.6</v>
      </c>
      <c r="Q621" s="31">
        <v>143</v>
      </c>
      <c r="R621" s="31">
        <v>184</v>
      </c>
      <c r="S621" s="31">
        <v>0.9</v>
      </c>
      <c r="T621" s="31">
        <v>13</v>
      </c>
      <c r="U621" s="31">
        <v>127</v>
      </c>
      <c r="V621" s="31">
        <v>7.0000000000000007E-2</v>
      </c>
      <c r="W621" s="31">
        <v>0.37</v>
      </c>
      <c r="X621" s="31">
        <v>0.1</v>
      </c>
      <c r="Y621" s="31">
        <v>51</v>
      </c>
      <c r="Z621" s="31">
        <v>1.1499999999999999</v>
      </c>
      <c r="AA621" s="31">
        <v>0</v>
      </c>
      <c r="AB621" s="31">
        <v>176</v>
      </c>
      <c r="AC621" s="31">
        <v>2</v>
      </c>
      <c r="AD621" s="31">
        <v>3.1</v>
      </c>
      <c r="AE621" s="31">
        <v>4.3</v>
      </c>
      <c r="AF621" s="31">
        <v>1.3</v>
      </c>
      <c r="AG621" s="31">
        <v>15</v>
      </c>
      <c r="AH621" s="24">
        <v>375</v>
      </c>
      <c r="AI621" s="31">
        <v>100</v>
      </c>
      <c r="AJ621" s="13" t="str">
        <f xml:space="preserve"> IF(AD621&gt;F621,"Exceso en grasa saturada",IFERROR(IF(F621=0,"No tiene sello",IF((AD621*9)*100/F621&gt;10,"Exceso en grasa saturada","No tiene sello")),"No tiene sello"))</f>
        <v>Exceso en grasa saturada</v>
      </c>
      <c r="AK621" s="13">
        <f>IF(AJ621="No tiene sello",0,1)</f>
        <v>1</v>
      </c>
      <c r="AL621" s="13" t="str">
        <f>IF(Q621&gt;=300,"Exceso en sodio",IFERROR(IF(AND(F621=0,Q621&gt;0),"No tiene sello",IF(Q621/F621&gt;1,"Exceso en sodio","No tiene sello")),"No tiene sello"))</f>
        <v>No tiene sello</v>
      </c>
      <c r="AM621" s="13" t="str">
        <f>IFERROR(IF(F621=0,"No tiene sello",IF(+(AG621/1000)*9*100/F621&gt;1,"Exceso en grasa trans", "No tiene sello")),"No tiene sello")</f>
        <v>No tiene sello</v>
      </c>
    </row>
    <row r="622" spans="1:39" ht="13.5" customHeight="1" x14ac:dyDescent="0.25">
      <c r="A622" s="26" t="s">
        <v>479</v>
      </c>
      <c r="B622" s="26" t="s">
        <v>480</v>
      </c>
      <c r="C622" s="26" t="s">
        <v>461</v>
      </c>
      <c r="D622" s="16">
        <v>100</v>
      </c>
      <c r="E622" s="28">
        <v>75.400000000000006</v>
      </c>
      <c r="F622" s="24">
        <v>149</v>
      </c>
      <c r="G622" s="28">
        <v>619</v>
      </c>
      <c r="H622" s="24">
        <v>12.6</v>
      </c>
      <c r="I622" s="24">
        <v>10.8</v>
      </c>
      <c r="J622" s="24">
        <v>0.3</v>
      </c>
      <c r="K622" s="28">
        <v>0</v>
      </c>
      <c r="L622" s="28">
        <v>0.03</v>
      </c>
      <c r="M622" s="24">
        <v>0</v>
      </c>
      <c r="N622" s="28">
        <v>0.9</v>
      </c>
      <c r="O622" s="25">
        <v>53</v>
      </c>
      <c r="P622" s="25">
        <v>1.7</v>
      </c>
      <c r="Q622" s="28">
        <v>139</v>
      </c>
      <c r="R622" s="25">
        <v>197</v>
      </c>
      <c r="S622" s="28">
        <v>1.4</v>
      </c>
      <c r="T622" s="28">
        <v>12</v>
      </c>
      <c r="U622" s="28">
        <v>136</v>
      </c>
      <c r="V622" s="28">
        <v>7.0000000000000007E-2</v>
      </c>
      <c r="W622" s="28">
        <v>0.49</v>
      </c>
      <c r="X622" s="28">
        <v>0.1</v>
      </c>
      <c r="Y622" s="28">
        <v>48</v>
      </c>
      <c r="Z622" s="28">
        <v>1.29</v>
      </c>
      <c r="AA622" s="25">
        <v>0</v>
      </c>
      <c r="AB622" s="25">
        <v>177</v>
      </c>
      <c r="AC622" s="25">
        <v>1.9</v>
      </c>
      <c r="AD622" s="28">
        <v>3.1</v>
      </c>
      <c r="AE622" s="28">
        <v>3.9</v>
      </c>
      <c r="AF622" s="28">
        <v>1.7</v>
      </c>
      <c r="AG622" s="28">
        <v>12</v>
      </c>
      <c r="AH622" s="24">
        <v>374</v>
      </c>
      <c r="AI622" s="28">
        <v>90</v>
      </c>
      <c r="AJ622" s="13" t="str">
        <f xml:space="preserve"> IF(AD622&gt;F622,"Exceso en grasa saturada",IFERROR(IF(F622=0,"No tiene sello",IF((AD622*9)*100/F622&gt;10,"Exceso en grasa saturada","No tiene sello")),"No tiene sello"))</f>
        <v>Exceso en grasa saturada</v>
      </c>
      <c r="AK622" s="13">
        <f>IF(AJ622="No tiene sello",0,1)</f>
        <v>1</v>
      </c>
      <c r="AL622" s="13" t="str">
        <f>IF(Q622&gt;=300,"Exceso en sodio",IFERROR(IF(AND(F622=0,Q622&gt;0),"No tiene sello",IF(Q622/F622&gt;1,"Exceso en sodio","No tiene sello")),"No tiene sello"))</f>
        <v>No tiene sello</v>
      </c>
      <c r="AM622" s="13" t="str">
        <f>IFERROR(IF(F622=0,"No tiene sello",IF(+(AG622/1000)*9*100/F622&gt;1,"Exceso en grasa trans", "No tiene sello")),"No tiene sello")</f>
        <v>No tiene sello</v>
      </c>
    </row>
    <row r="623" spans="1:39" ht="13.5" customHeight="1" x14ac:dyDescent="0.25">
      <c r="A623" s="20" t="s">
        <v>477</v>
      </c>
      <c r="B623" s="20" t="s">
        <v>478</v>
      </c>
      <c r="C623" s="20" t="s">
        <v>461</v>
      </c>
      <c r="D623" s="22">
        <v>100</v>
      </c>
      <c r="E623" s="23">
        <v>4.0999999999999996</v>
      </c>
      <c r="F623" s="24">
        <v>579</v>
      </c>
      <c r="G623" s="23">
        <v>2408</v>
      </c>
      <c r="H623" s="24">
        <v>48.2</v>
      </c>
      <c r="I623" s="24">
        <v>41.8</v>
      </c>
      <c r="J623" s="24">
        <v>2.5</v>
      </c>
      <c r="K623" s="23">
        <v>0</v>
      </c>
      <c r="L623" s="23">
        <v>0.25</v>
      </c>
      <c r="M623" s="24">
        <v>0</v>
      </c>
      <c r="N623" s="23">
        <v>3.4</v>
      </c>
      <c r="O623" s="25">
        <v>212</v>
      </c>
      <c r="P623" s="25">
        <v>7.2</v>
      </c>
      <c r="Q623" s="23">
        <v>523</v>
      </c>
      <c r="R623" s="25">
        <v>679</v>
      </c>
      <c r="S623" s="23">
        <v>5.3</v>
      </c>
      <c r="T623" s="23">
        <v>41</v>
      </c>
      <c r="U623" s="23">
        <v>513</v>
      </c>
      <c r="V623" s="23">
        <v>0.19</v>
      </c>
      <c r="W623" s="23">
        <v>1.83</v>
      </c>
      <c r="X623" s="23">
        <v>0.3</v>
      </c>
      <c r="Y623" s="23">
        <v>163</v>
      </c>
      <c r="Z623" s="23">
        <v>3.43</v>
      </c>
      <c r="AA623" s="25">
        <v>0</v>
      </c>
      <c r="AB623" s="25">
        <v>586</v>
      </c>
      <c r="AC623" s="25">
        <v>4</v>
      </c>
      <c r="AD623" s="23">
        <v>12.8</v>
      </c>
      <c r="AE623" s="23">
        <v>17.2</v>
      </c>
      <c r="AF623" s="23">
        <v>5.8</v>
      </c>
      <c r="AG623" s="23">
        <v>50</v>
      </c>
      <c r="AH623" s="24">
        <v>1715</v>
      </c>
      <c r="AI623" s="23">
        <v>100</v>
      </c>
      <c r="AJ623" s="13" t="str">
        <f xml:space="preserve"> IF(AD623&gt;F623,"Exceso en grasa saturada",IFERROR(IF(F623=0,"No tiene sello",IF((AD623*9)*100/F623&gt;10,"Exceso en grasa saturada","No tiene sello")),"No tiene sello"))</f>
        <v>Exceso en grasa saturada</v>
      </c>
      <c r="AK623" s="13">
        <f>IF(AJ623="No tiene sello",0,1)</f>
        <v>1</v>
      </c>
      <c r="AL623" s="13" t="str">
        <f>IF(Q623&gt;=300,"Exceso en sodio",IFERROR(IF(AND(F623=0,Q623&gt;0),"No tiene sello",IF(Q623/F623&gt;1,"Exceso en sodio","No tiene sello")),"No tiene sello"))</f>
        <v>Exceso en sodio</v>
      </c>
      <c r="AM623" s="13" t="str">
        <f>IFERROR(IF(F623=0,"No tiene sello",IF(+(AG623/1000)*9*100/F623&gt;1,"Exceso en grasa trans", "No tiene sello")),"No tiene sello")</f>
        <v>No tiene sello</v>
      </c>
    </row>
    <row r="624" spans="1:39" ht="13.5" customHeight="1" x14ac:dyDescent="0.25">
      <c r="A624" s="33" t="s">
        <v>475</v>
      </c>
      <c r="B624" s="33" t="s">
        <v>476</v>
      </c>
      <c r="C624" s="33" t="s">
        <v>461</v>
      </c>
      <c r="D624" s="16">
        <v>100</v>
      </c>
      <c r="E624" s="35">
        <v>65</v>
      </c>
      <c r="F624" s="24">
        <v>208</v>
      </c>
      <c r="G624" s="35">
        <v>866</v>
      </c>
      <c r="H624" s="24">
        <v>17.100000000000001</v>
      </c>
      <c r="I624" s="24">
        <v>14.6</v>
      </c>
      <c r="J624" s="24">
        <v>2</v>
      </c>
      <c r="K624" s="35">
        <v>0</v>
      </c>
      <c r="L624" s="35">
        <v>0.2</v>
      </c>
      <c r="M624" s="24">
        <v>0</v>
      </c>
      <c r="N624" s="35">
        <v>1.3</v>
      </c>
      <c r="O624" s="25">
        <v>64</v>
      </c>
      <c r="P624" s="25">
        <v>1.7</v>
      </c>
      <c r="Q624" s="35">
        <v>194</v>
      </c>
      <c r="R624" s="25">
        <v>235</v>
      </c>
      <c r="S624" s="35">
        <v>1.2</v>
      </c>
      <c r="T624" s="35">
        <v>16</v>
      </c>
      <c r="U624" s="35">
        <v>171</v>
      </c>
      <c r="V624" s="35">
        <v>0.06</v>
      </c>
      <c r="W624" s="35">
        <v>0.38</v>
      </c>
      <c r="X624" s="35">
        <v>0.1</v>
      </c>
      <c r="Y624" s="35">
        <v>48</v>
      </c>
      <c r="Z624" s="35">
        <v>1.36</v>
      </c>
      <c r="AA624" s="25">
        <v>0</v>
      </c>
      <c r="AB624" s="25">
        <v>220</v>
      </c>
      <c r="AC624" s="25">
        <v>2</v>
      </c>
      <c r="AD624" s="35">
        <v>4.0999999999999996</v>
      </c>
      <c r="AE624" s="35">
        <v>6</v>
      </c>
      <c r="AF624" s="35">
        <v>2.5</v>
      </c>
      <c r="AG624" s="35">
        <v>50</v>
      </c>
      <c r="AH624" s="24">
        <v>408</v>
      </c>
      <c r="AI624" s="35">
        <v>100</v>
      </c>
      <c r="AJ624" s="13" t="str">
        <f xml:space="preserve"> IF(AD624&gt;F624,"Exceso en grasa saturada",IFERROR(IF(F624=0,"No tiene sello",IF((AD624*9)*100/F624&gt;10,"Exceso en grasa saturada","No tiene sello")),"No tiene sello"))</f>
        <v>Exceso en grasa saturada</v>
      </c>
      <c r="AK624" s="13">
        <f>IF(AJ624="No tiene sello",0,1)</f>
        <v>1</v>
      </c>
      <c r="AL624" s="13" t="str">
        <f>IF(Q624&gt;=300,"Exceso en sodio",IFERROR(IF(AND(F624=0,Q624&gt;0),"No tiene sello",IF(Q624/F624&gt;1,"Exceso en sodio","No tiene sello")),"No tiene sello"))</f>
        <v>No tiene sello</v>
      </c>
      <c r="AM624" s="13" t="str">
        <f>IFERROR(IF(F624=0,"No tiene sello",IF(+(AG624/1000)*9*100/F624&gt;1,"Exceso en grasa trans", "No tiene sello")),"No tiene sello")</f>
        <v>No tiene sello</v>
      </c>
    </row>
    <row r="625" spans="1:39" ht="13.5" customHeight="1" x14ac:dyDescent="0.25">
      <c r="A625" s="29" t="s">
        <v>473</v>
      </c>
      <c r="B625" s="29" t="s">
        <v>474</v>
      </c>
      <c r="C625" s="29" t="s">
        <v>461</v>
      </c>
      <c r="D625" s="22">
        <v>100</v>
      </c>
      <c r="E625" s="31">
        <v>74.599999999999994</v>
      </c>
      <c r="F625" s="24">
        <v>152</v>
      </c>
      <c r="G625" s="31">
        <v>631</v>
      </c>
      <c r="H625" s="24">
        <v>10.199999999999999</v>
      </c>
      <c r="I625" s="24">
        <v>11.4</v>
      </c>
      <c r="J625" s="24">
        <v>2.2999999999999998</v>
      </c>
      <c r="K625" s="31">
        <v>0</v>
      </c>
      <c r="L625" s="31">
        <v>0.23</v>
      </c>
      <c r="M625" s="24">
        <v>0</v>
      </c>
      <c r="N625" s="31">
        <v>1.6</v>
      </c>
      <c r="O625" s="31">
        <v>62</v>
      </c>
      <c r="P625" s="31">
        <v>2</v>
      </c>
      <c r="Q625" s="31">
        <v>404</v>
      </c>
      <c r="R625" s="31">
        <v>162</v>
      </c>
      <c r="S625" s="31">
        <v>1.2</v>
      </c>
      <c r="T625" s="31">
        <v>12</v>
      </c>
      <c r="U625" s="31">
        <v>136</v>
      </c>
      <c r="V625" s="31">
        <v>7.0000000000000007E-2</v>
      </c>
      <c r="W625" s="31">
        <v>0.43</v>
      </c>
      <c r="X625" s="31">
        <v>0.1</v>
      </c>
      <c r="Y625" s="31">
        <v>39</v>
      </c>
      <c r="Z625" s="31">
        <v>1.25</v>
      </c>
      <c r="AA625" s="31">
        <v>0</v>
      </c>
      <c r="AB625" s="31">
        <v>121</v>
      </c>
      <c r="AC625" s="31">
        <v>2</v>
      </c>
      <c r="AD625" s="31">
        <v>3.3</v>
      </c>
      <c r="AE625" s="31">
        <v>5.0999999999999996</v>
      </c>
      <c r="AF625" s="31">
        <v>1.7</v>
      </c>
      <c r="AG625" s="31">
        <v>50</v>
      </c>
      <c r="AH625" s="31">
        <v>338</v>
      </c>
      <c r="AI625" s="31">
        <v>100</v>
      </c>
      <c r="AJ625" s="13" t="str">
        <f xml:space="preserve"> IF(AD625&gt;F625,"Exceso en grasa saturada",IFERROR(IF(F625=0,"No tiene sello",IF((AD625*9)*100/F625&gt;10,"Exceso en grasa saturada","No tiene sello")),"No tiene sello"))</f>
        <v>Exceso en grasa saturada</v>
      </c>
      <c r="AK625" s="13">
        <f>IF(AJ625="No tiene sello",0,1)</f>
        <v>1</v>
      </c>
      <c r="AL625" s="13" t="str">
        <f>IF(Q625&gt;=300,"Exceso en sodio",IFERROR(IF(AND(F625=0,Q625&gt;0),"No tiene sello",IF(Q625/F625&gt;1,"Exceso en sodio","No tiene sello")),"No tiene sello"))</f>
        <v>Exceso en sodio</v>
      </c>
      <c r="AM625" s="13" t="str">
        <f>IFERROR(IF(F625=0,"No tiene sello",IF(+(AG625/1000)*9*100/F625&gt;1,"Exceso en grasa trans", "No tiene sello")),"No tiene sello")</f>
        <v>No tiene sello</v>
      </c>
    </row>
    <row r="626" spans="1:39" ht="13.5" customHeight="1" x14ac:dyDescent="0.25">
      <c r="A626" s="26" t="s">
        <v>471</v>
      </c>
      <c r="B626" s="26" t="s">
        <v>472</v>
      </c>
      <c r="C626" s="26" t="s">
        <v>461</v>
      </c>
      <c r="D626" s="16">
        <v>100</v>
      </c>
      <c r="E626" s="28">
        <v>76.099999999999994</v>
      </c>
      <c r="F626" s="24">
        <v>143</v>
      </c>
      <c r="G626" s="28">
        <v>594</v>
      </c>
      <c r="H626" s="24">
        <v>13</v>
      </c>
      <c r="I626" s="24">
        <v>10.1</v>
      </c>
      <c r="J626" s="24">
        <v>0</v>
      </c>
      <c r="K626" s="28">
        <v>0</v>
      </c>
      <c r="L626" s="28">
        <v>0</v>
      </c>
      <c r="M626" s="24">
        <v>0</v>
      </c>
      <c r="N626" s="28">
        <v>0.9</v>
      </c>
      <c r="O626" s="25">
        <v>52</v>
      </c>
      <c r="P626" s="25">
        <v>1.3</v>
      </c>
      <c r="Q626" s="28">
        <v>129</v>
      </c>
      <c r="R626" s="25">
        <v>154</v>
      </c>
      <c r="S626" s="28">
        <v>1.2</v>
      </c>
      <c r="T626" s="28">
        <v>11</v>
      </c>
      <c r="U626" s="28">
        <v>126</v>
      </c>
      <c r="V626" s="28">
        <v>7.0000000000000007E-2</v>
      </c>
      <c r="W626" s="28">
        <v>0.02</v>
      </c>
      <c r="X626" s="28">
        <v>0.1</v>
      </c>
      <c r="Y626" s="28">
        <v>46</v>
      </c>
      <c r="Z626" s="28">
        <v>1.35</v>
      </c>
      <c r="AA626" s="25">
        <v>1</v>
      </c>
      <c r="AB626" s="25">
        <v>129</v>
      </c>
      <c r="AC626" s="25">
        <v>1.9</v>
      </c>
      <c r="AD626" s="28">
        <v>3.1</v>
      </c>
      <c r="AE626" s="28">
        <v>4.2</v>
      </c>
      <c r="AF626" s="28">
        <v>1.3</v>
      </c>
      <c r="AG626" s="28">
        <v>12</v>
      </c>
      <c r="AH626" s="24">
        <v>381</v>
      </c>
      <c r="AI626" s="28">
        <v>90</v>
      </c>
      <c r="AJ626" s="13" t="str">
        <f xml:space="preserve"> IF(AD626&gt;F626,"Exceso en grasa saturada",IFERROR(IF(F626=0,"No tiene sello",IF((AD626*9)*100/F626&gt;10,"Exceso en grasa saturada","No tiene sello")),"No tiene sello"))</f>
        <v>Exceso en grasa saturada</v>
      </c>
      <c r="AK626" s="13">
        <f>IF(AJ626="No tiene sello",0,1)</f>
        <v>1</v>
      </c>
      <c r="AL626" s="13" t="str">
        <f>IF(Q626&gt;=300,"Exceso en sodio",IFERROR(IF(AND(F626=0,Q626&gt;0),"No tiene sello",IF(Q626/F626&gt;1,"Exceso en sodio","No tiene sello")),"No tiene sello"))</f>
        <v>No tiene sello</v>
      </c>
      <c r="AM626" s="13" t="str">
        <f>IFERROR(IF(F626=0,"No tiene sello",IF(+(AG626/1000)*9*100/F626&gt;1,"Exceso en grasa trans", "No tiene sello")),"No tiene sello")</f>
        <v>No tiene sello</v>
      </c>
    </row>
    <row r="627" spans="1:39" ht="13.5" customHeight="1" x14ac:dyDescent="0.25">
      <c r="A627" s="20" t="s">
        <v>468</v>
      </c>
      <c r="B627" s="20" t="s">
        <v>470</v>
      </c>
      <c r="C627" s="20" t="s">
        <v>469</v>
      </c>
      <c r="D627" s="22">
        <v>100</v>
      </c>
      <c r="E627" s="23">
        <v>49.4</v>
      </c>
      <c r="F627" s="24">
        <v>355</v>
      </c>
      <c r="G627" s="23">
        <v>1469</v>
      </c>
      <c r="H627" s="24">
        <v>16.3</v>
      </c>
      <c r="I627" s="24">
        <v>31.9</v>
      </c>
      <c r="J627" s="24">
        <v>0.7</v>
      </c>
      <c r="K627" s="23">
        <v>0</v>
      </c>
      <c r="L627" s="23">
        <v>7.0000000000000007E-2</v>
      </c>
      <c r="M627" s="24">
        <v>0</v>
      </c>
      <c r="N627" s="23">
        <v>1.7</v>
      </c>
      <c r="O627" s="25">
        <v>132</v>
      </c>
      <c r="P627" s="25">
        <v>5.0999999999999996</v>
      </c>
      <c r="Q627" s="23">
        <v>48</v>
      </c>
      <c r="R627" s="25">
        <v>580</v>
      </c>
      <c r="S627" s="23">
        <v>2.2999999999999998</v>
      </c>
      <c r="T627" s="23">
        <v>11</v>
      </c>
      <c r="U627" s="23">
        <v>109</v>
      </c>
      <c r="V627" s="23">
        <v>0.2</v>
      </c>
      <c r="W627" s="23">
        <v>0.52</v>
      </c>
      <c r="X627" s="23">
        <v>0.1</v>
      </c>
      <c r="Y627" s="23">
        <v>143</v>
      </c>
      <c r="Z627" s="23">
        <v>5.88</v>
      </c>
      <c r="AA627" s="25">
        <v>0</v>
      </c>
      <c r="AB627" s="25">
        <v>519</v>
      </c>
      <c r="AC627" s="25">
        <v>4.8</v>
      </c>
      <c r="AD627" s="23">
        <v>9.5</v>
      </c>
      <c r="AE627" s="23">
        <v>12.7</v>
      </c>
      <c r="AF627" s="23">
        <v>4.0999999999999996</v>
      </c>
      <c r="AG627" s="23">
        <v>25</v>
      </c>
      <c r="AH627" s="24">
        <v>1140</v>
      </c>
      <c r="AI627" s="23">
        <v>100</v>
      </c>
      <c r="AJ627" s="13" t="str">
        <f xml:space="preserve"> IF(AD627&gt;F627,"Exceso en grasa saturada",IFERROR(IF(F627=0,"No tiene sello",IF((AD627*9)*100/F627&gt;10,"Exceso en grasa saturada","No tiene sello")),"No tiene sello"))</f>
        <v>Exceso en grasa saturada</v>
      </c>
      <c r="AK627" s="13">
        <f>IF(AJ627="No tiene sello",0,1)</f>
        <v>1</v>
      </c>
      <c r="AL627" s="13" t="str">
        <f>IF(Q627&gt;=300,"Exceso en sodio",IFERROR(IF(AND(F627=0,Q627&gt;0),"No tiene sello",IF(Q627/F627&gt;1,"Exceso en sodio","No tiene sello")),"No tiene sello"))</f>
        <v>No tiene sello</v>
      </c>
      <c r="AM627" s="13" t="str">
        <f>IFERROR(IF(F627=0,"No tiene sello",IF(+(AG627/1000)*9*100/F627&gt;1,"Exceso en grasa trans", "No tiene sello")),"No tiene sello")</f>
        <v>No tiene sello</v>
      </c>
    </row>
    <row r="628" spans="1:39" ht="13.5" customHeight="1" x14ac:dyDescent="0.25">
      <c r="A628" s="26" t="s">
        <v>466</v>
      </c>
      <c r="B628" s="26" t="s">
        <v>467</v>
      </c>
      <c r="C628" s="26" t="s">
        <v>461</v>
      </c>
      <c r="D628" s="16">
        <v>100</v>
      </c>
      <c r="E628" s="28">
        <v>63.2</v>
      </c>
      <c r="F628" s="24">
        <v>214</v>
      </c>
      <c r="G628" s="28">
        <v>889</v>
      </c>
      <c r="H628" s="24">
        <v>14.9</v>
      </c>
      <c r="I628" s="24">
        <v>15.2</v>
      </c>
      <c r="J628" s="24">
        <v>4.3</v>
      </c>
      <c r="K628" s="28">
        <v>0</v>
      </c>
      <c r="L628" s="28">
        <v>0.43</v>
      </c>
      <c r="M628" s="24">
        <v>0</v>
      </c>
      <c r="N628" s="28">
        <v>2.4</v>
      </c>
      <c r="O628" s="25">
        <v>421</v>
      </c>
      <c r="P628" s="25">
        <v>2.1</v>
      </c>
      <c r="Q628" s="28">
        <v>0</v>
      </c>
      <c r="R628" s="25">
        <v>439</v>
      </c>
      <c r="S628" s="28">
        <v>0</v>
      </c>
      <c r="T628" s="28">
        <v>16</v>
      </c>
      <c r="U628" s="28">
        <v>222</v>
      </c>
      <c r="V628" s="28">
        <v>0.14000000000000001</v>
      </c>
      <c r="W628" s="28">
        <v>0.6</v>
      </c>
      <c r="X628" s="28">
        <v>0.5</v>
      </c>
      <c r="Y628" s="28">
        <v>0</v>
      </c>
      <c r="Z628" s="28">
        <v>0</v>
      </c>
      <c r="AA628" s="25">
        <v>0</v>
      </c>
      <c r="AB628" s="25">
        <v>340</v>
      </c>
      <c r="AC628" s="25">
        <v>1</v>
      </c>
      <c r="AD628" s="28">
        <v>0</v>
      </c>
      <c r="AE628" s="28">
        <v>0</v>
      </c>
      <c r="AF628" s="28">
        <v>0</v>
      </c>
      <c r="AG628" s="28">
        <v>15</v>
      </c>
      <c r="AH628" s="24">
        <v>0</v>
      </c>
      <c r="AI628" s="28">
        <v>88</v>
      </c>
      <c r="AJ628" s="13" t="str">
        <f xml:space="preserve"> IF(AD628&gt;F628,"Exceso en grasa saturada",IFERROR(IF(F628=0,"No tiene sello",IF((AD628*9)*100/F628&gt;10,"Exceso en grasa saturada","No tiene sello")),"No tiene sello"))</f>
        <v>No tiene sello</v>
      </c>
      <c r="AK628" s="13">
        <f>IF(AJ628="No tiene sello",0,1)</f>
        <v>0</v>
      </c>
      <c r="AL628" s="13" t="str">
        <f>IF(Q628&gt;=300,"Exceso en sodio",IFERROR(IF(AND(F628=0,Q628&gt;0),"No tiene sello",IF(Q628/F628&gt;1,"Exceso en sodio","No tiene sello")),"No tiene sello"))</f>
        <v>No tiene sello</v>
      </c>
      <c r="AM628" s="13" t="str">
        <f>IFERROR(IF(F628=0,"No tiene sello",IF(+(AG628/1000)*9*100/F628&gt;1,"Exceso en grasa trans", "No tiene sello")),"No tiene sello")</f>
        <v>No tiene sello</v>
      </c>
    </row>
    <row r="629" spans="1:39" ht="13.5" customHeight="1" x14ac:dyDescent="0.25">
      <c r="A629" s="20" t="s">
        <v>465</v>
      </c>
      <c r="B629" s="20" t="s">
        <v>464</v>
      </c>
      <c r="C629" s="20" t="s">
        <v>461</v>
      </c>
      <c r="D629" s="22">
        <v>100</v>
      </c>
      <c r="E629" s="23">
        <v>69</v>
      </c>
      <c r="F629" s="24">
        <v>188</v>
      </c>
      <c r="G629" s="23">
        <v>784</v>
      </c>
      <c r="H629" s="24">
        <v>13</v>
      </c>
      <c r="I629" s="24">
        <v>13.8</v>
      </c>
      <c r="J629" s="24">
        <v>3.1</v>
      </c>
      <c r="K629" s="23">
        <v>0</v>
      </c>
      <c r="L629" s="23">
        <v>0.31</v>
      </c>
      <c r="M629" s="24">
        <v>0</v>
      </c>
      <c r="N629" s="23">
        <v>1.1000000000000001</v>
      </c>
      <c r="O629" s="25">
        <v>64</v>
      </c>
      <c r="P629" s="25">
        <v>3.6</v>
      </c>
      <c r="Q629" s="23">
        <v>146</v>
      </c>
      <c r="R629" s="25">
        <v>193</v>
      </c>
      <c r="S629" s="23">
        <v>1.4</v>
      </c>
      <c r="T629" s="23">
        <v>17</v>
      </c>
      <c r="U629" s="23">
        <v>214</v>
      </c>
      <c r="V629" s="23">
        <v>0.16</v>
      </c>
      <c r="W629" s="23">
        <v>0.44</v>
      </c>
      <c r="X629" s="23">
        <v>0.2</v>
      </c>
      <c r="Y629" s="23">
        <v>80</v>
      </c>
      <c r="Z629" s="23">
        <v>5.4</v>
      </c>
      <c r="AA629" s="25">
        <v>0</v>
      </c>
      <c r="AB629" s="25">
        <v>197</v>
      </c>
      <c r="AC629" s="25">
        <v>2.5</v>
      </c>
      <c r="AD629" s="23">
        <v>3.7</v>
      </c>
      <c r="AE629" s="23">
        <v>6.5</v>
      </c>
      <c r="AF629" s="23">
        <v>1.2</v>
      </c>
      <c r="AG629" s="23">
        <v>20</v>
      </c>
      <c r="AH629" s="24">
        <v>884</v>
      </c>
      <c r="AI629" s="23">
        <v>88</v>
      </c>
      <c r="AJ629" s="13" t="str">
        <f xml:space="preserve"> IF(AD629&gt;F629,"Exceso en grasa saturada",IFERROR(IF(F629=0,"No tiene sello",IF((AD629*9)*100/F629&gt;10,"Exceso en grasa saturada","No tiene sello")),"No tiene sello"))</f>
        <v>Exceso en grasa saturada</v>
      </c>
      <c r="AK629" s="13">
        <f>IF(AJ629="No tiene sello",0,1)</f>
        <v>1</v>
      </c>
      <c r="AL629" s="13" t="str">
        <f>IF(Q629&gt;=300,"Exceso en sodio",IFERROR(IF(AND(F629=0,Q629&gt;0),"No tiene sello",IF(Q629/F629&gt;1,"Exceso en sodio","No tiene sello")),"No tiene sello"))</f>
        <v>No tiene sello</v>
      </c>
      <c r="AM629" s="13" t="str">
        <f>IFERROR(IF(F629=0,"No tiene sello",IF(+(AG629/1000)*9*100/F629&gt;1,"Exceso en grasa trans", "No tiene sello")),"No tiene sello")</f>
        <v>No tiene sello</v>
      </c>
    </row>
    <row r="630" spans="1:39" ht="13.5" customHeight="1" x14ac:dyDescent="0.25">
      <c r="A630" s="26" t="s">
        <v>463</v>
      </c>
      <c r="B630" s="38" t="s">
        <v>1872</v>
      </c>
      <c r="C630" s="26" t="s">
        <v>461</v>
      </c>
      <c r="D630" s="16">
        <v>100</v>
      </c>
      <c r="E630" s="28">
        <v>72.5</v>
      </c>
      <c r="F630" s="24">
        <v>166</v>
      </c>
      <c r="G630" s="28">
        <v>692</v>
      </c>
      <c r="H630" s="24">
        <v>13.7</v>
      </c>
      <c r="I630" s="24">
        <v>11.9</v>
      </c>
      <c r="J630" s="24">
        <v>1.1000000000000001</v>
      </c>
      <c r="K630" s="28">
        <v>0</v>
      </c>
      <c r="L630" s="28">
        <v>0.11</v>
      </c>
      <c r="M630" s="24">
        <v>0</v>
      </c>
      <c r="N630" s="28">
        <v>0.8</v>
      </c>
      <c r="O630" s="25">
        <v>99</v>
      </c>
      <c r="P630" s="25">
        <v>4.0999999999999996</v>
      </c>
      <c r="Q630" s="28">
        <v>151</v>
      </c>
      <c r="R630" s="25">
        <v>170</v>
      </c>
      <c r="S630" s="28">
        <v>1.6</v>
      </c>
      <c r="T630" s="28">
        <v>13</v>
      </c>
      <c r="U630" s="28">
        <v>142</v>
      </c>
      <c r="V630" s="28">
        <v>0.11</v>
      </c>
      <c r="W630" s="28">
        <v>0.47</v>
      </c>
      <c r="X630" s="28">
        <v>0</v>
      </c>
      <c r="Y630" s="28">
        <v>71</v>
      </c>
      <c r="Z630" s="28">
        <v>1.69</v>
      </c>
      <c r="AA630" s="25">
        <v>0</v>
      </c>
      <c r="AB630" s="25">
        <v>166</v>
      </c>
      <c r="AC630" s="25">
        <v>2.5</v>
      </c>
      <c r="AD630" s="28">
        <v>3.6</v>
      </c>
      <c r="AE630" s="28">
        <v>4.5999999999999996</v>
      </c>
      <c r="AF630" s="28">
        <v>1.7</v>
      </c>
      <c r="AG630" s="28">
        <v>20</v>
      </c>
      <c r="AH630" s="24">
        <v>933</v>
      </c>
      <c r="AI630" s="28">
        <v>88</v>
      </c>
      <c r="AJ630" s="13" t="str">
        <f xml:space="preserve"> IF(AD630&gt;F630,"Exceso en grasa saturada",IFERROR(IF(F630=0,"No tiene sello",IF((AD630*9)*100/F630&gt;10,"Exceso en grasa saturada","No tiene sello")),"No tiene sello"))</f>
        <v>Exceso en grasa saturada</v>
      </c>
      <c r="AK630" s="13">
        <f>IF(AJ630="No tiene sello",0,1)</f>
        <v>1</v>
      </c>
      <c r="AL630" s="13" t="str">
        <f>IF(Q630&gt;=300,"Exceso en sodio",IFERROR(IF(AND(F630=0,Q630&gt;0),"No tiene sello",IF(Q630/F630&gt;1,"Exceso en sodio","No tiene sello")),"No tiene sello"))</f>
        <v>No tiene sello</v>
      </c>
      <c r="AM630" s="13" t="str">
        <f>IFERROR(IF(F630=0,"No tiene sello",IF(+(AG630/1000)*9*100/F630&gt;1,"Exceso en grasa trans", "No tiene sello")),"No tiene sello")</f>
        <v>No tiene sello</v>
      </c>
    </row>
    <row r="631" spans="1:39" ht="13.5" customHeight="1" x14ac:dyDescent="0.25">
      <c r="A631" s="20" t="s">
        <v>460</v>
      </c>
      <c r="B631" s="20" t="s">
        <v>462</v>
      </c>
      <c r="C631" s="20" t="s">
        <v>461</v>
      </c>
      <c r="D631" s="22">
        <v>100</v>
      </c>
      <c r="E631" s="23">
        <v>79.2</v>
      </c>
      <c r="F631" s="24">
        <v>111</v>
      </c>
      <c r="G631" s="23">
        <v>463</v>
      </c>
      <c r="H631" s="24">
        <v>12.6</v>
      </c>
      <c r="I631" s="24">
        <v>6.3</v>
      </c>
      <c r="J631" s="24">
        <v>0.9</v>
      </c>
      <c r="K631" s="23">
        <v>0</v>
      </c>
      <c r="L631" s="23">
        <v>0.09</v>
      </c>
      <c r="M631" s="24">
        <v>0</v>
      </c>
      <c r="N631" s="23">
        <v>1</v>
      </c>
      <c r="O631" s="25">
        <v>62</v>
      </c>
      <c r="P631" s="25">
        <v>1.6</v>
      </c>
      <c r="Q631" s="23">
        <v>0</v>
      </c>
      <c r="R631" s="25">
        <v>180</v>
      </c>
      <c r="S631" s="23">
        <v>0</v>
      </c>
      <c r="T631" s="23">
        <v>0</v>
      </c>
      <c r="U631" s="23">
        <v>0</v>
      </c>
      <c r="V631" s="23">
        <v>0.28000000000000003</v>
      </c>
      <c r="W631" s="23">
        <v>0.31</v>
      </c>
      <c r="X631" s="23">
        <v>0.1</v>
      </c>
      <c r="Y631" s="23">
        <v>0</v>
      </c>
      <c r="Z631" s="23">
        <v>0</v>
      </c>
      <c r="AA631" s="25">
        <v>0</v>
      </c>
      <c r="AB631" s="25">
        <v>52</v>
      </c>
      <c r="AC631" s="25">
        <v>0.5</v>
      </c>
      <c r="AD631" s="23">
        <v>0</v>
      </c>
      <c r="AE631" s="23">
        <v>0</v>
      </c>
      <c r="AF631" s="23">
        <v>0</v>
      </c>
      <c r="AG631" s="23">
        <v>5</v>
      </c>
      <c r="AH631" s="24">
        <v>0</v>
      </c>
      <c r="AI631" s="23">
        <v>89</v>
      </c>
      <c r="AJ631" s="13" t="str">
        <f xml:space="preserve"> IF(AD631&gt;F631,"Exceso en grasa saturada",IFERROR(IF(F631=0,"No tiene sello",IF((AD631*9)*100/F631&gt;10,"Exceso en grasa saturada","No tiene sello")),"No tiene sello"))</f>
        <v>No tiene sello</v>
      </c>
      <c r="AK631" s="13">
        <f>IF(AJ631="No tiene sello",0,1)</f>
        <v>0</v>
      </c>
      <c r="AL631" s="13" t="str">
        <f>IF(Q631&gt;=300,"Exceso en sodio",IFERROR(IF(AND(F631=0,Q631&gt;0),"No tiene sello",IF(Q631/F631&gt;1,"Exceso en sodio","No tiene sello")),"No tiene sello"))</f>
        <v>No tiene sello</v>
      </c>
      <c r="AM631" s="13" t="str">
        <f>IFERROR(IF(F631=0,"No tiene sello",IF(+(AG631/1000)*9*100/F631&gt;1,"Exceso en grasa trans", "No tiene sello")),"No tiene sello")</f>
        <v>No tiene sello</v>
      </c>
    </row>
    <row r="632" spans="1:39" ht="13.5" customHeight="1" x14ac:dyDescent="0.25">
      <c r="A632" s="26" t="s">
        <v>458</v>
      </c>
      <c r="B632" s="26" t="s">
        <v>459</v>
      </c>
      <c r="C632" s="27"/>
      <c r="D632" s="47">
        <v>100</v>
      </c>
      <c r="E632" s="28">
        <v>28</v>
      </c>
      <c r="F632" s="24">
        <v>320</v>
      </c>
      <c r="G632" s="28">
        <v>1350</v>
      </c>
      <c r="H632" s="24">
        <v>6.4</v>
      </c>
      <c r="I632" s="24">
        <v>7.5</v>
      </c>
      <c r="J632" s="24">
        <v>56.7</v>
      </c>
      <c r="K632" s="28">
        <v>56.7</v>
      </c>
      <c r="L632" s="28">
        <v>45.36</v>
      </c>
      <c r="M632" s="24">
        <v>0</v>
      </c>
      <c r="N632" s="28">
        <v>1.4</v>
      </c>
      <c r="O632" s="25">
        <v>253</v>
      </c>
      <c r="P632" s="25">
        <v>0.1</v>
      </c>
      <c r="Q632" s="28">
        <v>135</v>
      </c>
      <c r="R632" s="25">
        <v>179</v>
      </c>
      <c r="S632" s="28">
        <v>0.7</v>
      </c>
      <c r="T632" s="28">
        <v>22</v>
      </c>
      <c r="U632" s="28">
        <v>277</v>
      </c>
      <c r="V632" s="28">
        <v>0.02</v>
      </c>
      <c r="W632" s="28">
        <v>0.4</v>
      </c>
      <c r="X632" s="28">
        <v>0.2</v>
      </c>
      <c r="Y632" s="28">
        <v>11</v>
      </c>
      <c r="Z632" s="28">
        <v>0.31</v>
      </c>
      <c r="AA632" s="25">
        <v>3</v>
      </c>
      <c r="AB632" s="25">
        <v>87</v>
      </c>
      <c r="AC632" s="25">
        <v>0.5</v>
      </c>
      <c r="AD632" s="28">
        <v>0</v>
      </c>
      <c r="AE632" s="28">
        <v>0</v>
      </c>
      <c r="AF632" s="28">
        <v>0</v>
      </c>
      <c r="AG632" s="28">
        <v>50</v>
      </c>
      <c r="AH632" s="24">
        <v>0</v>
      </c>
      <c r="AI632" s="28">
        <v>100</v>
      </c>
      <c r="AJ632" s="13" t="str">
        <f xml:space="preserve"> IF(AD632&gt;F632,"Exceso en grasa saturada",IFERROR(IF(F632=0,"No tiene sello",IF((AD632*9)*100/F632&gt;10,"Exceso en grasa saturada","No tiene sello")),"No tiene sello"))</f>
        <v>No tiene sello</v>
      </c>
      <c r="AK632" s="13">
        <f>IF(AJ632="No tiene sello",0,1)</f>
        <v>0</v>
      </c>
      <c r="AL632" s="13" t="str">
        <f>IF(Q632&gt;=300,"Exceso en sodio",IFERROR(IF(AND(F632=0,Q632&gt;0),"No tiene sello",IF(Q632/F632&gt;1,"Exceso en sodio","No tiene sello")),"No tiene sello"))</f>
        <v>No tiene sello</v>
      </c>
      <c r="AM632" s="13" t="str">
        <f>IFERROR(IF(F632=0,"No tiene sello",IF(+(AG632/1000)*9*100/F632&gt;1,"Exceso en grasa trans", "No tiene sello")),"No tiene sello")</f>
        <v>No tiene sello</v>
      </c>
    </row>
    <row r="633" spans="1:39" ht="13.5" customHeight="1" x14ac:dyDescent="0.25">
      <c r="A633" s="20" t="s">
        <v>456</v>
      </c>
      <c r="B633" s="20" t="s">
        <v>457</v>
      </c>
      <c r="C633" s="21"/>
      <c r="D633" s="46">
        <v>100</v>
      </c>
      <c r="E633" s="23">
        <v>79</v>
      </c>
      <c r="F633" s="24">
        <v>89</v>
      </c>
      <c r="G633" s="23">
        <v>376</v>
      </c>
      <c r="H633" s="24">
        <v>3.3</v>
      </c>
      <c r="I633" s="24">
        <v>1.5</v>
      </c>
      <c r="J633" s="24">
        <v>15.5</v>
      </c>
      <c r="K633" s="23">
        <v>15.4</v>
      </c>
      <c r="L633" s="23">
        <v>0.78</v>
      </c>
      <c r="M633" s="24">
        <v>0.1</v>
      </c>
      <c r="N633" s="23">
        <v>0.7</v>
      </c>
      <c r="O633" s="25">
        <v>92</v>
      </c>
      <c r="P633" s="25">
        <v>0.4</v>
      </c>
      <c r="Q633" s="23">
        <v>78</v>
      </c>
      <c r="R633" s="25">
        <v>87</v>
      </c>
      <c r="S633" s="23">
        <v>0.4</v>
      </c>
      <c r="T633" s="23">
        <v>12</v>
      </c>
      <c r="U633" s="23">
        <v>132</v>
      </c>
      <c r="V633" s="23">
        <v>0.1</v>
      </c>
      <c r="W633" s="23">
        <v>0.13</v>
      </c>
      <c r="X633" s="23">
        <v>0.3</v>
      </c>
      <c r="Y633" s="23">
        <v>5</v>
      </c>
      <c r="Z633" s="23">
        <v>0.36</v>
      </c>
      <c r="AA633" s="25">
        <v>0</v>
      </c>
      <c r="AB633" s="25">
        <v>62</v>
      </c>
      <c r="AC633" s="25">
        <v>0.5</v>
      </c>
      <c r="AD633" s="23">
        <v>0</v>
      </c>
      <c r="AE633" s="23">
        <v>0</v>
      </c>
      <c r="AF633" s="23">
        <v>0</v>
      </c>
      <c r="AG633" s="23">
        <v>30</v>
      </c>
      <c r="AH633" s="24">
        <v>0</v>
      </c>
      <c r="AI633" s="23">
        <v>100</v>
      </c>
      <c r="AJ633" s="13" t="str">
        <f xml:space="preserve"> IF(AD633&gt;F633,"Exceso en grasa saturada",IFERROR(IF(F633=0,"No tiene sello",IF((AD633*9)*100/F633&gt;10,"Exceso en grasa saturada","No tiene sello")),"No tiene sello"))</f>
        <v>No tiene sello</v>
      </c>
      <c r="AK633" s="13">
        <f>IF(AJ633="No tiene sello",0,1)</f>
        <v>0</v>
      </c>
      <c r="AL633" s="13" t="str">
        <f>IF(Q633&gt;=300,"Exceso en sodio",IFERROR(IF(AND(F633=0,Q633&gt;0),"No tiene sello",IF(Q633/F633&gt;1,"Exceso en sodio","No tiene sello")),"No tiene sello"))</f>
        <v>No tiene sello</v>
      </c>
      <c r="AM633" s="13" t="str">
        <f>IFERROR(IF(F633=0,"No tiene sello",IF(+(AG633/1000)*9*100/F633&gt;1,"Exceso en grasa trans", "No tiene sello")),"No tiene sello")</f>
        <v>No tiene sello</v>
      </c>
    </row>
    <row r="634" spans="1:39" ht="13.5" customHeight="1" x14ac:dyDescent="0.25">
      <c r="A634" s="26" t="s">
        <v>454</v>
      </c>
      <c r="B634" s="26" t="s">
        <v>455</v>
      </c>
      <c r="C634" s="27"/>
      <c r="D634" s="47">
        <v>100</v>
      </c>
      <c r="E634" s="28">
        <v>0.5</v>
      </c>
      <c r="F634" s="24">
        <v>397</v>
      </c>
      <c r="G634" s="28">
        <v>1688</v>
      </c>
      <c r="H634" s="24">
        <v>0</v>
      </c>
      <c r="I634" s="24">
        <v>0</v>
      </c>
      <c r="J634" s="24">
        <v>99.3</v>
      </c>
      <c r="K634" s="28">
        <v>99.3</v>
      </c>
      <c r="L634" s="28">
        <v>99.3</v>
      </c>
      <c r="M634" s="24">
        <v>0</v>
      </c>
      <c r="N634" s="28">
        <v>0.2</v>
      </c>
      <c r="O634" s="25">
        <v>0</v>
      </c>
      <c r="P634" s="25">
        <v>0.1</v>
      </c>
      <c r="Q634" s="28">
        <v>0</v>
      </c>
      <c r="R634" s="25">
        <v>0</v>
      </c>
      <c r="S634" s="28">
        <v>0</v>
      </c>
      <c r="T634" s="28">
        <v>1</v>
      </c>
      <c r="U634" s="28">
        <v>2</v>
      </c>
      <c r="V634" s="28">
        <v>0</v>
      </c>
      <c r="W634" s="28">
        <v>0</v>
      </c>
      <c r="X634" s="28">
        <v>0</v>
      </c>
      <c r="Y634" s="28">
        <v>0</v>
      </c>
      <c r="Z634" s="28">
        <v>0</v>
      </c>
      <c r="AA634" s="25">
        <v>0</v>
      </c>
      <c r="AB634" s="25">
        <v>0</v>
      </c>
      <c r="AC634" s="25">
        <v>0</v>
      </c>
      <c r="AD634" s="28">
        <v>0</v>
      </c>
      <c r="AE634" s="28">
        <v>0</v>
      </c>
      <c r="AF634" s="28">
        <v>0</v>
      </c>
      <c r="AG634" s="28">
        <v>0</v>
      </c>
      <c r="AH634" s="24">
        <v>0</v>
      </c>
      <c r="AI634" s="28">
        <v>100</v>
      </c>
      <c r="AJ634" s="13" t="str">
        <f xml:space="preserve"> IF(AD634&gt;F634,"Exceso en grasa saturada",IFERROR(IF(F634=0,"No tiene sello",IF((AD634*9)*100/F634&gt;10,"Exceso en grasa saturada","No tiene sello")),"No tiene sello"))</f>
        <v>No tiene sello</v>
      </c>
      <c r="AK634" s="13">
        <f>IF(AJ634="No tiene sello",0,1)</f>
        <v>0</v>
      </c>
      <c r="AL634" s="13" t="str">
        <f>IF(Q634&gt;=300,"Exceso en sodio",IFERROR(IF(AND(F634=0,Q634&gt;0),"No tiene sello",IF(Q634/F634&gt;1,"Exceso en sodio","No tiene sello")),"No tiene sello"))</f>
        <v>No tiene sello</v>
      </c>
      <c r="AM634" s="13" t="str">
        <f>IFERROR(IF(F634=0,"No tiene sello",IF(+(AG634/1000)*9*100/F634&gt;1,"Exceso en grasa trans", "No tiene sello")),"No tiene sello")</f>
        <v>No tiene sello</v>
      </c>
    </row>
    <row r="635" spans="1:39" ht="13.5" customHeight="1" x14ac:dyDescent="0.25">
      <c r="A635" s="20" t="s">
        <v>452</v>
      </c>
      <c r="B635" s="20" t="s">
        <v>453</v>
      </c>
      <c r="C635" s="21"/>
      <c r="D635" s="46">
        <v>100</v>
      </c>
      <c r="E635" s="23">
        <v>1.6</v>
      </c>
      <c r="F635" s="24">
        <v>390</v>
      </c>
      <c r="G635" s="23">
        <v>1658</v>
      </c>
      <c r="H635" s="24">
        <v>0</v>
      </c>
      <c r="I635" s="24">
        <v>0</v>
      </c>
      <c r="J635" s="24">
        <v>97.5</v>
      </c>
      <c r="K635" s="23">
        <v>97.5</v>
      </c>
      <c r="L635" s="23">
        <v>97.5</v>
      </c>
      <c r="M635" s="24">
        <v>0</v>
      </c>
      <c r="N635" s="23">
        <v>0.9</v>
      </c>
      <c r="O635" s="25">
        <v>85</v>
      </c>
      <c r="P635" s="25">
        <v>1.9</v>
      </c>
      <c r="Q635" s="23">
        <v>39</v>
      </c>
      <c r="R635" s="25">
        <v>22</v>
      </c>
      <c r="S635" s="23">
        <v>0.2</v>
      </c>
      <c r="T635" s="23">
        <v>24</v>
      </c>
      <c r="U635" s="23">
        <v>305</v>
      </c>
      <c r="V635" s="23">
        <v>0.01</v>
      </c>
      <c r="W635" s="23">
        <v>0.01</v>
      </c>
      <c r="X635" s="23">
        <v>0.1</v>
      </c>
      <c r="Y635" s="23">
        <v>1</v>
      </c>
      <c r="Z635" s="23">
        <v>0</v>
      </c>
      <c r="AA635" s="25">
        <v>0</v>
      </c>
      <c r="AB635" s="25">
        <v>0</v>
      </c>
      <c r="AC635" s="25">
        <v>0</v>
      </c>
      <c r="AD635" s="23">
        <v>0</v>
      </c>
      <c r="AE635" s="23">
        <v>0</v>
      </c>
      <c r="AF635" s="23">
        <v>0</v>
      </c>
      <c r="AG635" s="23">
        <v>0</v>
      </c>
      <c r="AH635" s="24">
        <v>0</v>
      </c>
      <c r="AI635" s="23">
        <v>100</v>
      </c>
      <c r="AJ635" s="13" t="str">
        <f xml:space="preserve"> IF(AD635&gt;F635,"Exceso en grasa saturada",IFERROR(IF(F635=0,"No tiene sello",IF((AD635*9)*100/F635&gt;10,"Exceso en grasa saturada","No tiene sello")),"No tiene sello"))</f>
        <v>No tiene sello</v>
      </c>
      <c r="AK635" s="13">
        <f>IF(AJ635="No tiene sello",0,1)</f>
        <v>0</v>
      </c>
      <c r="AL635" s="13" t="str">
        <f>IF(Q635&gt;=300,"Exceso en sodio",IFERROR(IF(AND(F635=0,Q635&gt;0),"No tiene sello",IF(Q635/F635&gt;1,"Exceso en sodio","No tiene sello")),"No tiene sello"))</f>
        <v>No tiene sello</v>
      </c>
      <c r="AM635" s="13" t="str">
        <f>IFERROR(IF(F635=0,"No tiene sello",IF(+(AG635/1000)*9*100/F635&gt;1,"Exceso en grasa trans", "No tiene sello")),"No tiene sello")</f>
        <v>No tiene sello</v>
      </c>
    </row>
    <row r="636" spans="1:39" s="4" customFormat="1" ht="13.5" customHeight="1" x14ac:dyDescent="0.25">
      <c r="A636" s="33" t="s">
        <v>450</v>
      </c>
      <c r="B636" s="33" t="s">
        <v>451</v>
      </c>
      <c r="C636" s="34"/>
      <c r="D636" s="47">
        <v>100</v>
      </c>
      <c r="E636" s="35">
        <v>19.100000000000001</v>
      </c>
      <c r="F636" s="24">
        <v>332</v>
      </c>
      <c r="G636" s="35">
        <v>1409</v>
      </c>
      <c r="H636" s="24">
        <v>0.4</v>
      </c>
      <c r="I636" s="24">
        <v>0.5</v>
      </c>
      <c r="J636" s="24">
        <v>79.599999999999994</v>
      </c>
      <c r="K636" s="35">
        <v>75.900000000000006</v>
      </c>
      <c r="L636" s="35">
        <v>63.68</v>
      </c>
      <c r="M636" s="24">
        <v>3.7</v>
      </c>
      <c r="N636" s="35">
        <v>0.4</v>
      </c>
      <c r="O636" s="35">
        <v>25</v>
      </c>
      <c r="P636" s="25">
        <v>1.2</v>
      </c>
      <c r="Q636" s="35">
        <v>0</v>
      </c>
      <c r="R636" s="35">
        <v>17</v>
      </c>
      <c r="S636" s="35">
        <v>0</v>
      </c>
      <c r="T636" s="35">
        <v>0</v>
      </c>
      <c r="U636" s="35">
        <v>0</v>
      </c>
      <c r="V636" s="35">
        <v>0.02</v>
      </c>
      <c r="W636" s="35">
        <v>0.03</v>
      </c>
      <c r="X636" s="35">
        <v>1</v>
      </c>
      <c r="Y636" s="35">
        <v>0</v>
      </c>
      <c r="Z636" s="35">
        <v>0</v>
      </c>
      <c r="AA636" s="35">
        <v>80</v>
      </c>
      <c r="AB636" s="35">
        <v>0</v>
      </c>
      <c r="AC636" s="35">
        <v>0</v>
      </c>
      <c r="AD636" s="35">
        <v>0</v>
      </c>
      <c r="AE636" s="35">
        <v>0</v>
      </c>
      <c r="AF636" s="35">
        <v>0</v>
      </c>
      <c r="AG636" s="35">
        <v>0</v>
      </c>
      <c r="AH636" s="24">
        <v>0</v>
      </c>
      <c r="AI636" s="35">
        <v>100</v>
      </c>
      <c r="AJ636" s="13" t="str">
        <f xml:space="preserve"> IF(AD636&gt;F636,"Exceso en grasa saturada",IFERROR(IF(F636=0,"No tiene sello",IF((AD636*9)*100/F636&gt;10,"Exceso en grasa saturada","No tiene sello")),"No tiene sello"))</f>
        <v>No tiene sello</v>
      </c>
      <c r="AK636" s="13">
        <f>IF(AJ636="No tiene sello",0,1)</f>
        <v>0</v>
      </c>
      <c r="AL636" s="13" t="str">
        <f>IF(Q636&gt;=300,"Exceso en sodio",IFERROR(IF(AND(F636=0,Q636&gt;0),"No tiene sello",IF(Q636/F636&gt;1,"Exceso en sodio","No tiene sello")),"No tiene sello"))</f>
        <v>No tiene sello</v>
      </c>
      <c r="AM636" s="13" t="str">
        <f>IFERROR(IF(F636=0,"No tiene sello",IF(+(AG636/1000)*9*100/F636&gt;1,"Exceso en grasa trans", "No tiene sello")),"No tiene sello")</f>
        <v>No tiene sello</v>
      </c>
    </row>
    <row r="637" spans="1:39" ht="13.5" customHeight="1" x14ac:dyDescent="0.25">
      <c r="A637" s="20" t="s">
        <v>448</v>
      </c>
      <c r="B637" s="20" t="s">
        <v>449</v>
      </c>
      <c r="C637" s="21"/>
      <c r="D637" s="46">
        <v>100</v>
      </c>
      <c r="E637" s="23">
        <v>20.100000000000001</v>
      </c>
      <c r="F637" s="24">
        <v>318</v>
      </c>
      <c r="G637" s="23">
        <v>1352</v>
      </c>
      <c r="H637" s="24">
        <v>0.3</v>
      </c>
      <c r="I637" s="24">
        <v>0.1</v>
      </c>
      <c r="J637" s="24">
        <v>79</v>
      </c>
      <c r="K637" s="23">
        <v>0</v>
      </c>
      <c r="L637" s="23">
        <v>63.2</v>
      </c>
      <c r="M637" s="24">
        <v>0</v>
      </c>
      <c r="N637" s="23">
        <v>0.5</v>
      </c>
      <c r="O637" s="25">
        <v>25</v>
      </c>
      <c r="P637" s="25">
        <v>1.2</v>
      </c>
      <c r="Q637" s="23">
        <v>0</v>
      </c>
      <c r="R637" s="25">
        <v>17</v>
      </c>
      <c r="S637" s="23">
        <v>0</v>
      </c>
      <c r="T637" s="23">
        <v>0</v>
      </c>
      <c r="U637" s="23">
        <v>0</v>
      </c>
      <c r="V637" s="23">
        <v>0.02</v>
      </c>
      <c r="W637" s="23">
        <v>0.03</v>
      </c>
      <c r="X637" s="23">
        <v>1</v>
      </c>
      <c r="Y637" s="23">
        <v>0</v>
      </c>
      <c r="Z637" s="23">
        <v>0</v>
      </c>
      <c r="AA637" s="25">
        <v>80</v>
      </c>
      <c r="AB637" s="25">
        <v>4</v>
      </c>
      <c r="AC637" s="25">
        <v>0</v>
      </c>
      <c r="AD637" s="23">
        <v>0</v>
      </c>
      <c r="AE637" s="23">
        <v>0</v>
      </c>
      <c r="AF637" s="23">
        <v>0</v>
      </c>
      <c r="AG637" s="23">
        <v>0</v>
      </c>
      <c r="AH637" s="24">
        <v>0</v>
      </c>
      <c r="AI637" s="23">
        <v>100</v>
      </c>
      <c r="AJ637" s="13" t="str">
        <f xml:space="preserve"> IF(AD637&gt;F637,"Exceso en grasa saturada",IFERROR(IF(F637=0,"No tiene sello",IF((AD637*9)*100/F637&gt;10,"Exceso en grasa saturada","No tiene sello")),"No tiene sello"))</f>
        <v>No tiene sello</v>
      </c>
      <c r="AK637" s="13">
        <f>IF(AJ637="No tiene sello",0,1)</f>
        <v>0</v>
      </c>
      <c r="AL637" s="13" t="str">
        <f>IF(Q637&gt;=300,"Exceso en sodio",IFERROR(IF(AND(F637=0,Q637&gt;0),"No tiene sello",IF(Q637/F637&gt;1,"Exceso en sodio","No tiene sello")),"No tiene sello"))</f>
        <v>No tiene sello</v>
      </c>
      <c r="AM637" s="13" t="str">
        <f>IFERROR(IF(F637=0,"No tiene sello",IF(+(AG637/1000)*9*100/F637&gt;1,"Exceso en grasa trans", "No tiene sello")),"No tiene sello")</f>
        <v>No tiene sello</v>
      </c>
    </row>
    <row r="638" spans="1:39" ht="13.5" customHeight="1" x14ac:dyDescent="0.25">
      <c r="A638" s="26" t="s">
        <v>446</v>
      </c>
      <c r="B638" s="26" t="s">
        <v>447</v>
      </c>
      <c r="C638" s="27"/>
      <c r="D638" s="47">
        <v>100</v>
      </c>
      <c r="E638" s="28">
        <v>7.2</v>
      </c>
      <c r="F638" s="24">
        <v>371</v>
      </c>
      <c r="G638" s="28">
        <v>1576</v>
      </c>
      <c r="H638" s="24">
        <v>0</v>
      </c>
      <c r="I638" s="24">
        <v>0</v>
      </c>
      <c r="J638" s="24">
        <v>92.7</v>
      </c>
      <c r="K638" s="28">
        <v>92.7</v>
      </c>
      <c r="L638" s="28">
        <v>9.27</v>
      </c>
      <c r="M638" s="24">
        <v>0</v>
      </c>
      <c r="N638" s="28">
        <v>0.1</v>
      </c>
      <c r="O638" s="25">
        <v>3</v>
      </c>
      <c r="P638" s="25">
        <v>0.4</v>
      </c>
      <c r="Q638" s="28">
        <v>44</v>
      </c>
      <c r="R638" s="25">
        <v>1</v>
      </c>
      <c r="S638" s="28">
        <v>0</v>
      </c>
      <c r="T638" s="28">
        <v>3</v>
      </c>
      <c r="U638" s="28">
        <v>5</v>
      </c>
      <c r="V638" s="28">
        <v>0</v>
      </c>
      <c r="W638" s="28">
        <v>0</v>
      </c>
      <c r="X638" s="28">
        <v>0</v>
      </c>
      <c r="Y638" s="28">
        <v>0</v>
      </c>
      <c r="Z638" s="28">
        <v>0</v>
      </c>
      <c r="AA638" s="25">
        <v>0</v>
      </c>
      <c r="AB638" s="25">
        <v>0</v>
      </c>
      <c r="AC638" s="25">
        <v>0</v>
      </c>
      <c r="AD638" s="28">
        <v>0</v>
      </c>
      <c r="AE638" s="28">
        <v>0</v>
      </c>
      <c r="AF638" s="28">
        <v>0</v>
      </c>
      <c r="AG638" s="28">
        <v>0</v>
      </c>
      <c r="AH638" s="24">
        <v>0</v>
      </c>
      <c r="AI638" s="28">
        <v>100</v>
      </c>
      <c r="AJ638" s="13" t="str">
        <f xml:space="preserve"> IF(AD638&gt;F638,"Exceso en grasa saturada",IFERROR(IF(F638=0,"No tiene sello",IF((AD638*9)*100/F638&gt;10,"Exceso en grasa saturada","No tiene sello")),"No tiene sello"))</f>
        <v>No tiene sello</v>
      </c>
      <c r="AK638" s="13">
        <f>IF(AJ638="No tiene sello",0,1)</f>
        <v>0</v>
      </c>
      <c r="AL638" s="13" t="str">
        <f>IF(Q638&gt;=300,"Exceso en sodio",IFERROR(IF(AND(F638=0,Q638&gt;0),"No tiene sello",IF(Q638/F638&gt;1,"Exceso en sodio","No tiene sello")),"No tiene sello"))</f>
        <v>No tiene sello</v>
      </c>
      <c r="AM638" s="13" t="str">
        <f>IFERROR(IF(F638=0,"No tiene sello",IF(+(AG638/1000)*9*100/F638&gt;1,"Exceso en grasa trans", "No tiene sello")),"No tiene sello")</f>
        <v>No tiene sello</v>
      </c>
    </row>
    <row r="639" spans="1:39" ht="13.5" customHeight="1" x14ac:dyDescent="0.25">
      <c r="A639" s="20" t="s">
        <v>444</v>
      </c>
      <c r="B639" s="20" t="s">
        <v>445</v>
      </c>
      <c r="C639" s="21"/>
      <c r="D639" s="46">
        <v>100</v>
      </c>
      <c r="E639" s="23">
        <v>7.2</v>
      </c>
      <c r="F639" s="24">
        <v>369</v>
      </c>
      <c r="G639" s="23">
        <v>1569</v>
      </c>
      <c r="H639" s="24">
        <v>0</v>
      </c>
      <c r="I639" s="24">
        <v>0</v>
      </c>
      <c r="J639" s="24">
        <v>92.3</v>
      </c>
      <c r="K639" s="23">
        <v>92.3</v>
      </c>
      <c r="L639" s="23">
        <v>9.23</v>
      </c>
      <c r="M639" s="24">
        <v>0</v>
      </c>
      <c r="N639" s="23">
        <v>0.5</v>
      </c>
      <c r="O639" s="25">
        <v>3</v>
      </c>
      <c r="P639" s="25">
        <v>0.3</v>
      </c>
      <c r="Q639" s="23">
        <v>38</v>
      </c>
      <c r="R639" s="25">
        <v>3</v>
      </c>
      <c r="S639" s="23">
        <v>0</v>
      </c>
      <c r="T639" s="23">
        <v>3</v>
      </c>
      <c r="U639" s="23">
        <v>8</v>
      </c>
      <c r="V639" s="23">
        <v>0</v>
      </c>
      <c r="W639" s="23">
        <v>0</v>
      </c>
      <c r="X639" s="23">
        <v>0</v>
      </c>
      <c r="Y639" s="23">
        <v>0</v>
      </c>
      <c r="Z639" s="23">
        <v>0</v>
      </c>
      <c r="AA639" s="25">
        <v>0</v>
      </c>
      <c r="AB639" s="25">
        <v>0</v>
      </c>
      <c r="AC639" s="25">
        <v>0</v>
      </c>
      <c r="AD639" s="23">
        <v>0</v>
      </c>
      <c r="AE639" s="23">
        <v>0</v>
      </c>
      <c r="AF639" s="23">
        <v>0</v>
      </c>
      <c r="AG639" s="23">
        <v>0</v>
      </c>
      <c r="AH639" s="24">
        <v>0</v>
      </c>
      <c r="AI639" s="23">
        <v>100</v>
      </c>
      <c r="AJ639" s="13" t="str">
        <f xml:space="preserve"> IF(AD639&gt;F639,"Exceso en grasa saturada",IFERROR(IF(F639=0,"No tiene sello",IF((AD639*9)*100/F639&gt;10,"Exceso en grasa saturada","No tiene sello")),"No tiene sello"))</f>
        <v>No tiene sello</v>
      </c>
      <c r="AK639" s="13">
        <f>IF(AJ639="No tiene sello",0,1)</f>
        <v>0</v>
      </c>
      <c r="AL639" s="13" t="str">
        <f>IF(Q639&gt;=300,"Exceso en sodio",IFERROR(IF(AND(F639=0,Q639&gt;0),"No tiene sello",IF(Q639/F639&gt;1,"Exceso en sodio","No tiene sello")),"No tiene sello"))</f>
        <v>No tiene sello</v>
      </c>
      <c r="AM639" s="13" t="str">
        <f>IFERROR(IF(F639=0,"No tiene sello",IF(+(AG639/1000)*9*100/F639&gt;1,"Exceso en grasa trans", "No tiene sello")),"No tiene sello")</f>
        <v>No tiene sello</v>
      </c>
    </row>
    <row r="640" spans="1:39" ht="13.5" customHeight="1" x14ac:dyDescent="0.25">
      <c r="A640" s="26" t="s">
        <v>442</v>
      </c>
      <c r="B640" s="26" t="s">
        <v>443</v>
      </c>
      <c r="C640" s="27"/>
      <c r="D640" s="16">
        <v>100</v>
      </c>
      <c r="E640" s="28">
        <v>6.2</v>
      </c>
      <c r="F640" s="24">
        <v>419</v>
      </c>
      <c r="G640" s="28">
        <v>1766</v>
      </c>
      <c r="H640" s="24">
        <v>4.2</v>
      </c>
      <c r="I640" s="24">
        <v>10.199999999999999</v>
      </c>
      <c r="J640" s="24">
        <v>77.5</v>
      </c>
      <c r="K640" s="28">
        <v>0</v>
      </c>
      <c r="L640" s="28">
        <v>62</v>
      </c>
      <c r="M640" s="24">
        <v>0</v>
      </c>
      <c r="N640" s="28">
        <v>1.9</v>
      </c>
      <c r="O640" s="25">
        <v>37</v>
      </c>
      <c r="P640" s="25">
        <v>4</v>
      </c>
      <c r="Q640" s="28">
        <v>0</v>
      </c>
      <c r="R640" s="25">
        <v>106</v>
      </c>
      <c r="S640" s="28">
        <v>0</v>
      </c>
      <c r="T640" s="28">
        <v>0</v>
      </c>
      <c r="U640" s="28">
        <v>0</v>
      </c>
      <c r="V640" s="28">
        <v>0.06</v>
      </c>
      <c r="W640" s="28">
        <v>0.45</v>
      </c>
      <c r="X640" s="28">
        <v>2.2000000000000002</v>
      </c>
      <c r="Y640" s="28">
        <v>0</v>
      </c>
      <c r="Z640" s="28">
        <v>0</v>
      </c>
      <c r="AA640" s="25">
        <v>0</v>
      </c>
      <c r="AB640" s="25">
        <v>0</v>
      </c>
      <c r="AC640" s="25">
        <v>0</v>
      </c>
      <c r="AD640" s="28">
        <v>0</v>
      </c>
      <c r="AE640" s="28">
        <v>0</v>
      </c>
      <c r="AF640" s="28">
        <v>0</v>
      </c>
      <c r="AG640" s="28">
        <v>50</v>
      </c>
      <c r="AH640" s="24">
        <v>0</v>
      </c>
      <c r="AI640" s="28">
        <v>100</v>
      </c>
      <c r="AJ640" s="13" t="str">
        <f xml:space="preserve"> IF(AD640&gt;F640,"Exceso en grasa saturada",IFERROR(IF(F640=0,"No tiene sello",IF((AD640*9)*100/F640&gt;10,"Exceso en grasa saturada","No tiene sello")),"No tiene sello"))</f>
        <v>No tiene sello</v>
      </c>
      <c r="AK640" s="13">
        <f>IF(AJ640="No tiene sello",0,1)</f>
        <v>0</v>
      </c>
      <c r="AL640" s="13" t="str">
        <f>IF(Q640&gt;=300,"Exceso en sodio",IFERROR(IF(AND(F640=0,Q640&gt;0),"No tiene sello",IF(Q640/F640&gt;1,"Exceso en sodio","No tiene sello")),"No tiene sello"))</f>
        <v>No tiene sello</v>
      </c>
      <c r="AM640" s="13" t="str">
        <f>IFERROR(IF(F640=0,"No tiene sello",IF(+(AG640/1000)*9*100/F640&gt;1,"Exceso en grasa trans", "No tiene sello")),"No tiene sello")</f>
        <v>No tiene sello</v>
      </c>
    </row>
    <row r="641" spans="1:39" ht="13.5" customHeight="1" x14ac:dyDescent="0.25">
      <c r="A641" s="29" t="s">
        <v>440</v>
      </c>
      <c r="B641" s="29" t="s">
        <v>441</v>
      </c>
      <c r="C641" s="30"/>
      <c r="D641" s="22">
        <v>100</v>
      </c>
      <c r="E641" s="31">
        <v>3.1</v>
      </c>
      <c r="F641" s="24">
        <v>466</v>
      </c>
      <c r="G641" s="31">
        <v>1958</v>
      </c>
      <c r="H641" s="24">
        <v>3.6</v>
      </c>
      <c r="I641" s="24">
        <v>16.600000000000001</v>
      </c>
      <c r="J641" s="24">
        <v>75.5</v>
      </c>
      <c r="K641" s="31">
        <v>0</v>
      </c>
      <c r="L641" s="31">
        <v>7.55</v>
      </c>
      <c r="M641" s="24">
        <v>0</v>
      </c>
      <c r="N641" s="31">
        <v>1.2</v>
      </c>
      <c r="O641" s="31">
        <v>36</v>
      </c>
      <c r="P641" s="31">
        <v>3.5</v>
      </c>
      <c r="Q641" s="31">
        <v>0</v>
      </c>
      <c r="R641" s="31">
        <v>132</v>
      </c>
      <c r="S641" s="31">
        <v>1.2</v>
      </c>
      <c r="T641" s="31">
        <v>43</v>
      </c>
      <c r="U641" s="31">
        <v>278</v>
      </c>
      <c r="V641" s="31">
        <v>0.05</v>
      </c>
      <c r="W641" s="31">
        <v>0.09</v>
      </c>
      <c r="X641" s="31">
        <v>0.2</v>
      </c>
      <c r="Y641" s="31">
        <v>1</v>
      </c>
      <c r="Z641" s="31">
        <v>0</v>
      </c>
      <c r="AA641" s="31">
        <v>0</v>
      </c>
      <c r="AB641" s="31">
        <v>2</v>
      </c>
      <c r="AC641" s="31">
        <v>0</v>
      </c>
      <c r="AD641" s="31">
        <v>0</v>
      </c>
      <c r="AE641" s="31">
        <v>0</v>
      </c>
      <c r="AF641" s="31">
        <v>0</v>
      </c>
      <c r="AG641" s="31">
        <v>50</v>
      </c>
      <c r="AH641" s="31">
        <v>0</v>
      </c>
      <c r="AI641" s="31">
        <v>100</v>
      </c>
      <c r="AJ641" s="13" t="str">
        <f xml:space="preserve"> IF(AD641&gt;F641,"Exceso en grasa saturada",IFERROR(IF(F641=0,"No tiene sello",IF((AD641*9)*100/F641&gt;10,"Exceso en grasa saturada","No tiene sello")),"No tiene sello"))</f>
        <v>No tiene sello</v>
      </c>
      <c r="AK641" s="13">
        <f>IF(AJ641="No tiene sello",0,1)</f>
        <v>0</v>
      </c>
      <c r="AL641" s="13" t="str">
        <f>IF(Q641&gt;=300,"Exceso en sodio",IFERROR(IF(AND(F641=0,Q641&gt;0),"No tiene sello",IF(Q641/F641&gt;1,"Exceso en sodio","No tiene sello")),"No tiene sello"))</f>
        <v>No tiene sello</v>
      </c>
      <c r="AM641" s="13" t="str">
        <f>IFERROR(IF(F641=0,"No tiene sello",IF(+(AG641/1000)*9*100/F641&gt;1,"Exceso en grasa trans", "No tiene sello")),"No tiene sello")</f>
        <v>No tiene sello</v>
      </c>
    </row>
    <row r="642" spans="1:39" ht="13.5" customHeight="1" x14ac:dyDescent="0.25">
      <c r="A642" s="26" t="s">
        <v>438</v>
      </c>
      <c r="B642" s="26" t="s">
        <v>439</v>
      </c>
      <c r="C642" s="27"/>
      <c r="D642" s="16">
        <v>100</v>
      </c>
      <c r="E642" s="28">
        <v>1.7</v>
      </c>
      <c r="F642" s="24">
        <v>466</v>
      </c>
      <c r="G642" s="28">
        <v>1960</v>
      </c>
      <c r="H642" s="24">
        <v>7.5</v>
      </c>
      <c r="I642" s="24">
        <v>15.8</v>
      </c>
      <c r="J642" s="24">
        <v>73.400000000000006</v>
      </c>
      <c r="K642" s="28">
        <v>0</v>
      </c>
      <c r="L642" s="28">
        <v>7.34</v>
      </c>
      <c r="M642" s="24">
        <v>0</v>
      </c>
      <c r="N642" s="28">
        <v>1.6</v>
      </c>
      <c r="O642" s="25">
        <v>139</v>
      </c>
      <c r="P642" s="25">
        <v>2.2000000000000002</v>
      </c>
      <c r="Q642" s="28">
        <v>0</v>
      </c>
      <c r="R642" s="25">
        <v>155</v>
      </c>
      <c r="S642" s="28">
        <v>0</v>
      </c>
      <c r="T642" s="28">
        <v>90</v>
      </c>
      <c r="U642" s="28">
        <v>324</v>
      </c>
      <c r="V642" s="28">
        <v>0.17</v>
      </c>
      <c r="W642" s="28">
        <v>0.42</v>
      </c>
      <c r="X642" s="28">
        <v>0.5</v>
      </c>
      <c r="Y642" s="28">
        <v>0</v>
      </c>
      <c r="Z642" s="28">
        <v>0</v>
      </c>
      <c r="AA642" s="25">
        <v>0</v>
      </c>
      <c r="AB642" s="25">
        <v>9</v>
      </c>
      <c r="AC642" s="25">
        <v>0.5</v>
      </c>
      <c r="AD642" s="28">
        <v>0</v>
      </c>
      <c r="AE642" s="28">
        <v>0</v>
      </c>
      <c r="AF642" s="28">
        <v>0</v>
      </c>
      <c r="AG642" s="28">
        <v>80</v>
      </c>
      <c r="AH642" s="24">
        <v>0</v>
      </c>
      <c r="AI642" s="28">
        <v>100</v>
      </c>
      <c r="AJ642" s="13" t="str">
        <f xml:space="preserve"> IF(AD642&gt;F642,"Exceso en grasa saturada",IFERROR(IF(F642=0,"No tiene sello",IF((AD642*9)*100/F642&gt;10,"Exceso en grasa saturada","No tiene sello")),"No tiene sello"))</f>
        <v>No tiene sello</v>
      </c>
      <c r="AK642" s="13">
        <f>IF(AJ642="No tiene sello",0,1)</f>
        <v>0</v>
      </c>
      <c r="AL642" s="13" t="str">
        <f>IF(Q642&gt;=300,"Exceso en sodio",IFERROR(IF(AND(F642=0,Q642&gt;0),"No tiene sello",IF(Q642/F642&gt;1,"Exceso en sodio","No tiene sello")),"No tiene sello"))</f>
        <v>No tiene sello</v>
      </c>
      <c r="AM642" s="13" t="str">
        <f>IFERROR(IF(F642=0,"No tiene sello",IF(+(AG642/1000)*9*100/F642&gt;1,"Exceso en grasa trans", "No tiene sello")),"No tiene sello")</f>
        <v>No tiene sello</v>
      </c>
    </row>
    <row r="643" spans="1:39" ht="13.5" customHeight="1" x14ac:dyDescent="0.25">
      <c r="A643" s="20" t="s">
        <v>436</v>
      </c>
      <c r="B643" s="20" t="s">
        <v>437</v>
      </c>
      <c r="C643" s="21"/>
      <c r="D643" s="22">
        <v>100</v>
      </c>
      <c r="E643" s="23">
        <v>1.3</v>
      </c>
      <c r="F643" s="24">
        <v>550</v>
      </c>
      <c r="G643" s="23">
        <v>2296</v>
      </c>
      <c r="H643" s="24">
        <v>5.5</v>
      </c>
      <c r="I643" s="24">
        <v>31.8</v>
      </c>
      <c r="J643" s="24">
        <v>60</v>
      </c>
      <c r="K643" s="23">
        <v>59.2</v>
      </c>
      <c r="L643" s="23">
        <v>6</v>
      </c>
      <c r="M643" s="24">
        <v>0.8</v>
      </c>
      <c r="N643" s="23">
        <v>1.4</v>
      </c>
      <c r="O643" s="25">
        <v>159</v>
      </c>
      <c r="P643" s="25">
        <v>1.6</v>
      </c>
      <c r="Q643" s="23">
        <v>63</v>
      </c>
      <c r="R643" s="25">
        <v>210</v>
      </c>
      <c r="S643" s="23">
        <v>1</v>
      </c>
      <c r="T643" s="23">
        <v>55</v>
      </c>
      <c r="U643" s="23">
        <v>371</v>
      </c>
      <c r="V643" s="23">
        <v>0.27</v>
      </c>
      <c r="W643" s="23">
        <v>0.34</v>
      </c>
      <c r="X643" s="23">
        <v>0.8</v>
      </c>
      <c r="Y643" s="23">
        <v>11</v>
      </c>
      <c r="Z643" s="23">
        <v>0.71</v>
      </c>
      <c r="AA643" s="25">
        <v>0</v>
      </c>
      <c r="AB643" s="25">
        <v>54</v>
      </c>
      <c r="AC643" s="25">
        <v>0.5</v>
      </c>
      <c r="AD643" s="23">
        <v>0</v>
      </c>
      <c r="AE643" s="23">
        <v>0</v>
      </c>
      <c r="AF643" s="23">
        <v>0</v>
      </c>
      <c r="AG643" s="23">
        <v>100</v>
      </c>
      <c r="AH643" s="24">
        <v>0</v>
      </c>
      <c r="AI643" s="23">
        <v>100</v>
      </c>
      <c r="AJ643" s="13" t="str">
        <f xml:space="preserve"> IF(AD643&gt;F643,"Exceso en grasa saturada",IFERROR(IF(F643=0,"No tiene sello",IF((AD643*9)*100/F643&gt;10,"Exceso en grasa saturada","No tiene sello")),"No tiene sello"))</f>
        <v>No tiene sello</v>
      </c>
      <c r="AK643" s="13">
        <f>IF(AJ643="No tiene sello",0,1)</f>
        <v>0</v>
      </c>
      <c r="AL643" s="13" t="str">
        <f>IF(Q643&gt;=300,"Exceso en sodio",IFERROR(IF(AND(F643=0,Q643&gt;0),"No tiene sello",IF(Q643/F643&gt;1,"Exceso en sodio","No tiene sello")),"No tiene sello"))</f>
        <v>No tiene sello</v>
      </c>
      <c r="AM643" s="13" t="str">
        <f>IFERROR(IF(F643=0,"No tiene sello",IF(+(AG643/1000)*9*100/F643&gt;1,"Exceso en grasa trans", "No tiene sello")),"No tiene sello")</f>
        <v>No tiene sello</v>
      </c>
    </row>
    <row r="644" spans="1:39" ht="13.5" customHeight="1" x14ac:dyDescent="0.25">
      <c r="A644" s="26" t="s">
        <v>434</v>
      </c>
      <c r="B644" s="26" t="s">
        <v>435</v>
      </c>
      <c r="C644" s="27"/>
      <c r="D644" s="16">
        <v>100</v>
      </c>
      <c r="E644" s="28">
        <v>4</v>
      </c>
      <c r="F644" s="24">
        <v>438</v>
      </c>
      <c r="G644" s="28">
        <v>1847</v>
      </c>
      <c r="H644" s="24">
        <v>9.1</v>
      </c>
      <c r="I644" s="24">
        <v>12</v>
      </c>
      <c r="J644" s="24">
        <v>73.400000000000006</v>
      </c>
      <c r="K644" s="28">
        <v>0</v>
      </c>
      <c r="L644" s="28">
        <v>7.34</v>
      </c>
      <c r="M644" s="24">
        <v>0</v>
      </c>
      <c r="N644" s="28">
        <v>1.5</v>
      </c>
      <c r="O644" s="25">
        <v>34</v>
      </c>
      <c r="P644" s="25">
        <v>4.8</v>
      </c>
      <c r="Q644" s="28">
        <v>0</v>
      </c>
      <c r="R644" s="25">
        <v>260</v>
      </c>
      <c r="S644" s="28">
        <v>0</v>
      </c>
      <c r="T644" s="28">
        <v>0</v>
      </c>
      <c r="U644" s="28">
        <v>0</v>
      </c>
      <c r="V644" s="28">
        <v>0.1</v>
      </c>
      <c r="W644" s="28">
        <v>0.2</v>
      </c>
      <c r="X644" s="28">
        <v>2.8</v>
      </c>
      <c r="Y644" s="28">
        <v>0</v>
      </c>
      <c r="Z644" s="28">
        <v>0</v>
      </c>
      <c r="AA644" s="25">
        <v>0</v>
      </c>
      <c r="AB644" s="25">
        <v>0</v>
      </c>
      <c r="AC644" s="25">
        <v>0</v>
      </c>
      <c r="AD644" s="28">
        <v>0</v>
      </c>
      <c r="AE644" s="28">
        <v>0</v>
      </c>
      <c r="AF644" s="28">
        <v>0</v>
      </c>
      <c r="AG644" s="28">
        <v>50</v>
      </c>
      <c r="AH644" s="24">
        <v>0</v>
      </c>
      <c r="AI644" s="28">
        <v>100</v>
      </c>
      <c r="AJ644" s="13" t="str">
        <f xml:space="preserve"> IF(AD644&gt;F644,"Exceso en grasa saturada",IFERROR(IF(F644=0,"No tiene sello",IF((AD644*9)*100/F644&gt;10,"Exceso en grasa saturada","No tiene sello")),"No tiene sello"))</f>
        <v>No tiene sello</v>
      </c>
      <c r="AK644" s="13">
        <f>IF(AJ644="No tiene sello",0,1)</f>
        <v>0</v>
      </c>
      <c r="AL644" s="13" t="str">
        <f>IF(Q644&gt;=300,"Exceso en sodio",IFERROR(IF(AND(F644=0,Q644&gt;0),"No tiene sello",IF(Q644/F644&gt;1,"Exceso en sodio","No tiene sello")),"No tiene sello"))</f>
        <v>No tiene sello</v>
      </c>
      <c r="AM644" s="13" t="str">
        <f>IFERROR(IF(F644=0,"No tiene sello",IF(+(AG644/1000)*9*100/F644&gt;1,"Exceso en grasa trans", "No tiene sello")),"No tiene sello")</f>
        <v>No tiene sello</v>
      </c>
    </row>
    <row r="645" spans="1:39" ht="13.5" customHeight="1" x14ac:dyDescent="0.25">
      <c r="A645" s="20" t="s">
        <v>432</v>
      </c>
      <c r="B645" s="20" t="s">
        <v>433</v>
      </c>
      <c r="C645" s="21"/>
      <c r="D645" s="22">
        <v>100</v>
      </c>
      <c r="E645" s="23">
        <v>6</v>
      </c>
      <c r="F645" s="24">
        <v>417</v>
      </c>
      <c r="G645" s="23">
        <v>1760</v>
      </c>
      <c r="H645" s="24">
        <v>1.6</v>
      </c>
      <c r="I645" s="24">
        <v>8.1999999999999993</v>
      </c>
      <c r="J645" s="24">
        <v>82.4</v>
      </c>
      <c r="K645" s="23">
        <v>78.8</v>
      </c>
      <c r="L645" s="23">
        <v>65.92</v>
      </c>
      <c r="M645" s="24">
        <v>3.6</v>
      </c>
      <c r="N645" s="23">
        <v>1.8</v>
      </c>
      <c r="O645" s="25">
        <v>7</v>
      </c>
      <c r="P645" s="25">
        <v>1.2</v>
      </c>
      <c r="Q645" s="23">
        <v>29</v>
      </c>
      <c r="R645" s="25">
        <v>78</v>
      </c>
      <c r="S645" s="23">
        <v>0.4</v>
      </c>
      <c r="T645" s="23">
        <v>17</v>
      </c>
      <c r="U645" s="23">
        <v>183</v>
      </c>
      <c r="V645" s="23">
        <v>0.03</v>
      </c>
      <c r="W645" s="23">
        <v>7.0000000000000007E-2</v>
      </c>
      <c r="X645" s="23">
        <v>0.4</v>
      </c>
      <c r="Y645" s="23">
        <v>0</v>
      </c>
      <c r="Z645" s="23">
        <v>0</v>
      </c>
      <c r="AA645" s="25">
        <v>0</v>
      </c>
      <c r="AB645" s="25">
        <v>0</v>
      </c>
      <c r="AC645" s="25">
        <v>0</v>
      </c>
      <c r="AD645" s="23">
        <v>0</v>
      </c>
      <c r="AE645" s="23">
        <v>0</v>
      </c>
      <c r="AF645" s="23">
        <v>0</v>
      </c>
      <c r="AG645" s="23">
        <v>50</v>
      </c>
      <c r="AH645" s="24">
        <v>0</v>
      </c>
      <c r="AI645" s="23">
        <v>100</v>
      </c>
      <c r="AJ645" s="13" t="str">
        <f xml:space="preserve"> IF(AD645&gt;F645,"Exceso en grasa saturada",IFERROR(IF(F645=0,"No tiene sello",IF((AD645*9)*100/F645&gt;10,"Exceso en grasa saturada","No tiene sello")),"No tiene sello"))</f>
        <v>No tiene sello</v>
      </c>
      <c r="AK645" s="13">
        <f>IF(AJ645="No tiene sello",0,1)</f>
        <v>0</v>
      </c>
      <c r="AL645" s="13" t="str">
        <f>IF(Q645&gt;=300,"Exceso en sodio",IFERROR(IF(AND(F645=0,Q645&gt;0),"No tiene sello",IF(Q645/F645&gt;1,"Exceso en sodio","No tiene sello")),"No tiene sello"))</f>
        <v>No tiene sello</v>
      </c>
      <c r="AM645" s="13" t="str">
        <f>IFERROR(IF(F645=0,"No tiene sello",IF(+(AG645/1000)*9*100/F645&gt;1,"Exceso en grasa trans", "No tiene sello")),"No tiene sello")</f>
        <v>No tiene sello</v>
      </c>
    </row>
    <row r="646" spans="1:39" ht="13.5" customHeight="1" x14ac:dyDescent="0.25">
      <c r="A646" s="26" t="s">
        <v>430</v>
      </c>
      <c r="B646" s="26" t="s">
        <v>431</v>
      </c>
      <c r="C646" s="27"/>
      <c r="D646" s="16">
        <v>100</v>
      </c>
      <c r="E646" s="28">
        <v>2</v>
      </c>
      <c r="F646" s="24">
        <v>405</v>
      </c>
      <c r="G646" s="28">
        <v>1717</v>
      </c>
      <c r="H646" s="24">
        <v>1.9</v>
      </c>
      <c r="I646" s="24">
        <v>1.7</v>
      </c>
      <c r="J646" s="24">
        <v>93.9</v>
      </c>
      <c r="K646" s="28">
        <v>90.6</v>
      </c>
      <c r="L646" s="28">
        <v>75.12</v>
      </c>
      <c r="M646" s="24">
        <v>3.3</v>
      </c>
      <c r="N646" s="28">
        <v>0.4</v>
      </c>
      <c r="O646" s="25">
        <v>32</v>
      </c>
      <c r="P646" s="25">
        <v>0.6</v>
      </c>
      <c r="Q646" s="28">
        <v>33</v>
      </c>
      <c r="R646" s="25">
        <v>55</v>
      </c>
      <c r="S646" s="28">
        <v>0.4</v>
      </c>
      <c r="T646" s="28">
        <v>32</v>
      </c>
      <c r="U646" s="28">
        <v>105</v>
      </c>
      <c r="V646" s="28">
        <v>0.02</v>
      </c>
      <c r="W646" s="28">
        <v>0.14000000000000001</v>
      </c>
      <c r="X646" s="28">
        <v>0.5</v>
      </c>
      <c r="Y646" s="28">
        <v>5</v>
      </c>
      <c r="Z646" s="28">
        <v>0.01</v>
      </c>
      <c r="AA646" s="25">
        <v>0</v>
      </c>
      <c r="AB646" s="25">
        <v>0</v>
      </c>
      <c r="AC646" s="25">
        <v>0</v>
      </c>
      <c r="AD646" s="28">
        <v>0</v>
      </c>
      <c r="AE646" s="28">
        <v>0</v>
      </c>
      <c r="AF646" s="28">
        <v>0</v>
      </c>
      <c r="AG646" s="28">
        <v>50</v>
      </c>
      <c r="AH646" s="24">
        <v>0</v>
      </c>
      <c r="AI646" s="28">
        <v>100</v>
      </c>
      <c r="AJ646" s="13" t="str">
        <f xml:space="preserve"> IF(AD646&gt;F646,"Exceso en grasa saturada",IFERROR(IF(F646=0,"No tiene sello",IF((AD646*9)*100/F646&gt;10,"Exceso en grasa saturada","No tiene sello")),"No tiene sello"))</f>
        <v>No tiene sello</v>
      </c>
      <c r="AK646" s="13">
        <f>IF(AJ646="No tiene sello",0,1)</f>
        <v>0</v>
      </c>
      <c r="AL646" s="13" t="str">
        <f>IF(Q646&gt;=300,"Exceso en sodio",IFERROR(IF(AND(F646=0,Q646&gt;0),"No tiene sello",IF(Q646/F646&gt;1,"Exceso en sodio","No tiene sello")),"No tiene sello"))</f>
        <v>No tiene sello</v>
      </c>
      <c r="AM646" s="13" t="str">
        <f>IFERROR(IF(F646=0,"No tiene sello",IF(+(AG646/1000)*9*100/F646&gt;1,"Exceso en grasa trans", "No tiene sello")),"No tiene sello")</f>
        <v>No tiene sello</v>
      </c>
    </row>
    <row r="647" spans="1:39" ht="13.5" customHeight="1" x14ac:dyDescent="0.25">
      <c r="A647" s="20" t="s">
        <v>428</v>
      </c>
      <c r="B647" s="20" t="s">
        <v>429</v>
      </c>
      <c r="C647" s="21"/>
      <c r="D647" s="22">
        <v>100</v>
      </c>
      <c r="E647" s="23">
        <v>12</v>
      </c>
      <c r="F647" s="24">
        <v>355</v>
      </c>
      <c r="G647" s="23">
        <v>1506</v>
      </c>
      <c r="H647" s="24">
        <v>0.4</v>
      </c>
      <c r="I647" s="24">
        <v>0.5</v>
      </c>
      <c r="J647" s="24">
        <v>87</v>
      </c>
      <c r="K647" s="23">
        <v>86.8</v>
      </c>
      <c r="L647" s="23">
        <v>69.599999999999994</v>
      </c>
      <c r="M647" s="24">
        <v>0.2</v>
      </c>
      <c r="N647" s="23">
        <v>0.1</v>
      </c>
      <c r="O647" s="25">
        <v>113</v>
      </c>
      <c r="P647" s="25">
        <v>0</v>
      </c>
      <c r="Q647" s="23">
        <v>31</v>
      </c>
      <c r="R647" s="25">
        <v>360</v>
      </c>
      <c r="S647" s="23">
        <v>0</v>
      </c>
      <c r="T647" s="23">
        <v>179</v>
      </c>
      <c r="U647" s="23">
        <v>1304</v>
      </c>
      <c r="V647" s="23">
        <v>0.04</v>
      </c>
      <c r="W647" s="23">
        <v>0.18</v>
      </c>
      <c r="X647" s="23">
        <v>5</v>
      </c>
      <c r="Y647" s="23">
        <v>38</v>
      </c>
      <c r="Z647" s="23">
        <v>0</v>
      </c>
      <c r="AA647" s="25">
        <v>0</v>
      </c>
      <c r="AB647" s="25">
        <v>0</v>
      </c>
      <c r="AC647" s="25">
        <v>0</v>
      </c>
      <c r="AD647" s="23">
        <v>0</v>
      </c>
      <c r="AE647" s="23">
        <v>0</v>
      </c>
      <c r="AF647" s="23">
        <v>0</v>
      </c>
      <c r="AG647" s="23">
        <v>0</v>
      </c>
      <c r="AH647" s="24">
        <v>0</v>
      </c>
      <c r="AI647" s="23">
        <v>100</v>
      </c>
      <c r="AJ647" s="13" t="str">
        <f xml:space="preserve"> IF(AD647&gt;F647,"Exceso en grasa saturada",IFERROR(IF(F647=0,"No tiene sello",IF((AD647*9)*100/F647&gt;10,"Exceso en grasa saturada","No tiene sello")),"No tiene sello"))</f>
        <v>No tiene sello</v>
      </c>
      <c r="AK647" s="13">
        <f>IF(AJ647="No tiene sello",0,1)</f>
        <v>0</v>
      </c>
      <c r="AL647" s="13" t="str">
        <f>IF(Q647&gt;=300,"Exceso en sodio",IFERROR(IF(AND(F647=0,Q647&gt;0),"No tiene sello",IF(Q647/F647&gt;1,"Exceso en sodio","No tiene sello")),"No tiene sello"))</f>
        <v>No tiene sello</v>
      </c>
      <c r="AM647" s="13" t="str">
        <f>IFERROR(IF(F647=0,"No tiene sello",IF(+(AG647/1000)*9*100/F647&gt;1,"Exceso en grasa trans", "No tiene sello")),"No tiene sello")</f>
        <v>No tiene sello</v>
      </c>
    </row>
    <row r="648" spans="1:39" ht="13.5" customHeight="1" x14ac:dyDescent="0.25">
      <c r="A648" s="26" t="s">
        <v>426</v>
      </c>
      <c r="B648" s="26" t="s">
        <v>427</v>
      </c>
      <c r="C648" s="27"/>
      <c r="D648" s="16">
        <v>100</v>
      </c>
      <c r="E648" s="28">
        <v>6.4</v>
      </c>
      <c r="F648" s="24">
        <v>385</v>
      </c>
      <c r="G648" s="28">
        <v>1632</v>
      </c>
      <c r="H648" s="24">
        <v>1.1000000000000001</v>
      </c>
      <c r="I648" s="24">
        <v>1.8</v>
      </c>
      <c r="J648" s="24">
        <v>90.3</v>
      </c>
      <c r="K648" s="28">
        <v>88.8</v>
      </c>
      <c r="L648" s="28">
        <v>72.239999999999995</v>
      </c>
      <c r="M648" s="24">
        <v>1.5</v>
      </c>
      <c r="N648" s="28">
        <v>0.4</v>
      </c>
      <c r="O648" s="25">
        <v>0</v>
      </c>
      <c r="P648" s="25">
        <v>0</v>
      </c>
      <c r="Q648" s="28">
        <v>0</v>
      </c>
      <c r="R648" s="25">
        <v>0</v>
      </c>
      <c r="S648" s="28">
        <v>0</v>
      </c>
      <c r="T648" s="28">
        <v>0</v>
      </c>
      <c r="U648" s="28">
        <v>0</v>
      </c>
      <c r="V648" s="28">
        <v>0</v>
      </c>
      <c r="W648" s="28">
        <v>0</v>
      </c>
      <c r="X648" s="28">
        <v>0</v>
      </c>
      <c r="Y648" s="28">
        <v>0</v>
      </c>
      <c r="Z648" s="28">
        <v>0</v>
      </c>
      <c r="AA648" s="25">
        <v>0</v>
      </c>
      <c r="AB648" s="25">
        <v>0</v>
      </c>
      <c r="AC648" s="25">
        <v>0</v>
      </c>
      <c r="AD648" s="28">
        <v>0</v>
      </c>
      <c r="AE648" s="28">
        <v>0</v>
      </c>
      <c r="AF648" s="28">
        <v>0</v>
      </c>
      <c r="AG648" s="28">
        <v>0</v>
      </c>
      <c r="AH648" s="24">
        <v>0</v>
      </c>
      <c r="AI648" s="28">
        <v>100</v>
      </c>
      <c r="AJ648" s="13" t="str">
        <f xml:space="preserve"> IF(AD648&gt;F648,"Exceso en grasa saturada",IFERROR(IF(F648=0,"No tiene sello",IF((AD648*9)*100/F648&gt;10,"Exceso en grasa saturada","No tiene sello")),"No tiene sello"))</f>
        <v>No tiene sello</v>
      </c>
      <c r="AK648" s="13">
        <f>IF(AJ648="No tiene sello",0,1)</f>
        <v>0</v>
      </c>
      <c r="AL648" s="13" t="str">
        <f>IF(Q648&gt;=300,"Exceso en sodio",IFERROR(IF(AND(F648=0,Q648&gt;0),"No tiene sello",IF(Q648/F648&gt;1,"Exceso en sodio","No tiene sello")),"No tiene sello"))</f>
        <v>No tiene sello</v>
      </c>
      <c r="AM648" s="13" t="str">
        <f>IFERROR(IF(F648=0,"No tiene sello",IF(+(AG648/1000)*9*100/F648&gt;1,"Exceso en grasa trans", "No tiene sello")),"No tiene sello")</f>
        <v>No tiene sello</v>
      </c>
    </row>
    <row r="649" spans="1:39" ht="13.5" customHeight="1" x14ac:dyDescent="0.25">
      <c r="A649" s="20" t="s">
        <v>424</v>
      </c>
      <c r="B649" s="20" t="s">
        <v>425</v>
      </c>
      <c r="C649" s="21"/>
      <c r="D649" s="22">
        <v>100</v>
      </c>
      <c r="E649" s="23">
        <v>1.6</v>
      </c>
      <c r="F649" s="24">
        <v>392</v>
      </c>
      <c r="G649" s="23">
        <v>1668</v>
      </c>
      <c r="H649" s="24">
        <v>8.3000000000000007</v>
      </c>
      <c r="I649" s="24">
        <v>0</v>
      </c>
      <c r="J649" s="24">
        <v>89.8</v>
      </c>
      <c r="K649" s="23">
        <v>89.8</v>
      </c>
      <c r="L649" s="23">
        <v>8.98</v>
      </c>
      <c r="M649" s="24">
        <v>0</v>
      </c>
      <c r="N649" s="23">
        <v>0.3</v>
      </c>
      <c r="O649" s="25">
        <v>0</v>
      </c>
      <c r="P649" s="25">
        <v>0</v>
      </c>
      <c r="Q649" s="23">
        <v>268</v>
      </c>
      <c r="R649" s="25">
        <v>0</v>
      </c>
      <c r="S649" s="23">
        <v>0</v>
      </c>
      <c r="T649" s="23">
        <v>2</v>
      </c>
      <c r="U649" s="23">
        <v>7</v>
      </c>
      <c r="V649" s="23">
        <v>0</v>
      </c>
      <c r="W649" s="23">
        <v>0</v>
      </c>
      <c r="X649" s="23">
        <v>0</v>
      </c>
      <c r="Y649" s="23">
        <v>0</v>
      </c>
      <c r="Z649" s="23">
        <v>0</v>
      </c>
      <c r="AA649" s="25">
        <v>0</v>
      </c>
      <c r="AB649" s="25">
        <v>0</v>
      </c>
      <c r="AC649" s="25">
        <v>0</v>
      </c>
      <c r="AD649" s="23">
        <v>0</v>
      </c>
      <c r="AE649" s="23">
        <v>0</v>
      </c>
      <c r="AF649" s="23">
        <v>0</v>
      </c>
      <c r="AG649" s="23">
        <v>0</v>
      </c>
      <c r="AH649" s="24">
        <v>0</v>
      </c>
      <c r="AI649" s="23">
        <v>100</v>
      </c>
      <c r="AJ649" s="13" t="str">
        <f xml:space="preserve"> IF(AD649&gt;F649,"Exceso en grasa saturada",IFERROR(IF(F649=0,"No tiene sello",IF((AD649*9)*100/F649&gt;10,"Exceso en grasa saturada","No tiene sello")),"No tiene sello"))</f>
        <v>No tiene sello</v>
      </c>
      <c r="AK649" s="13">
        <f>IF(AJ649="No tiene sello",0,1)</f>
        <v>0</v>
      </c>
      <c r="AL649" s="13" t="str">
        <f>IF(Q649&gt;=300,"Exceso en sodio",IFERROR(IF(AND(F649=0,Q649&gt;0),"No tiene sello",IF(Q649/F649&gt;1,"Exceso en sodio","No tiene sello")),"No tiene sello"))</f>
        <v>No tiene sello</v>
      </c>
      <c r="AM649" s="13" t="str">
        <f>IFERROR(IF(F649=0,"No tiene sello",IF(+(AG649/1000)*9*100/F649&gt;1,"Exceso en grasa trans", "No tiene sello")),"No tiene sello")</f>
        <v>No tiene sello</v>
      </c>
    </row>
    <row r="650" spans="1:39" ht="13.5" customHeight="1" x14ac:dyDescent="0.25">
      <c r="A650" s="26" t="s">
        <v>422</v>
      </c>
      <c r="B650" s="26" t="s">
        <v>423</v>
      </c>
      <c r="C650" s="27"/>
      <c r="D650" s="16">
        <v>100</v>
      </c>
      <c r="E650" s="28">
        <v>83.1</v>
      </c>
      <c r="F650" s="24">
        <v>67</v>
      </c>
      <c r="G650" s="28">
        <v>286</v>
      </c>
      <c r="H650" s="24">
        <v>1.4</v>
      </c>
      <c r="I650" s="24">
        <v>0</v>
      </c>
      <c r="J650" s="24">
        <v>15.4</v>
      </c>
      <c r="K650" s="28">
        <v>15.4</v>
      </c>
      <c r="L650" s="28">
        <v>1.54</v>
      </c>
      <c r="M650" s="24">
        <v>0</v>
      </c>
      <c r="N650" s="28">
        <v>0.1</v>
      </c>
      <c r="O650" s="25">
        <v>0</v>
      </c>
      <c r="P650" s="25">
        <v>0</v>
      </c>
      <c r="Q650" s="28">
        <v>75</v>
      </c>
      <c r="R650" s="25">
        <v>0</v>
      </c>
      <c r="S650" s="28">
        <v>0</v>
      </c>
      <c r="T650" s="28">
        <v>1</v>
      </c>
      <c r="U650" s="28">
        <v>1</v>
      </c>
      <c r="V650" s="28">
        <v>0</v>
      </c>
      <c r="W650" s="28">
        <v>0</v>
      </c>
      <c r="X650" s="28">
        <v>0</v>
      </c>
      <c r="Y650" s="28">
        <v>1</v>
      </c>
      <c r="Z650" s="28">
        <v>0</v>
      </c>
      <c r="AA650" s="25">
        <v>0</v>
      </c>
      <c r="AB650" s="25">
        <v>0</v>
      </c>
      <c r="AC650" s="25">
        <v>0</v>
      </c>
      <c r="AD650" s="28">
        <v>0</v>
      </c>
      <c r="AE650" s="28">
        <v>0</v>
      </c>
      <c r="AF650" s="28">
        <v>0</v>
      </c>
      <c r="AG650" s="28">
        <v>0</v>
      </c>
      <c r="AH650" s="24">
        <v>0</v>
      </c>
      <c r="AI650" s="28">
        <v>100</v>
      </c>
      <c r="AJ650" s="13" t="str">
        <f xml:space="preserve"> IF(AD650&gt;F650,"Exceso en grasa saturada",IFERROR(IF(F650=0,"No tiene sello",IF((AD650*9)*100/F650&gt;10,"Exceso en grasa saturada","No tiene sello")),"No tiene sello"))</f>
        <v>No tiene sello</v>
      </c>
      <c r="AK650" s="13">
        <f>IF(AJ650="No tiene sello",0,1)</f>
        <v>0</v>
      </c>
      <c r="AL650" s="13" t="str">
        <f>IF(Q650&gt;=300,"Exceso en sodio",IFERROR(IF(AND(F650=0,Q650&gt;0),"No tiene sello",IF(Q650/F650&gt;1,"Exceso en sodio","No tiene sello")),"No tiene sello"))</f>
        <v>Exceso en sodio</v>
      </c>
      <c r="AM650" s="13" t="str">
        <f>IFERROR(IF(F650=0,"No tiene sello",IF(+(AG650/1000)*9*100/F650&gt;1,"Exceso en grasa trans", "No tiene sello")),"No tiene sello")</f>
        <v>No tiene sello</v>
      </c>
    </row>
    <row r="651" spans="1:39" s="4" customFormat="1" ht="13.5" customHeight="1" x14ac:dyDescent="0.25">
      <c r="A651" s="20" t="s">
        <v>420</v>
      </c>
      <c r="B651" s="20" t="s">
        <v>421</v>
      </c>
      <c r="C651" s="21"/>
      <c r="D651" s="22">
        <v>100</v>
      </c>
      <c r="E651" s="23">
        <v>18.5</v>
      </c>
      <c r="F651" s="24">
        <v>324</v>
      </c>
      <c r="G651" s="23">
        <v>1375</v>
      </c>
      <c r="H651" s="24">
        <v>7.4</v>
      </c>
      <c r="I651" s="24">
        <v>0</v>
      </c>
      <c r="J651" s="24">
        <v>73.5</v>
      </c>
      <c r="K651" s="23">
        <v>0</v>
      </c>
      <c r="L651" s="23">
        <v>7.35</v>
      </c>
      <c r="M651" s="24">
        <v>0</v>
      </c>
      <c r="N651" s="23">
        <v>0.6</v>
      </c>
      <c r="O651" s="25">
        <v>66</v>
      </c>
      <c r="P651" s="25">
        <v>4</v>
      </c>
      <c r="Q651" s="23">
        <v>0</v>
      </c>
      <c r="R651" s="25">
        <v>29</v>
      </c>
      <c r="S651" s="23">
        <v>0</v>
      </c>
      <c r="T651" s="23">
        <v>0</v>
      </c>
      <c r="U651" s="23">
        <v>0</v>
      </c>
      <c r="V651" s="23">
        <v>0.03</v>
      </c>
      <c r="W651" s="23">
        <v>0.03</v>
      </c>
      <c r="X651" s="23">
        <v>0</v>
      </c>
      <c r="Y651" s="23">
        <v>0</v>
      </c>
      <c r="Z651" s="23">
        <v>0</v>
      </c>
      <c r="AA651" s="25">
        <v>0</v>
      </c>
      <c r="AB651" s="25">
        <v>0</v>
      </c>
      <c r="AC651" s="25">
        <v>0</v>
      </c>
      <c r="AD651" s="23">
        <v>0</v>
      </c>
      <c r="AE651" s="23">
        <v>0</v>
      </c>
      <c r="AF651" s="23">
        <v>0</v>
      </c>
      <c r="AG651" s="23">
        <v>50</v>
      </c>
      <c r="AH651" s="24">
        <v>0</v>
      </c>
      <c r="AI651" s="23">
        <v>100</v>
      </c>
      <c r="AJ651" s="13" t="str">
        <f xml:space="preserve"> IF(AD651&gt;F651,"Exceso en grasa saturada",IFERROR(IF(F651=0,"No tiene sello",IF((AD651*9)*100/F651&gt;10,"Exceso en grasa saturada","No tiene sello")),"No tiene sello"))</f>
        <v>No tiene sello</v>
      </c>
      <c r="AK651" s="13">
        <f>IF(AJ651="No tiene sello",0,1)</f>
        <v>0</v>
      </c>
      <c r="AL651" s="13" t="str">
        <f>IF(Q651&gt;=300,"Exceso en sodio",IFERROR(IF(AND(F651=0,Q651&gt;0),"No tiene sello",IF(Q651/F651&gt;1,"Exceso en sodio","No tiene sello")),"No tiene sello"))</f>
        <v>No tiene sello</v>
      </c>
      <c r="AM651" s="13" t="str">
        <f>IFERROR(IF(F651=0,"No tiene sello",IF(+(AG651/1000)*9*100/F651&gt;1,"Exceso en grasa trans", "No tiene sello")),"No tiene sello")</f>
        <v>No tiene sello</v>
      </c>
    </row>
    <row r="652" spans="1:39" ht="13.5" customHeight="1" x14ac:dyDescent="0.25">
      <c r="A652" s="26" t="s">
        <v>418</v>
      </c>
      <c r="B652" s="26" t="s">
        <v>419</v>
      </c>
      <c r="C652" s="27"/>
      <c r="D652" s="16">
        <v>100</v>
      </c>
      <c r="E652" s="28">
        <v>2.6</v>
      </c>
      <c r="F652" s="24">
        <v>390</v>
      </c>
      <c r="G652" s="28">
        <v>1655</v>
      </c>
      <c r="H652" s="24">
        <v>0</v>
      </c>
      <c r="I652" s="24">
        <v>0.3</v>
      </c>
      <c r="J652" s="24">
        <v>96.7</v>
      </c>
      <c r="K652" s="28">
        <v>96.7</v>
      </c>
      <c r="L652" s="28">
        <v>9.67</v>
      </c>
      <c r="M652" s="24">
        <v>0</v>
      </c>
      <c r="N652" s="28">
        <v>0.4</v>
      </c>
      <c r="O652" s="25">
        <v>0</v>
      </c>
      <c r="P652" s="25">
        <v>0</v>
      </c>
      <c r="Q652" s="28">
        <v>6</v>
      </c>
      <c r="R652" s="25">
        <v>0</v>
      </c>
      <c r="S652" s="28">
        <v>0</v>
      </c>
      <c r="T652" s="28">
        <v>0</v>
      </c>
      <c r="U652" s="28">
        <v>2</v>
      </c>
      <c r="V652" s="28">
        <v>0</v>
      </c>
      <c r="W652" s="28">
        <v>0</v>
      </c>
      <c r="X652" s="28">
        <v>0</v>
      </c>
      <c r="Y652" s="28">
        <v>0</v>
      </c>
      <c r="Z652" s="28">
        <v>0</v>
      </c>
      <c r="AA652" s="25">
        <v>0</v>
      </c>
      <c r="AB652" s="25">
        <v>0</v>
      </c>
      <c r="AC652" s="25">
        <v>0</v>
      </c>
      <c r="AD652" s="28">
        <v>0</v>
      </c>
      <c r="AE652" s="28">
        <v>0</v>
      </c>
      <c r="AF652" s="28">
        <v>0</v>
      </c>
      <c r="AG652" s="28">
        <v>0</v>
      </c>
      <c r="AH652" s="24">
        <v>0</v>
      </c>
      <c r="AI652" s="28">
        <v>100</v>
      </c>
      <c r="AJ652" s="13" t="str">
        <f xml:space="preserve"> IF(AD652&gt;F652,"Exceso en grasa saturada",IFERROR(IF(F652=0,"No tiene sello",IF((AD652*9)*100/F652&gt;10,"Exceso en grasa saturada","No tiene sello")),"No tiene sello"))</f>
        <v>No tiene sello</v>
      </c>
      <c r="AK652" s="13">
        <f>IF(AJ652="No tiene sello",0,1)</f>
        <v>0</v>
      </c>
      <c r="AL652" s="13" t="str">
        <f>IF(Q652&gt;=300,"Exceso en sodio",IFERROR(IF(AND(F652=0,Q652&gt;0),"No tiene sello",IF(Q652/F652&gt;1,"Exceso en sodio","No tiene sello")),"No tiene sello"))</f>
        <v>No tiene sello</v>
      </c>
      <c r="AM652" s="13" t="str">
        <f>IFERROR(IF(F652=0,"No tiene sello",IF(+(AG652/1000)*9*100/F652&gt;1,"Exceso en grasa trans", "No tiene sello")),"No tiene sello")</f>
        <v>No tiene sello</v>
      </c>
    </row>
    <row r="653" spans="1:39" ht="13.5" customHeight="1" x14ac:dyDescent="0.25">
      <c r="A653" s="20" t="s">
        <v>416</v>
      </c>
      <c r="B653" s="20" t="s">
        <v>417</v>
      </c>
      <c r="C653" s="21"/>
      <c r="D653" s="22">
        <v>100</v>
      </c>
      <c r="E653" s="23">
        <v>89</v>
      </c>
      <c r="F653" s="24">
        <v>44</v>
      </c>
      <c r="G653" s="23">
        <v>185</v>
      </c>
      <c r="H653" s="24">
        <v>0</v>
      </c>
      <c r="I653" s="24">
        <v>0</v>
      </c>
      <c r="J653" s="24">
        <v>10.9</v>
      </c>
      <c r="K653" s="23">
        <v>10.9</v>
      </c>
      <c r="L653" s="23">
        <v>1.0900000000000001</v>
      </c>
      <c r="M653" s="24">
        <v>0</v>
      </c>
      <c r="N653" s="23">
        <v>0.1</v>
      </c>
      <c r="O653" s="25">
        <v>0</v>
      </c>
      <c r="P653" s="25">
        <v>0.1</v>
      </c>
      <c r="Q653" s="23">
        <v>7</v>
      </c>
      <c r="R653" s="25">
        <v>0</v>
      </c>
      <c r="S653" s="23">
        <v>0.2</v>
      </c>
      <c r="T653" s="23">
        <v>1</v>
      </c>
      <c r="U653" s="23">
        <v>15</v>
      </c>
      <c r="V653" s="23">
        <v>0</v>
      </c>
      <c r="W653" s="23">
        <v>0</v>
      </c>
      <c r="X653" s="23">
        <v>0</v>
      </c>
      <c r="Y653" s="23">
        <v>0</v>
      </c>
      <c r="Z653" s="23">
        <v>0</v>
      </c>
      <c r="AA653" s="25">
        <v>0</v>
      </c>
      <c r="AB653" s="25">
        <v>0</v>
      </c>
      <c r="AC653" s="25">
        <v>0</v>
      </c>
      <c r="AD653" s="23">
        <v>0</v>
      </c>
      <c r="AE653" s="23">
        <v>0</v>
      </c>
      <c r="AF653" s="23">
        <v>0</v>
      </c>
      <c r="AG653" s="23">
        <v>0</v>
      </c>
      <c r="AH653" s="24">
        <v>0</v>
      </c>
      <c r="AI653" s="23">
        <v>100</v>
      </c>
      <c r="AJ653" s="13" t="str">
        <f xml:space="preserve"> IF(AD653&gt;F653,"Exceso en grasa saturada",IFERROR(IF(F653=0,"No tiene sello",IF((AD653*9)*100/F653&gt;10,"Exceso en grasa saturada","No tiene sello")),"No tiene sello"))</f>
        <v>No tiene sello</v>
      </c>
      <c r="AK653" s="13">
        <f>IF(AJ653="No tiene sello",0,1)</f>
        <v>0</v>
      </c>
      <c r="AL653" s="13" t="str">
        <f>IF(Q653&gt;=300,"Exceso en sodio",IFERROR(IF(AND(F653=0,Q653&gt;0),"No tiene sello",IF(Q653/F653&gt;1,"Exceso en sodio","No tiene sello")),"No tiene sello"))</f>
        <v>No tiene sello</v>
      </c>
      <c r="AM653" s="13" t="str">
        <f>IFERROR(IF(F653=0,"No tiene sello",IF(+(AG653/1000)*9*100/F653&gt;1,"Exceso en grasa trans", "No tiene sello")),"No tiene sello")</f>
        <v>No tiene sello</v>
      </c>
    </row>
    <row r="654" spans="1:39" ht="13.5" customHeight="1" x14ac:dyDescent="0.25">
      <c r="A654" s="26" t="s">
        <v>414</v>
      </c>
      <c r="B654" s="26" t="s">
        <v>415</v>
      </c>
      <c r="C654" s="27"/>
      <c r="D654" s="16">
        <v>100</v>
      </c>
      <c r="E654" s="28">
        <v>62.8</v>
      </c>
      <c r="F654" s="24">
        <v>196</v>
      </c>
      <c r="G654" s="28">
        <v>822</v>
      </c>
      <c r="H654" s="24">
        <v>3.2</v>
      </c>
      <c r="I654" s="24">
        <v>10.3</v>
      </c>
      <c r="J654" s="24">
        <v>22.8</v>
      </c>
      <c r="K654" s="28">
        <v>22.8</v>
      </c>
      <c r="L654" s="28">
        <v>2.2799999999999998</v>
      </c>
      <c r="M654" s="24">
        <v>0</v>
      </c>
      <c r="N654" s="28">
        <v>0.9</v>
      </c>
      <c r="O654" s="25">
        <v>100</v>
      </c>
      <c r="P654" s="25">
        <v>0.1</v>
      </c>
      <c r="Q654" s="28">
        <v>61</v>
      </c>
      <c r="R654" s="25">
        <v>120</v>
      </c>
      <c r="S654" s="28">
        <v>0.4</v>
      </c>
      <c r="T654" s="28">
        <v>13</v>
      </c>
      <c r="U654" s="28">
        <v>183</v>
      </c>
      <c r="V654" s="28">
        <v>0.04</v>
      </c>
      <c r="W654" s="28">
        <v>0.26</v>
      </c>
      <c r="X654" s="28">
        <v>0.1</v>
      </c>
      <c r="Y654" s="28">
        <v>5</v>
      </c>
      <c r="Z654" s="28">
        <v>0.47</v>
      </c>
      <c r="AA654" s="25">
        <v>0</v>
      </c>
      <c r="AB654" s="25">
        <v>72</v>
      </c>
      <c r="AC654" s="25">
        <v>0.5</v>
      </c>
      <c r="AD654" s="28">
        <v>0</v>
      </c>
      <c r="AE654" s="28">
        <v>0</v>
      </c>
      <c r="AF654" s="28">
        <v>0</v>
      </c>
      <c r="AG654" s="28">
        <v>50</v>
      </c>
      <c r="AH654" s="24">
        <v>0</v>
      </c>
      <c r="AI654" s="28">
        <v>100</v>
      </c>
      <c r="AJ654" s="13" t="str">
        <f xml:space="preserve"> IF(AD654&gt;F654,"Exceso en grasa saturada",IFERROR(IF(F654=0,"No tiene sello",IF((AD654*9)*100/F654&gt;10,"Exceso en grasa saturada","No tiene sello")),"No tiene sello"))</f>
        <v>No tiene sello</v>
      </c>
      <c r="AK654" s="13">
        <f>IF(AJ654="No tiene sello",0,1)</f>
        <v>0</v>
      </c>
      <c r="AL654" s="13" t="str">
        <f>IF(Q654&gt;=300,"Exceso en sodio",IFERROR(IF(AND(F654=0,Q654&gt;0),"No tiene sello",IF(Q654/F654&gt;1,"Exceso en sodio","No tiene sello")),"No tiene sello"))</f>
        <v>No tiene sello</v>
      </c>
      <c r="AM654" s="13" t="str">
        <f>IFERROR(IF(F654=0,"No tiene sello",IF(+(AG654/1000)*9*100/F654&gt;1,"Exceso en grasa trans", "No tiene sello")),"No tiene sello")</f>
        <v>No tiene sello</v>
      </c>
    </row>
    <row r="655" spans="1:39" ht="13.5" customHeight="1" x14ac:dyDescent="0.25">
      <c r="A655" s="20" t="s">
        <v>412</v>
      </c>
      <c r="B655" s="20" t="s">
        <v>413</v>
      </c>
      <c r="C655" s="21"/>
      <c r="D655" s="22">
        <v>100</v>
      </c>
      <c r="E655" s="23">
        <v>84.5</v>
      </c>
      <c r="F655" s="24">
        <v>63</v>
      </c>
      <c r="G655" s="23">
        <v>266</v>
      </c>
      <c r="H655" s="24">
        <v>0.4</v>
      </c>
      <c r="I655" s="24">
        <v>0.2</v>
      </c>
      <c r="J655" s="24">
        <v>14.8</v>
      </c>
      <c r="K655" s="23">
        <v>14.8</v>
      </c>
      <c r="L655" s="23">
        <v>1.48</v>
      </c>
      <c r="M655" s="24">
        <v>0</v>
      </c>
      <c r="N655" s="23">
        <v>0.1</v>
      </c>
      <c r="O655" s="25">
        <v>55</v>
      </c>
      <c r="P655" s="25">
        <v>0.2</v>
      </c>
      <c r="Q655" s="23">
        <v>17</v>
      </c>
      <c r="R655" s="25">
        <v>18</v>
      </c>
      <c r="S655" s="23">
        <v>0.1</v>
      </c>
      <c r="T655" s="23">
        <v>5</v>
      </c>
      <c r="U655" s="23">
        <v>53</v>
      </c>
      <c r="V655" s="23">
        <v>0.04</v>
      </c>
      <c r="W655" s="23">
        <v>0.05</v>
      </c>
      <c r="X655" s="23">
        <v>0.4</v>
      </c>
      <c r="Y655" s="23">
        <v>0</v>
      </c>
      <c r="Z655" s="23">
        <v>0.13</v>
      </c>
      <c r="AA655" s="25">
        <v>0</v>
      </c>
      <c r="AB655" s="25">
        <v>5</v>
      </c>
      <c r="AC655" s="25">
        <v>0.5</v>
      </c>
      <c r="AD655" s="23">
        <v>0</v>
      </c>
      <c r="AE655" s="23">
        <v>0</v>
      </c>
      <c r="AF655" s="23">
        <v>0</v>
      </c>
      <c r="AG655" s="23">
        <v>30</v>
      </c>
      <c r="AH655" s="24">
        <v>0</v>
      </c>
      <c r="AI655" s="23">
        <v>100</v>
      </c>
      <c r="AJ655" s="13" t="str">
        <f xml:space="preserve"> IF(AD655&gt;F655,"Exceso en grasa saturada",IFERROR(IF(F655=0,"No tiene sello",IF((AD655*9)*100/F655&gt;10,"Exceso en grasa saturada","No tiene sello")),"No tiene sello"))</f>
        <v>No tiene sello</v>
      </c>
      <c r="AK655" s="13">
        <f>IF(AJ655="No tiene sello",0,1)</f>
        <v>0</v>
      </c>
      <c r="AL655" s="13" t="str">
        <f>IF(Q655&gt;=300,"Exceso en sodio",IFERROR(IF(AND(F655=0,Q655&gt;0),"No tiene sello",IF(Q655/F655&gt;1,"Exceso en sodio","No tiene sello")),"No tiene sello"))</f>
        <v>No tiene sello</v>
      </c>
      <c r="AM655" s="13" t="str">
        <f>IFERROR(IF(F655=0,"No tiene sello",IF(+(AG655/1000)*9*100/F655&gt;1,"Exceso en grasa trans", "No tiene sello")),"No tiene sello")</f>
        <v>No tiene sello</v>
      </c>
    </row>
    <row r="656" spans="1:39" ht="13.5" customHeight="1" x14ac:dyDescent="0.25">
      <c r="A656" s="26" t="s">
        <v>410</v>
      </c>
      <c r="B656" s="26" t="s">
        <v>411</v>
      </c>
      <c r="C656" s="27"/>
      <c r="D656" s="16">
        <v>100</v>
      </c>
      <c r="E656" s="28">
        <v>15.9</v>
      </c>
      <c r="F656" s="24">
        <v>330</v>
      </c>
      <c r="G656" s="28">
        <v>1402</v>
      </c>
      <c r="H656" s="24">
        <v>6.1</v>
      </c>
      <c r="I656" s="24">
        <v>0.3</v>
      </c>
      <c r="J656" s="24">
        <v>75.7</v>
      </c>
      <c r="K656" s="28">
        <v>0</v>
      </c>
      <c r="L656" s="28">
        <v>7.57</v>
      </c>
      <c r="M656" s="24">
        <v>0</v>
      </c>
      <c r="N656" s="28">
        <v>2</v>
      </c>
      <c r="O656" s="25">
        <v>190</v>
      </c>
      <c r="P656" s="25">
        <v>0.4</v>
      </c>
      <c r="Q656" s="28">
        <v>0</v>
      </c>
      <c r="R656" s="25">
        <v>191</v>
      </c>
      <c r="S656" s="28">
        <v>0</v>
      </c>
      <c r="T656" s="28">
        <v>2</v>
      </c>
      <c r="U656" s="28">
        <v>5</v>
      </c>
      <c r="V656" s="28">
        <v>0.03</v>
      </c>
      <c r="W656" s="28">
        <v>0.3</v>
      </c>
      <c r="X656" s="28">
        <v>2.2000000000000002</v>
      </c>
      <c r="Y656" s="28">
        <v>0</v>
      </c>
      <c r="Z656" s="28">
        <v>0</v>
      </c>
      <c r="AA656" s="25">
        <v>0</v>
      </c>
      <c r="AB656" s="25">
        <v>0</v>
      </c>
      <c r="AC656" s="25">
        <v>0.5</v>
      </c>
      <c r="AD656" s="28">
        <v>0</v>
      </c>
      <c r="AE656" s="28">
        <v>0</v>
      </c>
      <c r="AF656" s="28">
        <v>0</v>
      </c>
      <c r="AG656" s="28">
        <v>30</v>
      </c>
      <c r="AH656" s="24">
        <v>0</v>
      </c>
      <c r="AI656" s="28">
        <v>100</v>
      </c>
      <c r="AJ656" s="13" t="str">
        <f xml:space="preserve"> IF(AD656&gt;F656,"Exceso en grasa saturada",IFERROR(IF(F656=0,"No tiene sello",IF((AD656*9)*100/F656&gt;10,"Exceso en grasa saturada","No tiene sello")),"No tiene sello"))</f>
        <v>No tiene sello</v>
      </c>
      <c r="AK656" s="13">
        <f>IF(AJ656="No tiene sello",0,1)</f>
        <v>0</v>
      </c>
      <c r="AL656" s="13" t="str">
        <f>IF(Q656&gt;=300,"Exceso en sodio",IFERROR(IF(AND(F656=0,Q656&gt;0),"No tiene sello",IF(Q656/F656&gt;1,"Exceso en sodio","No tiene sello")),"No tiene sello"))</f>
        <v>No tiene sello</v>
      </c>
      <c r="AM656" s="13" t="str">
        <f>IFERROR(IF(F656=0,"No tiene sello",IF(+(AG656/1000)*9*100/F656&gt;1,"Exceso en grasa trans", "No tiene sello")),"No tiene sello")</f>
        <v>No tiene sello</v>
      </c>
    </row>
    <row r="657" spans="1:39" ht="13.5" customHeight="1" x14ac:dyDescent="0.25">
      <c r="A657" s="20" t="s">
        <v>408</v>
      </c>
      <c r="B657" s="20" t="s">
        <v>409</v>
      </c>
      <c r="C657" s="21"/>
      <c r="D657" s="22">
        <v>100</v>
      </c>
      <c r="E657" s="23">
        <v>16.399999999999999</v>
      </c>
      <c r="F657" s="24">
        <v>362</v>
      </c>
      <c r="G657" s="23">
        <v>1530</v>
      </c>
      <c r="H657" s="24">
        <v>7.1</v>
      </c>
      <c r="I657" s="24">
        <v>7.3</v>
      </c>
      <c r="J657" s="24">
        <v>67</v>
      </c>
      <c r="K657" s="23">
        <v>0</v>
      </c>
      <c r="L657" s="23">
        <v>6.7</v>
      </c>
      <c r="M657" s="24">
        <v>0</v>
      </c>
      <c r="N657" s="23">
        <v>2.2000000000000002</v>
      </c>
      <c r="O657" s="25">
        <v>242</v>
      </c>
      <c r="P657" s="25">
        <v>0.5</v>
      </c>
      <c r="Q657" s="23">
        <v>0</v>
      </c>
      <c r="R657" s="25">
        <v>201</v>
      </c>
      <c r="S657" s="23">
        <v>0</v>
      </c>
      <c r="T657" s="23">
        <v>0</v>
      </c>
      <c r="U657" s="23">
        <v>0</v>
      </c>
      <c r="V657" s="23">
        <v>0.05</v>
      </c>
      <c r="W657" s="23">
        <v>0.35</v>
      </c>
      <c r="X657" s="23">
        <v>0.4</v>
      </c>
      <c r="Y657" s="23">
        <v>0</v>
      </c>
      <c r="Z657" s="23">
        <v>0</v>
      </c>
      <c r="AA657" s="25">
        <v>0</v>
      </c>
      <c r="AB657" s="25">
        <v>3</v>
      </c>
      <c r="AC657" s="25">
        <v>0.5</v>
      </c>
      <c r="AD657" s="23">
        <v>0</v>
      </c>
      <c r="AE657" s="23">
        <v>0</v>
      </c>
      <c r="AF657" s="23">
        <v>0</v>
      </c>
      <c r="AG657" s="23">
        <v>50</v>
      </c>
      <c r="AH657" s="24">
        <v>0</v>
      </c>
      <c r="AI657" s="23">
        <v>100</v>
      </c>
      <c r="AJ657" s="13" t="str">
        <f xml:space="preserve"> IF(AD657&gt;F657,"Exceso en grasa saturada",IFERROR(IF(F657=0,"No tiene sello",IF((AD657*9)*100/F657&gt;10,"Exceso en grasa saturada","No tiene sello")),"No tiene sello"))</f>
        <v>No tiene sello</v>
      </c>
      <c r="AK657" s="13">
        <f>IF(AJ657="No tiene sello",0,1)</f>
        <v>0</v>
      </c>
      <c r="AL657" s="13" t="str">
        <f>IF(Q657&gt;=300,"Exceso en sodio",IFERROR(IF(AND(F657=0,Q657&gt;0),"No tiene sello",IF(Q657/F657&gt;1,"Exceso en sodio","No tiene sello")),"No tiene sello"))</f>
        <v>No tiene sello</v>
      </c>
      <c r="AM657" s="13" t="str">
        <f>IFERROR(IF(F657=0,"No tiene sello",IF(+(AG657/1000)*9*100/F657&gt;1,"Exceso en grasa trans", "No tiene sello")),"No tiene sello")</f>
        <v>No tiene sello</v>
      </c>
    </row>
    <row r="658" spans="1:39" ht="13.5" customHeight="1" x14ac:dyDescent="0.25">
      <c r="A658" s="26" t="s">
        <v>406</v>
      </c>
      <c r="B658" s="26" t="s">
        <v>407</v>
      </c>
      <c r="C658" s="27"/>
      <c r="D658" s="16">
        <v>100</v>
      </c>
      <c r="E658" s="28">
        <v>16.399999999999999</v>
      </c>
      <c r="F658" s="24">
        <v>334</v>
      </c>
      <c r="G658" s="28">
        <v>1421</v>
      </c>
      <c r="H658" s="24">
        <v>1.8</v>
      </c>
      <c r="I658" s="24">
        <v>0.2</v>
      </c>
      <c r="J658" s="24">
        <v>81.3</v>
      </c>
      <c r="K658" s="28">
        <v>81.2</v>
      </c>
      <c r="L658" s="28">
        <v>8.1300000000000008</v>
      </c>
      <c r="M658" s="24">
        <v>0.1</v>
      </c>
      <c r="N658" s="28">
        <v>0.3</v>
      </c>
      <c r="O658" s="25">
        <v>3</v>
      </c>
      <c r="P658" s="25">
        <v>0.2</v>
      </c>
      <c r="Q658" s="28">
        <v>47</v>
      </c>
      <c r="R658" s="25">
        <v>8</v>
      </c>
      <c r="S658" s="28">
        <v>0</v>
      </c>
      <c r="T658" s="28">
        <v>2</v>
      </c>
      <c r="U658" s="28">
        <v>5</v>
      </c>
      <c r="V658" s="28">
        <v>0</v>
      </c>
      <c r="W658" s="28">
        <v>0</v>
      </c>
      <c r="X658" s="28">
        <v>0.1</v>
      </c>
      <c r="Y658" s="28">
        <v>1</v>
      </c>
      <c r="Z658" s="28">
        <v>0</v>
      </c>
      <c r="AA658" s="25">
        <v>0</v>
      </c>
      <c r="AB658" s="25">
        <v>0</v>
      </c>
      <c r="AC658" s="25">
        <v>0</v>
      </c>
      <c r="AD658" s="28">
        <v>0</v>
      </c>
      <c r="AE658" s="28">
        <v>0</v>
      </c>
      <c r="AF658" s="28">
        <v>0</v>
      </c>
      <c r="AG658" s="28">
        <v>0</v>
      </c>
      <c r="AH658" s="24">
        <v>0</v>
      </c>
      <c r="AI658" s="28">
        <v>100</v>
      </c>
      <c r="AJ658" s="13" t="str">
        <f xml:space="preserve"> IF(AD658&gt;F658,"Exceso en grasa saturada",IFERROR(IF(F658=0,"No tiene sello",IF((AD658*9)*100/F658&gt;10,"Exceso en grasa saturada","No tiene sello")),"No tiene sello"))</f>
        <v>No tiene sello</v>
      </c>
      <c r="AK658" s="13">
        <f>IF(AJ658="No tiene sello",0,1)</f>
        <v>0</v>
      </c>
      <c r="AL658" s="13" t="str">
        <f>IF(Q658&gt;=300,"Exceso en sodio",IFERROR(IF(AND(F658=0,Q658&gt;0),"No tiene sello",IF(Q658/F658&gt;1,"Exceso en sodio","No tiene sello")),"No tiene sello"))</f>
        <v>No tiene sello</v>
      </c>
      <c r="AM658" s="13" t="str">
        <f>IFERROR(IF(F658=0,"No tiene sello",IF(+(AG658/1000)*9*100/F658&gt;1,"Exceso en grasa trans", "No tiene sello")),"No tiene sello")</f>
        <v>No tiene sello</v>
      </c>
    </row>
    <row r="659" spans="1:39" ht="13.5" customHeight="1" x14ac:dyDescent="0.25">
      <c r="A659" s="20" t="s">
        <v>404</v>
      </c>
      <c r="B659" s="20" t="s">
        <v>405</v>
      </c>
      <c r="C659" s="21"/>
      <c r="D659" s="22">
        <v>100</v>
      </c>
      <c r="E659" s="23">
        <v>24</v>
      </c>
      <c r="F659" s="24">
        <v>264</v>
      </c>
      <c r="G659" s="23">
        <v>1121</v>
      </c>
      <c r="H659" s="24">
        <v>0</v>
      </c>
      <c r="I659" s="24">
        <v>0.1</v>
      </c>
      <c r="J659" s="24">
        <v>65.7</v>
      </c>
      <c r="K659" s="23">
        <v>65.7</v>
      </c>
      <c r="L659" s="23">
        <v>52.56</v>
      </c>
      <c r="M659" s="24">
        <v>0</v>
      </c>
      <c r="N659" s="23">
        <v>10.199999999999999</v>
      </c>
      <c r="O659" s="25">
        <v>207</v>
      </c>
      <c r="P659" s="25">
        <v>4.7</v>
      </c>
      <c r="Q659" s="23">
        <v>37</v>
      </c>
      <c r="R659" s="25">
        <v>31</v>
      </c>
      <c r="S659" s="23">
        <v>0.3</v>
      </c>
      <c r="T659" s="23">
        <v>241</v>
      </c>
      <c r="U659" s="23">
        <v>1462</v>
      </c>
      <c r="V659" s="23">
        <v>0.04</v>
      </c>
      <c r="W659" s="23">
        <v>0</v>
      </c>
      <c r="X659" s="23">
        <v>0.9</v>
      </c>
      <c r="Y659" s="23">
        <v>0</v>
      </c>
      <c r="Z659" s="23">
        <v>0</v>
      </c>
      <c r="AA659" s="25">
        <v>0</v>
      </c>
      <c r="AB659" s="25">
        <v>0</v>
      </c>
      <c r="AC659" s="25">
        <v>0</v>
      </c>
      <c r="AD659" s="23">
        <v>0</v>
      </c>
      <c r="AE659" s="23">
        <v>0</v>
      </c>
      <c r="AF659" s="23">
        <v>0</v>
      </c>
      <c r="AG659" s="23">
        <v>0</v>
      </c>
      <c r="AH659" s="24">
        <v>0</v>
      </c>
      <c r="AI659" s="23">
        <v>100</v>
      </c>
      <c r="AJ659" s="13" t="str">
        <f xml:space="preserve"> IF(AD659&gt;F659,"Exceso en grasa saturada",IFERROR(IF(F659=0,"No tiene sello",IF((AD659*9)*100/F659&gt;10,"Exceso en grasa saturada","No tiene sello")),"No tiene sello"))</f>
        <v>No tiene sello</v>
      </c>
      <c r="AK659" s="13">
        <f>IF(AJ659="No tiene sello",0,1)</f>
        <v>0</v>
      </c>
      <c r="AL659" s="13" t="str">
        <f>IF(Q659&gt;=300,"Exceso en sodio",IFERROR(IF(AND(F659=0,Q659&gt;0),"No tiene sello",IF(Q659/F659&gt;1,"Exceso en sodio","No tiene sello")),"No tiene sello"))</f>
        <v>No tiene sello</v>
      </c>
      <c r="AM659" s="13" t="str">
        <f>IFERROR(IF(F659=0,"No tiene sello",IF(+(AG659/1000)*9*100/F659&gt;1,"Exceso en grasa trans", "No tiene sello")),"No tiene sello")</f>
        <v>No tiene sello</v>
      </c>
    </row>
    <row r="660" spans="1:39" ht="13.5" customHeight="1" x14ac:dyDescent="0.25">
      <c r="A660" s="26" t="s">
        <v>402</v>
      </c>
      <c r="B660" s="26" t="s">
        <v>403</v>
      </c>
      <c r="C660" s="27"/>
      <c r="D660" s="16">
        <v>100</v>
      </c>
      <c r="E660" s="28">
        <v>79.3</v>
      </c>
      <c r="F660" s="24">
        <v>85</v>
      </c>
      <c r="G660" s="28">
        <v>361</v>
      </c>
      <c r="H660" s="24">
        <v>0</v>
      </c>
      <c r="I660" s="24">
        <v>0.1</v>
      </c>
      <c r="J660" s="24">
        <v>20.399999999999999</v>
      </c>
      <c r="K660" s="28">
        <v>19.100000000000001</v>
      </c>
      <c r="L660" s="28">
        <v>2.04</v>
      </c>
      <c r="M660" s="24">
        <v>1.3</v>
      </c>
      <c r="N660" s="28">
        <v>0.2</v>
      </c>
      <c r="O660" s="25">
        <v>3</v>
      </c>
      <c r="P660" s="25">
        <v>0.3</v>
      </c>
      <c r="Q660" s="28">
        <v>6</v>
      </c>
      <c r="R660" s="25">
        <v>11</v>
      </c>
      <c r="S660" s="28">
        <v>0.1</v>
      </c>
      <c r="T660" s="28">
        <v>5</v>
      </c>
      <c r="U660" s="28">
        <v>95</v>
      </c>
      <c r="V660" s="28">
        <v>0.01</v>
      </c>
      <c r="W660" s="28">
        <v>0.02</v>
      </c>
      <c r="X660" s="28">
        <v>0.6</v>
      </c>
      <c r="Y660" s="28">
        <v>4</v>
      </c>
      <c r="Z660" s="28">
        <v>0</v>
      </c>
      <c r="AA660" s="25">
        <v>3</v>
      </c>
      <c r="AB660" s="25">
        <v>17</v>
      </c>
      <c r="AC660" s="25">
        <v>0</v>
      </c>
      <c r="AD660" s="28">
        <v>0</v>
      </c>
      <c r="AE660" s="28">
        <v>0</v>
      </c>
      <c r="AF660" s="28">
        <v>0</v>
      </c>
      <c r="AG660" s="28">
        <v>0</v>
      </c>
      <c r="AH660" s="24">
        <v>0</v>
      </c>
      <c r="AI660" s="28">
        <v>100</v>
      </c>
      <c r="AJ660" s="13" t="str">
        <f xml:space="preserve"> IF(AD660&gt;F660,"Exceso en grasa saturada",IFERROR(IF(F660=0,"No tiene sello",IF((AD660*9)*100/F660&gt;10,"Exceso en grasa saturada","No tiene sello")),"No tiene sello"))</f>
        <v>No tiene sello</v>
      </c>
      <c r="AK660" s="13">
        <f>IF(AJ660="No tiene sello",0,1)</f>
        <v>0</v>
      </c>
      <c r="AL660" s="13" t="str">
        <f>IF(Q660&gt;=300,"Exceso en sodio",IFERROR(IF(AND(F660=0,Q660&gt;0),"No tiene sello",IF(Q660/F660&gt;1,"Exceso en sodio","No tiene sello")),"No tiene sello"))</f>
        <v>No tiene sello</v>
      </c>
      <c r="AM660" s="13" t="str">
        <f>IFERROR(IF(F660=0,"No tiene sello",IF(+(AG660/1000)*9*100/F660&gt;1,"Exceso en grasa trans", "No tiene sello")),"No tiene sello")</f>
        <v>No tiene sello</v>
      </c>
    </row>
    <row r="661" spans="1:39" ht="13.5" customHeight="1" x14ac:dyDescent="0.25">
      <c r="A661" s="29" t="s">
        <v>400</v>
      </c>
      <c r="B661" s="29" t="s">
        <v>401</v>
      </c>
      <c r="C661" s="30"/>
      <c r="D661" s="22">
        <v>100</v>
      </c>
      <c r="E661" s="31">
        <v>32.6</v>
      </c>
      <c r="F661" s="24">
        <v>272</v>
      </c>
      <c r="G661" s="31">
        <v>1155</v>
      </c>
      <c r="H661" s="24">
        <v>0.5</v>
      </c>
      <c r="I661" s="24">
        <v>0</v>
      </c>
      <c r="J661" s="24">
        <v>66.5</v>
      </c>
      <c r="K661" s="31">
        <v>64.599999999999994</v>
      </c>
      <c r="L661" s="31">
        <v>53.2</v>
      </c>
      <c r="M661" s="24">
        <v>1.9</v>
      </c>
      <c r="N661" s="31">
        <v>0.4</v>
      </c>
      <c r="O661" s="31">
        <v>12</v>
      </c>
      <c r="P661" s="31">
        <v>0.3</v>
      </c>
      <c r="Q661" s="31">
        <v>29</v>
      </c>
      <c r="R661" s="31">
        <v>12</v>
      </c>
      <c r="S661" s="31">
        <v>0.1</v>
      </c>
      <c r="T661" s="31">
        <v>4</v>
      </c>
      <c r="U661" s="31">
        <v>79</v>
      </c>
      <c r="V661" s="31">
        <v>0.02</v>
      </c>
      <c r="W661" s="31">
        <v>0.02</v>
      </c>
      <c r="X661" s="31">
        <v>0</v>
      </c>
      <c r="Y661" s="31">
        <v>10</v>
      </c>
      <c r="Z661" s="31">
        <v>0</v>
      </c>
      <c r="AA661" s="31">
        <v>9</v>
      </c>
      <c r="AB661" s="31">
        <v>1</v>
      </c>
      <c r="AC661" s="31">
        <v>0</v>
      </c>
      <c r="AD661" s="31">
        <v>0</v>
      </c>
      <c r="AE661" s="31">
        <v>0</v>
      </c>
      <c r="AF661" s="31">
        <v>0</v>
      </c>
      <c r="AG661" s="31">
        <v>0</v>
      </c>
      <c r="AH661" s="31">
        <v>0</v>
      </c>
      <c r="AI661" s="31">
        <v>100</v>
      </c>
      <c r="AJ661" s="13" t="str">
        <f xml:space="preserve"> IF(AD661&gt;F661,"Exceso en grasa saturada",IFERROR(IF(F661=0,"No tiene sello",IF((AD661*9)*100/F661&gt;10,"Exceso en grasa saturada","No tiene sello")),"No tiene sello"))</f>
        <v>No tiene sello</v>
      </c>
      <c r="AK661" s="13">
        <f>IF(AJ661="No tiene sello",0,1)</f>
        <v>0</v>
      </c>
      <c r="AL661" s="13" t="str">
        <f>IF(Q661&gt;=300,"Exceso en sodio",IFERROR(IF(AND(F661=0,Q661&gt;0),"No tiene sello",IF(Q661/F661&gt;1,"Exceso en sodio","No tiene sello")),"No tiene sello"))</f>
        <v>No tiene sello</v>
      </c>
      <c r="AM661" s="13" t="str">
        <f>IFERROR(IF(F661=0,"No tiene sello",IF(+(AG661/1000)*9*100/F661&gt;1,"Exceso en grasa trans", "No tiene sello")),"No tiene sello")</f>
        <v>No tiene sello</v>
      </c>
    </row>
    <row r="662" spans="1:39" ht="13.5" customHeight="1" x14ac:dyDescent="0.25">
      <c r="A662" s="33" t="s">
        <v>398</v>
      </c>
      <c r="B662" s="33" t="s">
        <v>399</v>
      </c>
      <c r="C662" s="34"/>
      <c r="D662" s="16">
        <v>100</v>
      </c>
      <c r="E662" s="35">
        <v>16.899999999999999</v>
      </c>
      <c r="F662" s="24">
        <v>332</v>
      </c>
      <c r="G662" s="35">
        <v>1410</v>
      </c>
      <c r="H662" s="24">
        <v>0.6</v>
      </c>
      <c r="I662" s="24">
        <v>0</v>
      </c>
      <c r="J662" s="24">
        <v>82.4</v>
      </c>
      <c r="K662" s="35">
        <v>82.4</v>
      </c>
      <c r="L662" s="35">
        <v>65.92</v>
      </c>
      <c r="M662" s="24">
        <v>0</v>
      </c>
      <c r="N662" s="35">
        <v>0.2</v>
      </c>
      <c r="O662" s="35">
        <v>7</v>
      </c>
      <c r="P662" s="35">
        <v>0.6</v>
      </c>
      <c r="Q662" s="35">
        <v>9</v>
      </c>
      <c r="R662" s="35">
        <v>15</v>
      </c>
      <c r="S662" s="35">
        <v>0.2</v>
      </c>
      <c r="T662" s="35">
        <v>2</v>
      </c>
      <c r="U662" s="35">
        <v>53</v>
      </c>
      <c r="V662" s="35">
        <v>0</v>
      </c>
      <c r="W662" s="35">
        <v>0.04</v>
      </c>
      <c r="X662" s="35">
        <v>0.3</v>
      </c>
      <c r="Y662" s="35">
        <v>2</v>
      </c>
      <c r="Z662" s="35">
        <v>0</v>
      </c>
      <c r="AA662" s="35">
        <v>0</v>
      </c>
      <c r="AB662" s="35">
        <v>0</v>
      </c>
      <c r="AC662" s="35">
        <v>0</v>
      </c>
      <c r="AD662" s="35">
        <v>0</v>
      </c>
      <c r="AE662" s="35">
        <v>0</v>
      </c>
      <c r="AF662" s="35">
        <v>0</v>
      </c>
      <c r="AG662" s="35">
        <v>0</v>
      </c>
      <c r="AH662" s="35">
        <v>0</v>
      </c>
      <c r="AI662" s="35">
        <v>100</v>
      </c>
      <c r="AJ662" s="13" t="str">
        <f xml:space="preserve"> IF(AD662&gt;F662,"Exceso en grasa saturada",IFERROR(IF(F662=0,"No tiene sello",IF((AD662*9)*100/F662&gt;10,"Exceso en grasa saturada","No tiene sello")),"No tiene sello"))</f>
        <v>No tiene sello</v>
      </c>
      <c r="AK662" s="13">
        <f>IF(AJ662="No tiene sello",0,1)</f>
        <v>0</v>
      </c>
      <c r="AL662" s="13" t="str">
        <f>IF(Q662&gt;=300,"Exceso en sodio",IFERROR(IF(AND(F662=0,Q662&gt;0),"No tiene sello",IF(Q662/F662&gt;1,"Exceso en sodio","No tiene sello")),"No tiene sello"))</f>
        <v>No tiene sello</v>
      </c>
      <c r="AM662" s="13" t="str">
        <f>IFERROR(IF(F662=0,"No tiene sello",IF(+(AG662/1000)*9*100/F662&gt;1,"Exceso en grasa trans", "No tiene sello")),"No tiene sello")</f>
        <v>No tiene sello</v>
      </c>
    </row>
    <row r="663" spans="1:39" ht="13.5" customHeight="1" x14ac:dyDescent="0.25">
      <c r="A663" s="20" t="s">
        <v>396</v>
      </c>
      <c r="B663" s="20" t="s">
        <v>397</v>
      </c>
      <c r="C663" s="21"/>
      <c r="D663" s="22">
        <v>100</v>
      </c>
      <c r="E663" s="23">
        <v>25</v>
      </c>
      <c r="F663" s="24">
        <v>295</v>
      </c>
      <c r="G663" s="23">
        <v>1254</v>
      </c>
      <c r="H663" s="24">
        <v>0.3</v>
      </c>
      <c r="I663" s="24">
        <v>0.2</v>
      </c>
      <c r="J663" s="24">
        <v>73</v>
      </c>
      <c r="K663" s="23">
        <v>73</v>
      </c>
      <c r="L663" s="23">
        <v>58.4</v>
      </c>
      <c r="M663" s="24">
        <v>0</v>
      </c>
      <c r="N663" s="23">
        <v>1.4</v>
      </c>
      <c r="O663" s="25">
        <v>69</v>
      </c>
      <c r="P663" s="25">
        <v>1</v>
      </c>
      <c r="Q663" s="23">
        <v>0</v>
      </c>
      <c r="R663" s="25">
        <v>43</v>
      </c>
      <c r="S663" s="23">
        <v>0</v>
      </c>
      <c r="T663" s="23">
        <v>46</v>
      </c>
      <c r="U663" s="23">
        <v>425</v>
      </c>
      <c r="V663" s="23">
        <v>0.03</v>
      </c>
      <c r="W663" s="23">
        <v>0.06</v>
      </c>
      <c r="X663" s="23">
        <v>0.5</v>
      </c>
      <c r="Y663" s="23">
        <v>0</v>
      </c>
      <c r="Z663" s="23">
        <v>0</v>
      </c>
      <c r="AA663" s="25">
        <v>5</v>
      </c>
      <c r="AB663" s="25">
        <v>0</v>
      </c>
      <c r="AC663" s="25">
        <v>0</v>
      </c>
      <c r="AD663" s="23">
        <v>0</v>
      </c>
      <c r="AE663" s="23">
        <v>0</v>
      </c>
      <c r="AF663" s="23">
        <v>0</v>
      </c>
      <c r="AG663" s="23">
        <v>0</v>
      </c>
      <c r="AH663" s="24">
        <v>0</v>
      </c>
      <c r="AI663" s="23">
        <v>100</v>
      </c>
      <c r="AJ663" s="13" t="str">
        <f xml:space="preserve"> IF(AD663&gt;F663,"Exceso en grasa saturada",IFERROR(IF(F663=0,"No tiene sello",IF((AD663*9)*100/F663&gt;10,"Exceso en grasa saturada","No tiene sello")),"No tiene sello"))</f>
        <v>No tiene sello</v>
      </c>
      <c r="AK663" s="13">
        <f>IF(AJ663="No tiene sello",0,1)</f>
        <v>0</v>
      </c>
      <c r="AL663" s="13" t="str">
        <f>IF(Q663&gt;=300,"Exceso en sodio",IFERROR(IF(AND(F663=0,Q663&gt;0),"No tiene sello",IF(Q663/F663&gt;1,"Exceso en sodio","No tiene sello")),"No tiene sello"))</f>
        <v>No tiene sello</v>
      </c>
      <c r="AM663" s="13" t="str">
        <f>IFERROR(IF(F663=0,"No tiene sello",IF(+(AG663/1000)*9*100/F663&gt;1,"Exceso en grasa trans", "No tiene sello")),"No tiene sello")</f>
        <v>No tiene sello</v>
      </c>
    </row>
    <row r="664" spans="1:39" ht="13.5" customHeight="1" x14ac:dyDescent="0.25">
      <c r="A664" s="26" t="s">
        <v>394</v>
      </c>
      <c r="B664" s="26" t="s">
        <v>395</v>
      </c>
      <c r="C664" s="27"/>
      <c r="D664" s="16">
        <v>100</v>
      </c>
      <c r="E664" s="28">
        <v>7.5</v>
      </c>
      <c r="F664" s="24">
        <v>364</v>
      </c>
      <c r="G664" s="28">
        <v>1548</v>
      </c>
      <c r="H664" s="24">
        <v>0.6</v>
      </c>
      <c r="I664" s="24">
        <v>0.1</v>
      </c>
      <c r="J664" s="24">
        <v>90.2</v>
      </c>
      <c r="K664" s="28">
        <v>90.2</v>
      </c>
      <c r="L664" s="28">
        <v>72.16</v>
      </c>
      <c r="M664" s="24">
        <v>0</v>
      </c>
      <c r="N664" s="28">
        <v>1.5</v>
      </c>
      <c r="O664" s="25">
        <v>42</v>
      </c>
      <c r="P664" s="25">
        <v>4.9000000000000004</v>
      </c>
      <c r="Q664" s="28">
        <v>39</v>
      </c>
      <c r="R664" s="25">
        <v>39</v>
      </c>
      <c r="S664" s="28">
        <v>1.4</v>
      </c>
      <c r="T664" s="28">
        <v>47</v>
      </c>
      <c r="U664" s="28">
        <v>346</v>
      </c>
      <c r="V664" s="28">
        <v>0.02</v>
      </c>
      <c r="W664" s="28">
        <v>0.11</v>
      </c>
      <c r="X664" s="28">
        <v>0.3</v>
      </c>
      <c r="Y664" s="28">
        <v>1</v>
      </c>
      <c r="Z664" s="28">
        <v>0</v>
      </c>
      <c r="AA664" s="25">
        <v>0</v>
      </c>
      <c r="AB664" s="25">
        <v>0</v>
      </c>
      <c r="AC664" s="25">
        <v>0</v>
      </c>
      <c r="AD664" s="28">
        <v>0</v>
      </c>
      <c r="AE664" s="28">
        <v>0</v>
      </c>
      <c r="AF664" s="28">
        <v>0</v>
      </c>
      <c r="AG664" s="28">
        <v>0</v>
      </c>
      <c r="AH664" s="24">
        <v>0</v>
      </c>
      <c r="AI664" s="28">
        <v>100</v>
      </c>
      <c r="AJ664" s="13" t="str">
        <f xml:space="preserve"> IF(AD664&gt;F664,"Exceso en grasa saturada",IFERROR(IF(F664=0,"No tiene sello",IF((AD664*9)*100/F664&gt;10,"Exceso en grasa saturada","No tiene sello")),"No tiene sello"))</f>
        <v>No tiene sello</v>
      </c>
      <c r="AK664" s="13">
        <f>IF(AJ664="No tiene sello",0,1)</f>
        <v>0</v>
      </c>
      <c r="AL664" s="13" t="str">
        <f>IF(Q664&gt;=300,"Exceso en sodio",IFERROR(IF(AND(F664=0,Q664&gt;0),"No tiene sello",IF(Q664/F664&gt;1,"Exceso en sodio","No tiene sello")),"No tiene sello"))</f>
        <v>No tiene sello</v>
      </c>
      <c r="AM664" s="13" t="str">
        <f>IFERROR(IF(F664=0,"No tiene sello",IF(+(AG664/1000)*9*100/F664&gt;1,"Exceso en grasa trans", "No tiene sello")),"No tiene sello")</f>
        <v>No tiene sello</v>
      </c>
    </row>
    <row r="665" spans="1:39" ht="13.5" customHeight="1" x14ac:dyDescent="0.25">
      <c r="A665" s="20" t="s">
        <v>392</v>
      </c>
      <c r="B665" s="20" t="s">
        <v>393</v>
      </c>
      <c r="C665" s="21"/>
      <c r="D665" s="22">
        <v>100</v>
      </c>
      <c r="E665" s="23">
        <v>10.6</v>
      </c>
      <c r="F665" s="24">
        <v>361</v>
      </c>
      <c r="G665" s="23">
        <v>1532</v>
      </c>
      <c r="H665" s="24">
        <v>2.9</v>
      </c>
      <c r="I665" s="24">
        <v>1.8</v>
      </c>
      <c r="J665" s="24">
        <v>83.3</v>
      </c>
      <c r="K665" s="23">
        <v>0</v>
      </c>
      <c r="L665" s="23">
        <v>12.49</v>
      </c>
      <c r="M665" s="24">
        <v>0</v>
      </c>
      <c r="N665" s="23">
        <v>1.4</v>
      </c>
      <c r="O665" s="25">
        <v>134</v>
      </c>
      <c r="P665" s="25">
        <v>0.8</v>
      </c>
      <c r="Q665" s="23">
        <v>0</v>
      </c>
      <c r="R665" s="25">
        <v>80</v>
      </c>
      <c r="S665" s="23">
        <v>0</v>
      </c>
      <c r="T665" s="23">
        <v>0</v>
      </c>
      <c r="U665" s="23">
        <v>0</v>
      </c>
      <c r="V665" s="23">
        <v>0</v>
      </c>
      <c r="W665" s="23">
        <v>0.23</v>
      </c>
      <c r="X665" s="23">
        <v>0</v>
      </c>
      <c r="Y665" s="23">
        <v>0</v>
      </c>
      <c r="Z665" s="23">
        <v>0</v>
      </c>
      <c r="AA665" s="25">
        <v>0</v>
      </c>
      <c r="AB665" s="25">
        <v>5</v>
      </c>
      <c r="AC665" s="25">
        <v>0.5</v>
      </c>
      <c r="AD665" s="23">
        <v>0</v>
      </c>
      <c r="AE665" s="23">
        <v>0</v>
      </c>
      <c r="AF665" s="23">
        <v>0</v>
      </c>
      <c r="AG665" s="23">
        <v>50</v>
      </c>
      <c r="AH665" s="24">
        <v>0</v>
      </c>
      <c r="AI665" s="23">
        <v>100</v>
      </c>
      <c r="AJ665" s="13" t="str">
        <f xml:space="preserve"> IF(AD665&gt;F665,"Exceso en grasa saturada",IFERROR(IF(F665=0,"No tiene sello",IF((AD665*9)*100/F665&gt;10,"Exceso en grasa saturada","No tiene sello")),"No tiene sello"))</f>
        <v>No tiene sello</v>
      </c>
      <c r="AK665" s="13">
        <f>IF(AJ665="No tiene sello",0,1)</f>
        <v>0</v>
      </c>
      <c r="AL665" s="13" t="str">
        <f>IF(Q665&gt;=300,"Exceso en sodio",IFERROR(IF(AND(F665=0,Q665&gt;0),"No tiene sello",IF(Q665/F665&gt;1,"Exceso en sodio","No tiene sello")),"No tiene sello"))</f>
        <v>No tiene sello</v>
      </c>
      <c r="AM665" s="13" t="str">
        <f>IFERROR(IF(F665=0,"No tiene sello",IF(+(AG665/1000)*9*100/F665&gt;1,"Exceso en grasa trans", "No tiene sello")),"No tiene sello")</f>
        <v>No tiene sello</v>
      </c>
    </row>
    <row r="666" spans="1:39" ht="13.5" customHeight="1" x14ac:dyDescent="0.25">
      <c r="A666" s="26" t="s">
        <v>390</v>
      </c>
      <c r="B666" s="26" t="s">
        <v>391</v>
      </c>
      <c r="C666" s="27"/>
      <c r="D666" s="16">
        <v>100</v>
      </c>
      <c r="E666" s="28">
        <v>58.2</v>
      </c>
      <c r="F666" s="24">
        <v>165</v>
      </c>
      <c r="G666" s="28">
        <v>701</v>
      </c>
      <c r="H666" s="24">
        <v>5.4</v>
      </c>
      <c r="I666" s="24">
        <v>0.4</v>
      </c>
      <c r="J666" s="24">
        <v>35.1</v>
      </c>
      <c r="K666" s="28">
        <v>0</v>
      </c>
      <c r="L666" s="28">
        <v>24.57</v>
      </c>
      <c r="M666" s="24">
        <v>0</v>
      </c>
      <c r="N666" s="28">
        <v>1</v>
      </c>
      <c r="O666" s="25">
        <v>0</v>
      </c>
      <c r="P666" s="25">
        <v>0</v>
      </c>
      <c r="Q666" s="28">
        <v>0</v>
      </c>
      <c r="R666" s="25">
        <v>0</v>
      </c>
      <c r="S666" s="28">
        <v>0</v>
      </c>
      <c r="T666" s="28">
        <v>0</v>
      </c>
      <c r="U666" s="28">
        <v>0</v>
      </c>
      <c r="V666" s="28">
        <v>0</v>
      </c>
      <c r="W666" s="28">
        <v>0</v>
      </c>
      <c r="X666" s="28">
        <v>0</v>
      </c>
      <c r="Y666" s="28">
        <v>0</v>
      </c>
      <c r="Z666" s="28">
        <v>0</v>
      </c>
      <c r="AA666" s="25">
        <v>0</v>
      </c>
      <c r="AB666" s="25">
        <v>0</v>
      </c>
      <c r="AC666" s="25">
        <v>0</v>
      </c>
      <c r="AD666" s="28">
        <v>0</v>
      </c>
      <c r="AE666" s="28">
        <v>0</v>
      </c>
      <c r="AF666" s="28">
        <v>0</v>
      </c>
      <c r="AG666" s="28">
        <v>0</v>
      </c>
      <c r="AH666" s="24">
        <v>0</v>
      </c>
      <c r="AI666" s="28">
        <v>100</v>
      </c>
      <c r="AJ666" s="13" t="str">
        <f xml:space="preserve"> IF(AD666&gt;F666,"Exceso en grasa saturada",IFERROR(IF(F666=0,"No tiene sello",IF((AD666*9)*100/F666&gt;10,"Exceso en grasa saturada","No tiene sello")),"No tiene sello"))</f>
        <v>No tiene sello</v>
      </c>
      <c r="AK666" s="13">
        <f>IF(AJ666="No tiene sello",0,1)</f>
        <v>0</v>
      </c>
      <c r="AL666" s="13" t="str">
        <f>IF(Q666&gt;=300,"Exceso en sodio",IFERROR(IF(AND(F666=0,Q666&gt;0),"No tiene sello",IF(Q666/F666&gt;1,"Exceso en sodio","No tiene sello")),"No tiene sello"))</f>
        <v>No tiene sello</v>
      </c>
      <c r="AM666" s="13" t="str">
        <f>IFERROR(IF(F666=0,"No tiene sello",IF(+(AG666/1000)*9*100/F666&gt;1,"Exceso en grasa trans", "No tiene sello")),"No tiene sello")</f>
        <v>No tiene sello</v>
      </c>
    </row>
    <row r="667" spans="1:39" ht="13.5" customHeight="1" x14ac:dyDescent="0.25">
      <c r="A667" s="20" t="s">
        <v>1843</v>
      </c>
      <c r="B667" s="20" t="s">
        <v>1844</v>
      </c>
      <c r="C667" s="20" t="s">
        <v>1845</v>
      </c>
      <c r="D667" s="22">
        <v>100</v>
      </c>
      <c r="E667" s="23">
        <v>12.8</v>
      </c>
      <c r="F667" s="24">
        <v>285</v>
      </c>
      <c r="G667" s="23">
        <v>1192</v>
      </c>
      <c r="H667" s="24">
        <v>0.2</v>
      </c>
      <c r="I667" s="24">
        <v>0</v>
      </c>
      <c r="J667" s="24">
        <v>70.5</v>
      </c>
      <c r="K667" s="23">
        <v>70.5</v>
      </c>
      <c r="L667" s="23">
        <v>32.9</v>
      </c>
      <c r="M667" s="24">
        <v>0</v>
      </c>
      <c r="N667" s="23">
        <v>0.5</v>
      </c>
      <c r="O667" s="25">
        <v>8</v>
      </c>
      <c r="P667" s="25">
        <v>0.5</v>
      </c>
      <c r="Q667" s="23">
        <v>149</v>
      </c>
      <c r="R667" s="25">
        <v>11</v>
      </c>
      <c r="S667" s="23">
        <v>0</v>
      </c>
      <c r="T667" s="23">
        <v>2</v>
      </c>
      <c r="U667" s="23">
        <v>3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5">
        <v>0</v>
      </c>
      <c r="AB667" s="25">
        <v>0</v>
      </c>
      <c r="AC667" s="25">
        <v>0</v>
      </c>
      <c r="AD667" s="23">
        <v>0</v>
      </c>
      <c r="AE667" s="23">
        <v>0</v>
      </c>
      <c r="AF667" s="23">
        <v>0</v>
      </c>
      <c r="AG667" s="23">
        <v>0</v>
      </c>
      <c r="AH667" s="24">
        <v>0</v>
      </c>
      <c r="AI667" s="23">
        <v>100</v>
      </c>
      <c r="AJ667" s="13" t="str">
        <f xml:space="preserve"> IF(AD667&gt;F667,"Exceso en grasa saturada",IFERROR(IF(F667=0,"No tiene sello",IF((AD667*9)*100/F667&gt;10,"Exceso en grasa saturada","No tiene sello")),"No tiene sello"))</f>
        <v>No tiene sello</v>
      </c>
      <c r="AK667" s="13">
        <f>IF(AJ667="No tiene sello",0,1)</f>
        <v>0</v>
      </c>
      <c r="AL667" s="13" t="str">
        <f>IF(Q667&gt;=300,"Exceso en sodio",IFERROR(IF(AND(F667=0,Q667&gt;0),"No tiene sello",IF(Q667/F667&gt;1,"Exceso en sodio","No tiene sello")),"No tiene sello"))</f>
        <v>No tiene sello</v>
      </c>
      <c r="AM667" s="13" t="str">
        <f>IFERROR(IF(F667=0,"No tiene sello",IF(+(AG667/1000)*9*100/F667&gt;1,"Exceso en grasa trans", "No tiene sello")),"No tiene sello")</f>
        <v>No tiene sello</v>
      </c>
    </row>
    <row r="668" spans="1:39" ht="13.5" customHeight="1" x14ac:dyDescent="0.25">
      <c r="A668" s="20" t="s">
        <v>388</v>
      </c>
      <c r="B668" s="20" t="s">
        <v>389</v>
      </c>
      <c r="C668" s="20" t="s">
        <v>3</v>
      </c>
      <c r="D668" s="46">
        <v>100</v>
      </c>
      <c r="E668" s="23">
        <v>3.1</v>
      </c>
      <c r="F668" s="24">
        <v>392</v>
      </c>
      <c r="G668" s="23">
        <v>1662</v>
      </c>
      <c r="H668" s="24">
        <v>4.4000000000000004</v>
      </c>
      <c r="I668" s="24">
        <v>5.3</v>
      </c>
      <c r="J668" s="24">
        <v>81.8</v>
      </c>
      <c r="K668" s="23">
        <v>81.8</v>
      </c>
      <c r="L668" s="23">
        <v>8.18</v>
      </c>
      <c r="M668" s="24">
        <v>0</v>
      </c>
      <c r="N668" s="23">
        <v>5.4</v>
      </c>
      <c r="O668" s="25">
        <v>11</v>
      </c>
      <c r="P668" s="25">
        <v>1.4</v>
      </c>
      <c r="Q668" s="23">
        <v>0</v>
      </c>
      <c r="R668" s="25">
        <v>95</v>
      </c>
      <c r="S668" s="23">
        <v>0</v>
      </c>
      <c r="T668" s="23">
        <v>0</v>
      </c>
      <c r="U668" s="23">
        <v>0</v>
      </c>
      <c r="V668" s="23">
        <v>0.11</v>
      </c>
      <c r="W668" s="23">
        <v>0.2</v>
      </c>
      <c r="X668" s="23">
        <v>2</v>
      </c>
      <c r="Y668" s="23">
        <v>0</v>
      </c>
      <c r="Z668" s="23">
        <v>0</v>
      </c>
      <c r="AA668" s="25">
        <v>0</v>
      </c>
      <c r="AB668" s="25">
        <v>110</v>
      </c>
      <c r="AC668" s="25">
        <v>0</v>
      </c>
      <c r="AD668" s="23">
        <v>0</v>
      </c>
      <c r="AE668" s="23">
        <v>0</v>
      </c>
      <c r="AF668" s="23">
        <v>0</v>
      </c>
      <c r="AG668" s="23">
        <v>0</v>
      </c>
      <c r="AH668" s="24">
        <v>0</v>
      </c>
      <c r="AI668" s="23">
        <v>100</v>
      </c>
      <c r="AJ668" s="13" t="str">
        <f xml:space="preserve"> IF(AD668&gt;F668,"Exceso en grasa saturada",IFERROR(IF(F668=0,"No tiene sello",IF((AD668*9)*100/F668&gt;10,"Exceso en grasa saturada","No tiene sello")),"No tiene sello"))</f>
        <v>No tiene sello</v>
      </c>
      <c r="AK668" s="13">
        <f>IF(AJ668="No tiene sello",0,1)</f>
        <v>0</v>
      </c>
      <c r="AL668" s="13" t="str">
        <f>IF(Q668&gt;=300,"Exceso en sodio",IFERROR(IF(AND(F668=0,Q668&gt;0),"No tiene sello",IF(Q668/F668&gt;1,"Exceso en sodio","No tiene sello")),"No tiene sello"))</f>
        <v>No tiene sello</v>
      </c>
      <c r="AM668" s="13" t="str">
        <f>IFERROR(IF(F668=0,"No tiene sello",IF(+(AG668/1000)*9*100/F668&gt;1,"Exceso en grasa trans", "No tiene sello")),"No tiene sello")</f>
        <v>No tiene sello</v>
      </c>
    </row>
    <row r="669" spans="1:39" ht="13.5" customHeight="1" x14ac:dyDescent="0.25">
      <c r="A669" s="26" t="s">
        <v>386</v>
      </c>
      <c r="B669" s="26" t="s">
        <v>387</v>
      </c>
      <c r="C669" s="27"/>
      <c r="D669" s="47">
        <v>100</v>
      </c>
      <c r="E669" s="28">
        <v>98.7</v>
      </c>
      <c r="F669" s="24">
        <v>7</v>
      </c>
      <c r="G669" s="28">
        <v>30</v>
      </c>
      <c r="H669" s="24">
        <v>0</v>
      </c>
      <c r="I669" s="24">
        <v>0.2</v>
      </c>
      <c r="J669" s="24">
        <v>0.9</v>
      </c>
      <c r="K669" s="28">
        <v>0.3</v>
      </c>
      <c r="L669" s="28">
        <v>0.09</v>
      </c>
      <c r="M669" s="24">
        <v>0.6</v>
      </c>
      <c r="N669" s="28">
        <v>0.1</v>
      </c>
      <c r="O669" s="25">
        <v>0</v>
      </c>
      <c r="P669" s="25">
        <v>0</v>
      </c>
      <c r="Q669" s="28">
        <v>0</v>
      </c>
      <c r="R669" s="25">
        <v>0</v>
      </c>
      <c r="S669" s="28">
        <v>0</v>
      </c>
      <c r="T669" s="28">
        <v>0</v>
      </c>
      <c r="U669" s="28">
        <v>0</v>
      </c>
      <c r="V669" s="28">
        <v>0</v>
      </c>
      <c r="W669" s="28">
        <v>0</v>
      </c>
      <c r="X669" s="28">
        <v>0</v>
      </c>
      <c r="Y669" s="28">
        <v>0</v>
      </c>
      <c r="Z669" s="28">
        <v>0</v>
      </c>
      <c r="AA669" s="25">
        <v>0</v>
      </c>
      <c r="AB669" s="25">
        <v>0</v>
      </c>
      <c r="AC669" s="25">
        <v>0</v>
      </c>
      <c r="AD669" s="28">
        <v>0</v>
      </c>
      <c r="AE669" s="28">
        <v>0</v>
      </c>
      <c r="AF669" s="28">
        <v>0</v>
      </c>
      <c r="AG669" s="28">
        <v>0</v>
      </c>
      <c r="AH669" s="24">
        <v>0</v>
      </c>
      <c r="AI669" s="28"/>
      <c r="AJ669" s="13" t="str">
        <f xml:space="preserve"> IF(AD669&gt;F669,"Exceso en grasa saturada",IFERROR(IF(F669=0,"No tiene sello",IF((AD669*9)*100/F669&gt;10,"Exceso en grasa saturada","No tiene sello")),"No tiene sello"))</f>
        <v>No tiene sello</v>
      </c>
      <c r="AK669" s="13">
        <f>IF(AJ669="No tiene sello",0,1)</f>
        <v>0</v>
      </c>
      <c r="AL669" s="13" t="str">
        <f>IF(Q669&gt;=300,"Exceso en sodio",IFERROR(IF(AND(F669=0,Q669&gt;0),"No tiene sello",IF(Q669/F669&gt;1,"Exceso en sodio","No tiene sello")),"No tiene sello"))</f>
        <v>No tiene sello</v>
      </c>
      <c r="AM669" s="13" t="str">
        <f>IFERROR(IF(F669=0,"No tiene sello",IF(+(AG669/1000)*9*100/F669&gt;1,"Exceso en grasa trans", "No tiene sello")),"No tiene sello")</f>
        <v>No tiene sello</v>
      </c>
    </row>
    <row r="670" spans="1:39" ht="13.5" customHeight="1" x14ac:dyDescent="0.25">
      <c r="A670" s="20" t="s">
        <v>384</v>
      </c>
      <c r="B670" s="20" t="s">
        <v>385</v>
      </c>
      <c r="C670" s="20" t="s">
        <v>3</v>
      </c>
      <c r="D670" s="46">
        <v>100</v>
      </c>
      <c r="E670" s="23">
        <v>6.9</v>
      </c>
      <c r="F670" s="24">
        <v>468</v>
      </c>
      <c r="G670" s="23">
        <v>1960</v>
      </c>
      <c r="H670" s="24">
        <v>14.4</v>
      </c>
      <c r="I670" s="24">
        <v>22.5</v>
      </c>
      <c r="J670" s="24">
        <v>51.9</v>
      </c>
      <c r="K670" s="23">
        <v>51.9</v>
      </c>
      <c r="L670" s="23">
        <v>5.19</v>
      </c>
      <c r="M670" s="24">
        <v>0</v>
      </c>
      <c r="N670" s="23">
        <v>4.3</v>
      </c>
      <c r="O670" s="25">
        <v>130</v>
      </c>
      <c r="P670" s="25">
        <v>5.8</v>
      </c>
      <c r="Q670" s="23">
        <v>4</v>
      </c>
      <c r="R670" s="25">
        <v>500</v>
      </c>
      <c r="S670" s="23">
        <v>0</v>
      </c>
      <c r="T670" s="23">
        <v>0</v>
      </c>
      <c r="U670" s="23">
        <v>830</v>
      </c>
      <c r="V670" s="23">
        <v>0.18</v>
      </c>
      <c r="W670" s="23">
        <v>0.16</v>
      </c>
      <c r="X670" s="23">
        <v>1.9</v>
      </c>
      <c r="Y670" s="23">
        <v>0</v>
      </c>
      <c r="Z670" s="23">
        <v>0</v>
      </c>
      <c r="AA670" s="25">
        <v>3</v>
      </c>
      <c r="AB670" s="25">
        <v>4</v>
      </c>
      <c r="AC670" s="25">
        <v>0</v>
      </c>
      <c r="AD670" s="23">
        <v>0</v>
      </c>
      <c r="AE670" s="23">
        <v>0</v>
      </c>
      <c r="AF670" s="23">
        <v>0</v>
      </c>
      <c r="AG670" s="23">
        <v>0</v>
      </c>
      <c r="AH670" s="24">
        <v>0</v>
      </c>
      <c r="AI670" s="23">
        <v>100</v>
      </c>
      <c r="AJ670" s="13" t="str">
        <f xml:space="preserve"> IF(AD670&gt;F670,"Exceso en grasa saturada",IFERROR(IF(F670=0,"No tiene sello",IF((AD670*9)*100/F670&gt;10,"Exceso en grasa saturada","No tiene sello")),"No tiene sello"))</f>
        <v>No tiene sello</v>
      </c>
      <c r="AK670" s="13">
        <f>IF(AJ670="No tiene sello",0,1)</f>
        <v>0</v>
      </c>
      <c r="AL670" s="13" t="str">
        <f>IF(Q670&gt;=300,"Exceso en sodio",IFERROR(IF(AND(F670=0,Q670&gt;0),"No tiene sello",IF(Q670/F670&gt;1,"Exceso en sodio","No tiene sello")),"No tiene sello"))</f>
        <v>No tiene sello</v>
      </c>
      <c r="AM670" s="13" t="str">
        <f>IFERROR(IF(F670=0,"No tiene sello",IF(+(AG670/1000)*9*100/F670&gt;1,"Exceso en grasa trans", "No tiene sello")),"No tiene sello")</f>
        <v>No tiene sello</v>
      </c>
    </row>
    <row r="671" spans="1:39" ht="13.5" customHeight="1" x14ac:dyDescent="0.25">
      <c r="A671" s="33" t="s">
        <v>382</v>
      </c>
      <c r="B671" s="33" t="s">
        <v>383</v>
      </c>
      <c r="C671" s="34"/>
      <c r="D671" s="47">
        <v>100</v>
      </c>
      <c r="E671" s="35">
        <v>3.2</v>
      </c>
      <c r="F671" s="24">
        <v>371</v>
      </c>
      <c r="G671" s="35">
        <v>1576</v>
      </c>
      <c r="H671" s="24">
        <v>11.6</v>
      </c>
      <c r="I671" s="24">
        <v>0.2</v>
      </c>
      <c r="J671" s="24">
        <v>80.7</v>
      </c>
      <c r="K671" s="35">
        <v>80.7</v>
      </c>
      <c r="L671" s="35">
        <v>8.07</v>
      </c>
      <c r="M671" s="24">
        <v>0</v>
      </c>
      <c r="N671" s="35">
        <v>4.3</v>
      </c>
      <c r="O671" s="35">
        <v>140</v>
      </c>
      <c r="P671" s="35">
        <v>3.8</v>
      </c>
      <c r="Q671" s="35">
        <v>23</v>
      </c>
      <c r="R671" s="35">
        <v>3</v>
      </c>
      <c r="S671" s="35">
        <v>0.1</v>
      </c>
      <c r="T671" s="35">
        <v>311</v>
      </c>
      <c r="U671" s="35">
        <v>3501</v>
      </c>
      <c r="V671" s="35">
        <v>0</v>
      </c>
      <c r="W671" s="35">
        <v>1.36</v>
      </c>
      <c r="X671" s="35">
        <v>28.1</v>
      </c>
      <c r="Y671" s="35">
        <v>0</v>
      </c>
      <c r="Z671" s="35">
        <v>0</v>
      </c>
      <c r="AA671" s="35">
        <v>0</v>
      </c>
      <c r="AB671" s="35">
        <v>0</v>
      </c>
      <c r="AC671" s="35">
        <v>0</v>
      </c>
      <c r="AD671" s="35">
        <v>0</v>
      </c>
      <c r="AE671" s="35">
        <v>0</v>
      </c>
      <c r="AF671" s="35">
        <v>0</v>
      </c>
      <c r="AG671" s="35">
        <v>0</v>
      </c>
      <c r="AH671" s="35">
        <v>0</v>
      </c>
      <c r="AI671" s="35">
        <v>100</v>
      </c>
      <c r="AJ671" s="13" t="str">
        <f xml:space="preserve"> IF(AD671&gt;F671,"Exceso en grasa saturada",IFERROR(IF(F671=0,"No tiene sello",IF((AD671*9)*100/F671&gt;10,"Exceso en grasa saturada","No tiene sello")),"No tiene sello"))</f>
        <v>No tiene sello</v>
      </c>
      <c r="AK671" s="13">
        <f>IF(AJ671="No tiene sello",0,1)</f>
        <v>0</v>
      </c>
      <c r="AL671" s="13" t="str">
        <f>IF(Q671&gt;=300,"Exceso en sodio",IFERROR(IF(AND(F671=0,Q671&gt;0),"No tiene sello",IF(Q671/F671&gt;1,"Exceso en sodio","No tiene sello")),"No tiene sello"))</f>
        <v>No tiene sello</v>
      </c>
      <c r="AM671" s="13" t="str">
        <f>IFERROR(IF(F671=0,"No tiene sello",IF(+(AG671/1000)*9*100/F671&gt;1,"Exceso en grasa trans", "No tiene sello")),"No tiene sello")</f>
        <v>No tiene sello</v>
      </c>
    </row>
    <row r="672" spans="1:39" ht="13.5" customHeight="1" x14ac:dyDescent="0.25">
      <c r="A672" s="20" t="s">
        <v>380</v>
      </c>
      <c r="B672" s="20" t="s">
        <v>381</v>
      </c>
      <c r="C672" s="21"/>
      <c r="D672" s="46">
        <v>100</v>
      </c>
      <c r="E672" s="23">
        <v>3.1</v>
      </c>
      <c r="F672" s="24">
        <v>355</v>
      </c>
      <c r="G672" s="23">
        <v>1506</v>
      </c>
      <c r="H672" s="24">
        <v>13</v>
      </c>
      <c r="I672" s="24">
        <v>0.4</v>
      </c>
      <c r="J672" s="24">
        <v>74.7</v>
      </c>
      <c r="K672" s="23">
        <v>74.7</v>
      </c>
      <c r="L672" s="23">
        <v>7.47</v>
      </c>
      <c r="M672" s="24">
        <v>0</v>
      </c>
      <c r="N672" s="23">
        <v>8.8000000000000007</v>
      </c>
      <c r="O672" s="25">
        <v>141</v>
      </c>
      <c r="P672" s="25">
        <v>4.4000000000000004</v>
      </c>
      <c r="Q672" s="23">
        <v>38</v>
      </c>
      <c r="R672" s="25">
        <v>303</v>
      </c>
      <c r="S672" s="23">
        <v>0.4</v>
      </c>
      <c r="T672" s="23">
        <v>326</v>
      </c>
      <c r="U672" s="23">
        <v>3630</v>
      </c>
      <c r="V672" s="23">
        <v>0.01</v>
      </c>
      <c r="W672" s="23">
        <v>0.08</v>
      </c>
      <c r="X672" s="23">
        <v>28.2</v>
      </c>
      <c r="Y672" s="23">
        <v>1</v>
      </c>
      <c r="Z672" s="23">
        <v>0</v>
      </c>
      <c r="AA672" s="25">
        <v>0</v>
      </c>
      <c r="AB672" s="25">
        <v>0</v>
      </c>
      <c r="AC672" s="25">
        <v>0</v>
      </c>
      <c r="AD672" s="23">
        <v>0</v>
      </c>
      <c r="AE672" s="23">
        <v>0</v>
      </c>
      <c r="AF672" s="23">
        <v>0</v>
      </c>
      <c r="AG672" s="23">
        <v>0</v>
      </c>
      <c r="AH672" s="24">
        <v>0</v>
      </c>
      <c r="AI672" s="23">
        <v>100</v>
      </c>
      <c r="AJ672" s="13" t="str">
        <f xml:space="preserve"> IF(AD672&gt;F672,"Exceso en grasa saturada",IFERROR(IF(F672=0,"No tiene sello",IF((AD672*9)*100/F672&gt;10,"Exceso en grasa saturada","No tiene sello")),"No tiene sello"))</f>
        <v>No tiene sello</v>
      </c>
      <c r="AK672" s="13">
        <f>IF(AJ672="No tiene sello",0,1)</f>
        <v>0</v>
      </c>
      <c r="AL672" s="13" t="str">
        <f>IF(Q672&gt;=300,"Exceso en sodio",IFERROR(IF(AND(F672=0,Q672&gt;0),"No tiene sello",IF(Q672/F672&gt;1,"Exceso en sodio","No tiene sello")),"No tiene sello"))</f>
        <v>No tiene sello</v>
      </c>
      <c r="AM672" s="13" t="str">
        <f>IFERROR(IF(F672=0,"No tiene sello",IF(+(AG672/1000)*9*100/F672&gt;1,"Exceso en grasa trans", "No tiene sello")),"No tiene sello")</f>
        <v>No tiene sello</v>
      </c>
    </row>
    <row r="673" spans="1:39" ht="13.5" customHeight="1" x14ac:dyDescent="0.25">
      <c r="A673" s="26" t="s">
        <v>378</v>
      </c>
      <c r="B673" s="26" t="s">
        <v>379</v>
      </c>
      <c r="C673" s="27"/>
      <c r="D673" s="47">
        <v>100</v>
      </c>
      <c r="E673" s="28">
        <v>2.1</v>
      </c>
      <c r="F673" s="24">
        <v>479</v>
      </c>
      <c r="G673" s="28">
        <v>2008</v>
      </c>
      <c r="H673" s="24">
        <v>14.2</v>
      </c>
      <c r="I673" s="24">
        <v>12.3</v>
      </c>
      <c r="J673" s="24">
        <v>67.5</v>
      </c>
      <c r="K673" s="28">
        <v>46.9</v>
      </c>
      <c r="L673" s="28">
        <v>6.75</v>
      </c>
      <c r="M673" s="24">
        <v>20.5</v>
      </c>
      <c r="N673" s="28">
        <v>3.9</v>
      </c>
      <c r="O673" s="25">
        <v>130</v>
      </c>
      <c r="P673" s="25">
        <v>5.8</v>
      </c>
      <c r="Q673" s="28">
        <v>1</v>
      </c>
      <c r="R673" s="25">
        <v>223</v>
      </c>
      <c r="S673" s="28">
        <v>0.5</v>
      </c>
      <c r="T673" s="28">
        <v>165</v>
      </c>
      <c r="U673" s="28">
        <v>1609</v>
      </c>
      <c r="V673" s="28">
        <v>7.0000000000000007E-2</v>
      </c>
      <c r="W673" s="28">
        <v>0.1</v>
      </c>
      <c r="X673" s="28">
        <v>31.6</v>
      </c>
      <c r="Y673" s="28">
        <v>3</v>
      </c>
      <c r="Z673" s="28">
        <v>0</v>
      </c>
      <c r="AA673" s="25">
        <v>0</v>
      </c>
      <c r="AB673" s="25">
        <v>0</v>
      </c>
      <c r="AC673" s="25">
        <v>0</v>
      </c>
      <c r="AD673" s="28">
        <v>0</v>
      </c>
      <c r="AE673" s="28">
        <v>0</v>
      </c>
      <c r="AF673" s="28">
        <v>0</v>
      </c>
      <c r="AG673" s="28">
        <v>0</v>
      </c>
      <c r="AH673" s="24">
        <v>0</v>
      </c>
      <c r="AI673" s="28">
        <v>100</v>
      </c>
      <c r="AJ673" s="13" t="str">
        <f xml:space="preserve"> IF(AD673&gt;F673,"Exceso en grasa saturada",IFERROR(IF(F673=0,"No tiene sello",IF((AD673*9)*100/F673&gt;10,"Exceso en grasa saturada","No tiene sello")),"No tiene sello"))</f>
        <v>No tiene sello</v>
      </c>
      <c r="AK673" s="13">
        <f>IF(AJ673="No tiene sello",0,1)</f>
        <v>0</v>
      </c>
      <c r="AL673" s="13" t="str">
        <f>IF(Q673&gt;=300,"Exceso en sodio",IFERROR(IF(AND(F673=0,Q673&gt;0),"No tiene sello",IF(Q673/F673&gt;1,"Exceso en sodio","No tiene sello")),"No tiene sello"))</f>
        <v>No tiene sello</v>
      </c>
      <c r="AM673" s="13" t="str">
        <f>IFERROR(IF(F673=0,"No tiene sello",IF(+(AG673/1000)*9*100/F673&gt;1,"Exceso en grasa trans", "No tiene sello")),"No tiene sello")</f>
        <v>No tiene sello</v>
      </c>
    </row>
    <row r="674" spans="1:39" ht="13.5" customHeight="1" x14ac:dyDescent="0.25">
      <c r="A674" s="20" t="s">
        <v>376</v>
      </c>
      <c r="B674" s="20" t="s">
        <v>377</v>
      </c>
      <c r="C674" s="21"/>
      <c r="D674" s="46">
        <v>100</v>
      </c>
      <c r="E674" s="23">
        <v>4.0999999999999996</v>
      </c>
      <c r="F674" s="24">
        <v>259</v>
      </c>
      <c r="G674" s="23">
        <v>1076</v>
      </c>
      <c r="H674" s="24">
        <v>16.899999999999999</v>
      </c>
      <c r="I674" s="24">
        <v>20.3</v>
      </c>
      <c r="J674" s="24">
        <v>2.2000000000000002</v>
      </c>
      <c r="K674" s="23">
        <v>2.2000000000000002</v>
      </c>
      <c r="L674" s="23">
        <v>0.22</v>
      </c>
      <c r="M674" s="24">
        <v>0</v>
      </c>
      <c r="N674" s="23">
        <v>56.5</v>
      </c>
      <c r="O674" s="25">
        <v>60</v>
      </c>
      <c r="P674" s="25">
        <v>2.2000000000000002</v>
      </c>
      <c r="Q674" s="23">
        <v>20720</v>
      </c>
      <c r="R674" s="25">
        <v>228</v>
      </c>
      <c r="S674" s="23">
        <v>0.2</v>
      </c>
      <c r="T674" s="23">
        <v>51</v>
      </c>
      <c r="U674" s="23">
        <v>424</v>
      </c>
      <c r="V674" s="23">
        <v>0.28999999999999998</v>
      </c>
      <c r="W674" s="23">
        <v>0.24</v>
      </c>
      <c r="X674" s="23">
        <v>3.3</v>
      </c>
      <c r="Y674" s="23">
        <v>32</v>
      </c>
      <c r="Z674" s="23">
        <v>1</v>
      </c>
      <c r="AA674" s="25">
        <v>0</v>
      </c>
      <c r="AB674" s="25">
        <v>0</v>
      </c>
      <c r="AC674" s="25">
        <v>0</v>
      </c>
      <c r="AD674" s="23">
        <v>0</v>
      </c>
      <c r="AE674" s="23">
        <v>0</v>
      </c>
      <c r="AF674" s="23">
        <v>0</v>
      </c>
      <c r="AG674" s="23">
        <v>50</v>
      </c>
      <c r="AH674" s="24">
        <v>0</v>
      </c>
      <c r="AI674" s="23">
        <v>100</v>
      </c>
      <c r="AJ674" s="13" t="str">
        <f xml:space="preserve"> IF(AD674&gt;F674,"Exceso en grasa saturada",IFERROR(IF(F674=0,"No tiene sello",IF((AD674*9)*100/F674&gt;10,"Exceso en grasa saturada","No tiene sello")),"No tiene sello"))</f>
        <v>No tiene sello</v>
      </c>
      <c r="AK674" s="13">
        <f>IF(AJ674="No tiene sello",0,1)</f>
        <v>0</v>
      </c>
      <c r="AL674" s="13" t="str">
        <f>IF(Q674&gt;=300,"Exceso en sodio",IFERROR(IF(AND(F674=0,Q674&gt;0),"No tiene sello",IF(Q674/F674&gt;1,"Exceso en sodio","No tiene sello")),"No tiene sello"))</f>
        <v>Exceso en sodio</v>
      </c>
      <c r="AM674" s="13" t="str">
        <f>IFERROR(IF(F674=0,"No tiene sello",IF(+(AG674/1000)*9*100/F674&gt;1,"Exceso en grasa trans", "No tiene sello")),"No tiene sello")</f>
        <v>No tiene sello</v>
      </c>
    </row>
    <row r="675" spans="1:39" ht="13.5" customHeight="1" x14ac:dyDescent="0.25">
      <c r="A675" s="26" t="s">
        <v>374</v>
      </c>
      <c r="B675" s="26" t="s">
        <v>375</v>
      </c>
      <c r="C675" s="27"/>
      <c r="D675" s="47">
        <v>100</v>
      </c>
      <c r="E675" s="28">
        <v>1.3</v>
      </c>
      <c r="F675" s="24">
        <v>622</v>
      </c>
      <c r="G675" s="28">
        <v>2586</v>
      </c>
      <c r="H675" s="24">
        <v>4.9000000000000004</v>
      </c>
      <c r="I675" s="24">
        <v>42.6</v>
      </c>
      <c r="J675" s="24">
        <v>49.3</v>
      </c>
      <c r="K675" s="28">
        <v>38.4</v>
      </c>
      <c r="L675" s="28">
        <v>4.93</v>
      </c>
      <c r="M675" s="24">
        <v>10.9</v>
      </c>
      <c r="N675" s="28">
        <v>1.8</v>
      </c>
      <c r="O675" s="25">
        <v>80</v>
      </c>
      <c r="P675" s="25">
        <v>3.6</v>
      </c>
      <c r="Q675" s="28">
        <v>17</v>
      </c>
      <c r="R675" s="25">
        <v>220</v>
      </c>
      <c r="S675" s="28">
        <v>2.9</v>
      </c>
      <c r="T675" s="28">
        <v>186</v>
      </c>
      <c r="U675" s="28">
        <v>432</v>
      </c>
      <c r="V675" s="28">
        <v>0.04</v>
      </c>
      <c r="W675" s="28">
        <v>0.04</v>
      </c>
      <c r="X675" s="28">
        <v>1.1000000000000001</v>
      </c>
      <c r="Y675" s="28">
        <v>6</v>
      </c>
      <c r="Z675" s="28">
        <v>0.28000000000000003</v>
      </c>
      <c r="AA675" s="25">
        <v>0</v>
      </c>
      <c r="AB675" s="25">
        <v>2</v>
      </c>
      <c r="AC675" s="25">
        <v>0</v>
      </c>
      <c r="AD675" s="28">
        <v>0</v>
      </c>
      <c r="AE675" s="28">
        <v>0</v>
      </c>
      <c r="AF675" s="28">
        <v>0</v>
      </c>
      <c r="AG675" s="28">
        <v>50</v>
      </c>
      <c r="AH675" s="24">
        <v>0</v>
      </c>
      <c r="AI675" s="28">
        <v>100</v>
      </c>
      <c r="AJ675" s="13" t="str">
        <f xml:space="preserve"> IF(AD675&gt;F675,"Exceso en grasa saturada",IFERROR(IF(F675=0,"No tiene sello",IF((AD675*9)*100/F675&gt;10,"Exceso en grasa saturada","No tiene sello")),"No tiene sello"))</f>
        <v>No tiene sello</v>
      </c>
      <c r="AK675" s="13">
        <f>IF(AJ675="No tiene sello",0,1)</f>
        <v>0</v>
      </c>
      <c r="AL675" s="13" t="str">
        <f>IF(Q675&gt;=300,"Exceso en sodio",IFERROR(IF(AND(F675=0,Q675&gt;0),"No tiene sello",IF(Q675/F675&gt;1,"Exceso en sodio","No tiene sello")),"No tiene sello"))</f>
        <v>No tiene sello</v>
      </c>
      <c r="AM675" s="13" t="str">
        <f>IFERROR(IF(F675=0,"No tiene sello",IF(+(AG675/1000)*9*100/F675&gt;1,"Exceso en grasa trans", "No tiene sello")),"No tiene sello")</f>
        <v>No tiene sello</v>
      </c>
    </row>
    <row r="676" spans="1:39" ht="13.5" customHeight="1" x14ac:dyDescent="0.25">
      <c r="A676" s="20" t="s">
        <v>372</v>
      </c>
      <c r="B676" s="20" t="s">
        <v>373</v>
      </c>
      <c r="C676" s="21"/>
      <c r="D676" s="46">
        <v>100</v>
      </c>
      <c r="E676" s="23">
        <v>2.9</v>
      </c>
      <c r="F676" s="24">
        <v>488</v>
      </c>
      <c r="G676" s="23">
        <v>2040</v>
      </c>
      <c r="H676" s="24">
        <v>19.5</v>
      </c>
      <c r="I676" s="24">
        <v>10.8</v>
      </c>
      <c r="J676" s="24">
        <v>59.7</v>
      </c>
      <c r="K676" s="23">
        <v>22.7</v>
      </c>
      <c r="L676" s="23">
        <v>5.97</v>
      </c>
      <c r="M676" s="24">
        <v>37</v>
      </c>
      <c r="N676" s="23">
        <v>7.2</v>
      </c>
      <c r="O676" s="25">
        <v>144</v>
      </c>
      <c r="P676" s="25">
        <v>13.3</v>
      </c>
      <c r="Q676" s="23">
        <v>21</v>
      </c>
      <c r="R676" s="25">
        <v>746</v>
      </c>
      <c r="S676" s="23">
        <v>5.8</v>
      </c>
      <c r="T676" s="23">
        <v>499</v>
      </c>
      <c r="U676" s="23">
        <v>1524</v>
      </c>
      <c r="V676" s="23">
        <v>0.08</v>
      </c>
      <c r="W676" s="23">
        <v>0.23</v>
      </c>
      <c r="X676" s="23">
        <v>2.2000000000000002</v>
      </c>
      <c r="Y676" s="23">
        <v>32</v>
      </c>
      <c r="Z676" s="23">
        <v>0</v>
      </c>
      <c r="AA676" s="25">
        <v>0</v>
      </c>
      <c r="AB676" s="25">
        <v>0</v>
      </c>
      <c r="AC676" s="25">
        <v>0</v>
      </c>
      <c r="AD676" s="23">
        <v>0</v>
      </c>
      <c r="AE676" s="23">
        <v>0</v>
      </c>
      <c r="AF676" s="23">
        <v>0</v>
      </c>
      <c r="AG676" s="23">
        <v>0</v>
      </c>
      <c r="AH676" s="24">
        <v>0</v>
      </c>
      <c r="AI676" s="23">
        <v>100</v>
      </c>
      <c r="AJ676" s="13" t="str">
        <f xml:space="preserve"> IF(AD676&gt;F676,"Exceso en grasa saturada",IFERROR(IF(F676=0,"No tiene sello",IF((AD676*9)*100/F676&gt;10,"Exceso en grasa saturada","No tiene sello")),"No tiene sello"))</f>
        <v>No tiene sello</v>
      </c>
      <c r="AK676" s="13">
        <f>IF(AJ676="No tiene sello",0,1)</f>
        <v>0</v>
      </c>
      <c r="AL676" s="13" t="str">
        <f>IF(Q676&gt;=300,"Exceso en sodio",IFERROR(IF(AND(F676=0,Q676&gt;0),"No tiene sello",IF(Q676/F676&gt;1,"Exceso en sodio","No tiene sello")),"No tiene sello"))</f>
        <v>No tiene sello</v>
      </c>
      <c r="AM676" s="13" t="str">
        <f>IFERROR(IF(F676=0,"No tiene sello",IF(+(AG676/1000)*9*100/F676&gt;1,"Exceso en grasa trans", "No tiene sello")),"No tiene sello")</f>
        <v>No tiene sello</v>
      </c>
    </row>
    <row r="677" spans="1:39" ht="13.5" customHeight="1" x14ac:dyDescent="0.25">
      <c r="A677" s="26" t="s">
        <v>370</v>
      </c>
      <c r="B677" s="26" t="s">
        <v>371</v>
      </c>
      <c r="C677" s="27"/>
      <c r="D677" s="47">
        <v>100</v>
      </c>
      <c r="E677" s="28">
        <v>9.8000000000000007</v>
      </c>
      <c r="F677" s="24">
        <v>391</v>
      </c>
      <c r="G677" s="28">
        <v>1651</v>
      </c>
      <c r="H677" s="24">
        <v>9</v>
      </c>
      <c r="I677" s="24">
        <v>4.2</v>
      </c>
      <c r="J677" s="24">
        <v>72.3</v>
      </c>
      <c r="K677" s="28">
        <v>58.2</v>
      </c>
      <c r="L677" s="28">
        <v>7.23</v>
      </c>
      <c r="M677" s="24">
        <v>14.1</v>
      </c>
      <c r="N677" s="28">
        <v>4.8</v>
      </c>
      <c r="O677" s="25">
        <v>109</v>
      </c>
      <c r="P677" s="25">
        <v>19.8</v>
      </c>
      <c r="Q677" s="28">
        <v>27</v>
      </c>
      <c r="R677" s="25">
        <v>160</v>
      </c>
      <c r="S677" s="28">
        <v>3.6</v>
      </c>
      <c r="T677" s="28">
        <v>214</v>
      </c>
      <c r="U677" s="28">
        <v>1320</v>
      </c>
      <c r="V677" s="28">
        <v>0.05</v>
      </c>
      <c r="W677" s="28">
        <v>0.18</v>
      </c>
      <c r="X677" s="28">
        <v>9.6</v>
      </c>
      <c r="Y677" s="28">
        <v>13</v>
      </c>
      <c r="Z677" s="28">
        <v>0</v>
      </c>
      <c r="AA677" s="25">
        <v>0</v>
      </c>
      <c r="AB677" s="25">
        <v>18</v>
      </c>
      <c r="AC677" s="25">
        <v>0</v>
      </c>
      <c r="AD677" s="28">
        <v>0</v>
      </c>
      <c r="AE677" s="28">
        <v>0</v>
      </c>
      <c r="AF677" s="28">
        <v>0</v>
      </c>
      <c r="AG677" s="28">
        <v>0</v>
      </c>
      <c r="AH677" s="24">
        <v>0</v>
      </c>
      <c r="AI677" s="28">
        <v>93</v>
      </c>
      <c r="AJ677" s="13" t="str">
        <f xml:space="preserve"> IF(AD677&gt;F677,"Exceso en grasa saturada",IFERROR(IF(F677=0,"No tiene sello",IF((AD677*9)*100/F677&gt;10,"Exceso en grasa saturada","No tiene sello")),"No tiene sello"))</f>
        <v>No tiene sello</v>
      </c>
      <c r="AK677" s="13">
        <f>IF(AJ677="No tiene sello",0,1)</f>
        <v>0</v>
      </c>
      <c r="AL677" s="13" t="str">
        <f>IF(Q677&gt;=300,"Exceso en sodio",IFERROR(IF(AND(F677=0,Q677&gt;0),"No tiene sello",IF(Q677/F677&gt;1,"Exceso en sodio","No tiene sello")),"No tiene sello"))</f>
        <v>No tiene sello</v>
      </c>
      <c r="AM677" s="13" t="str">
        <f>IFERROR(IF(F677=0,"No tiene sello",IF(+(AG677/1000)*9*100/F677&gt;1,"Exceso en grasa trans", "No tiene sello")),"No tiene sello")</f>
        <v>No tiene sello</v>
      </c>
    </row>
    <row r="678" spans="1:39" ht="13.5" customHeight="1" x14ac:dyDescent="0.25">
      <c r="A678" s="20" t="s">
        <v>368</v>
      </c>
      <c r="B678" s="20" t="s">
        <v>369</v>
      </c>
      <c r="C678" s="21"/>
      <c r="D678" s="46">
        <v>100</v>
      </c>
      <c r="E678" s="23">
        <v>70.2</v>
      </c>
      <c r="F678" s="24">
        <v>137</v>
      </c>
      <c r="G678" s="23">
        <v>578</v>
      </c>
      <c r="H678" s="24">
        <v>8.4</v>
      </c>
      <c r="I678" s="24">
        <v>1.8</v>
      </c>
      <c r="J678" s="24">
        <v>17.8</v>
      </c>
      <c r="K678" s="23">
        <v>9.6999999999999993</v>
      </c>
      <c r="L678" s="23">
        <v>2.67</v>
      </c>
      <c r="M678" s="24">
        <v>8.1</v>
      </c>
      <c r="N678" s="23">
        <v>1.8</v>
      </c>
      <c r="O678" s="25">
        <v>25</v>
      </c>
      <c r="P678" s="25">
        <v>2.5</v>
      </c>
      <c r="Q678" s="23">
        <v>30</v>
      </c>
      <c r="R678" s="25">
        <v>336</v>
      </c>
      <c r="S678" s="23">
        <v>10</v>
      </c>
      <c r="T678" s="23">
        <v>40</v>
      </c>
      <c r="U678" s="23">
        <v>601</v>
      </c>
      <c r="V678" s="23">
        <v>1.88</v>
      </c>
      <c r="W678" s="23">
        <v>1.5</v>
      </c>
      <c r="X678" s="23">
        <v>12.3</v>
      </c>
      <c r="Y678" s="23">
        <v>785</v>
      </c>
      <c r="Z678" s="23">
        <v>0.01</v>
      </c>
      <c r="AA678" s="25">
        <v>0</v>
      </c>
      <c r="AB678" s="25">
        <v>0</v>
      </c>
      <c r="AC678" s="25">
        <v>0</v>
      </c>
      <c r="AD678" s="23">
        <v>0</v>
      </c>
      <c r="AE678" s="23">
        <v>0</v>
      </c>
      <c r="AF678" s="23">
        <v>0</v>
      </c>
      <c r="AG678" s="23">
        <v>0</v>
      </c>
      <c r="AH678" s="24">
        <v>0</v>
      </c>
      <c r="AI678" s="23">
        <v>100</v>
      </c>
      <c r="AJ678" s="13" t="str">
        <f xml:space="preserve"> IF(AD678&gt;F678,"Exceso en grasa saturada",IFERROR(IF(F678=0,"No tiene sello",IF((AD678*9)*100/F678&gt;10,"Exceso en grasa saturada","No tiene sello")),"No tiene sello"))</f>
        <v>No tiene sello</v>
      </c>
      <c r="AK678" s="13">
        <f>IF(AJ678="No tiene sello",0,1)</f>
        <v>0</v>
      </c>
      <c r="AL678" s="13" t="str">
        <f>IF(Q678&gt;=300,"Exceso en sodio",IFERROR(IF(AND(F678=0,Q678&gt;0),"No tiene sello",IF(Q678/F678&gt;1,"Exceso en sodio","No tiene sello")),"No tiene sello"))</f>
        <v>No tiene sello</v>
      </c>
      <c r="AM678" s="13" t="str">
        <f>IFERROR(IF(F678=0,"No tiene sello",IF(+(AG678/1000)*9*100/F678&gt;1,"Exceso en grasa trans", "No tiene sello")),"No tiene sello")</f>
        <v>No tiene sello</v>
      </c>
    </row>
    <row r="679" spans="1:39" ht="13.5" customHeight="1" x14ac:dyDescent="0.25">
      <c r="A679" s="26" t="s">
        <v>366</v>
      </c>
      <c r="B679" s="26" t="s">
        <v>367</v>
      </c>
      <c r="C679" s="27"/>
      <c r="D679" s="47">
        <v>100</v>
      </c>
      <c r="E679" s="28">
        <v>4.2</v>
      </c>
      <c r="F679" s="24">
        <v>424</v>
      </c>
      <c r="G679" s="28">
        <v>1784</v>
      </c>
      <c r="H679" s="24">
        <v>13.6</v>
      </c>
      <c r="I679" s="24">
        <v>8</v>
      </c>
      <c r="J679" s="24">
        <v>68.2</v>
      </c>
      <c r="K679" s="28">
        <v>55.5</v>
      </c>
      <c r="L679" s="28">
        <v>6.82</v>
      </c>
      <c r="M679" s="24">
        <v>12.5</v>
      </c>
      <c r="N679" s="28">
        <v>6.2</v>
      </c>
      <c r="O679" s="25">
        <v>0</v>
      </c>
      <c r="P679" s="25">
        <v>0</v>
      </c>
      <c r="Q679" s="28">
        <v>0</v>
      </c>
      <c r="R679" s="25">
        <v>0</v>
      </c>
      <c r="S679" s="28">
        <v>0</v>
      </c>
      <c r="T679" s="28">
        <v>0</v>
      </c>
      <c r="U679" s="28">
        <v>0</v>
      </c>
      <c r="V679" s="28">
        <v>0</v>
      </c>
      <c r="W679" s="28">
        <v>0</v>
      </c>
      <c r="X679" s="28">
        <v>0</v>
      </c>
      <c r="Y679" s="28">
        <v>0</v>
      </c>
      <c r="Z679" s="28">
        <v>0</v>
      </c>
      <c r="AA679" s="25">
        <v>0</v>
      </c>
      <c r="AB679" s="25">
        <v>0</v>
      </c>
      <c r="AC679" s="25">
        <v>0</v>
      </c>
      <c r="AD679" s="28">
        <v>0</v>
      </c>
      <c r="AE679" s="28">
        <v>0</v>
      </c>
      <c r="AF679" s="28">
        <v>0</v>
      </c>
      <c r="AG679" s="28">
        <v>0</v>
      </c>
      <c r="AH679" s="24">
        <v>0</v>
      </c>
      <c r="AI679" s="28">
        <v>100</v>
      </c>
      <c r="AJ679" s="13" t="str">
        <f xml:space="preserve"> IF(AD679&gt;F679,"Exceso en grasa saturada",IFERROR(IF(F679=0,"No tiene sello",IF((AD679*9)*100/F679&gt;10,"Exceso en grasa saturada","No tiene sello")),"No tiene sello"))</f>
        <v>No tiene sello</v>
      </c>
      <c r="AK679" s="13">
        <f>IF(AJ679="No tiene sello",0,1)</f>
        <v>0</v>
      </c>
      <c r="AL679" s="13" t="str">
        <f>IF(Q679&gt;=300,"Exceso en sodio",IFERROR(IF(AND(F679=0,Q679&gt;0),"No tiene sello",IF(Q679/F679&gt;1,"Exceso en sodio","No tiene sello")),"No tiene sello"))</f>
        <v>No tiene sello</v>
      </c>
      <c r="AM679" s="13" t="str">
        <f>IFERROR(IF(F679=0,"No tiene sello",IF(+(AG679/1000)*9*100/F679&gt;1,"Exceso en grasa trans", "No tiene sello")),"No tiene sello")</f>
        <v>No tiene sello</v>
      </c>
    </row>
    <row r="680" spans="1:39" ht="13.5" customHeight="1" x14ac:dyDescent="0.25">
      <c r="A680" s="20" t="s">
        <v>364</v>
      </c>
      <c r="B680" s="20" t="s">
        <v>365</v>
      </c>
      <c r="C680" s="21"/>
      <c r="D680" s="46">
        <v>100</v>
      </c>
      <c r="E680" s="23">
        <v>19.899999999999999</v>
      </c>
      <c r="F680" s="24">
        <v>361</v>
      </c>
      <c r="G680" s="23">
        <v>1521</v>
      </c>
      <c r="H680" s="24">
        <v>16.3</v>
      </c>
      <c r="I680" s="24">
        <v>5.4</v>
      </c>
      <c r="J680" s="24">
        <v>56.8</v>
      </c>
      <c r="K680" s="23">
        <v>46.9</v>
      </c>
      <c r="L680" s="23">
        <v>5.68</v>
      </c>
      <c r="M680" s="24">
        <v>9.9</v>
      </c>
      <c r="N680" s="23">
        <v>1.6</v>
      </c>
      <c r="O680" s="25">
        <v>136</v>
      </c>
      <c r="P680" s="25">
        <v>0</v>
      </c>
      <c r="Q680" s="23">
        <v>0</v>
      </c>
      <c r="R680" s="25">
        <v>0</v>
      </c>
      <c r="S680" s="23">
        <v>2.4</v>
      </c>
      <c r="T680" s="23">
        <v>147</v>
      </c>
      <c r="U680" s="23">
        <v>0</v>
      </c>
      <c r="V680" s="23">
        <v>0</v>
      </c>
      <c r="W680" s="23">
        <v>0</v>
      </c>
      <c r="X680" s="23">
        <v>0</v>
      </c>
      <c r="Y680" s="23">
        <v>0</v>
      </c>
      <c r="Z680" s="23">
        <v>0</v>
      </c>
      <c r="AA680" s="25">
        <v>0</v>
      </c>
      <c r="AB680" s="25">
        <v>0</v>
      </c>
      <c r="AC680" s="25">
        <v>0</v>
      </c>
      <c r="AD680" s="23">
        <v>0</v>
      </c>
      <c r="AE680" s="23">
        <v>0</v>
      </c>
      <c r="AF680" s="23">
        <v>0</v>
      </c>
      <c r="AG680" s="23">
        <v>0</v>
      </c>
      <c r="AH680" s="24">
        <v>0</v>
      </c>
      <c r="AI680" s="23">
        <v>100</v>
      </c>
      <c r="AJ680" s="13" t="str">
        <f xml:space="preserve"> IF(AD680&gt;F680,"Exceso en grasa saturada",IFERROR(IF(F680=0,"No tiene sello",IF((AD680*9)*100/F680&gt;10,"Exceso en grasa saturada","No tiene sello")),"No tiene sello"))</f>
        <v>No tiene sello</v>
      </c>
      <c r="AK680" s="13">
        <f>IF(AJ680="No tiene sello",0,1)</f>
        <v>0</v>
      </c>
      <c r="AL680" s="13" t="str">
        <f>IF(Q680&gt;=300,"Exceso en sodio",IFERROR(IF(AND(F680=0,Q680&gt;0),"No tiene sello",IF(Q680/F680&gt;1,"Exceso en sodio","No tiene sello")),"No tiene sello"))</f>
        <v>No tiene sello</v>
      </c>
      <c r="AM680" s="13" t="str">
        <f>IFERROR(IF(F680=0,"No tiene sello",IF(+(AG680/1000)*9*100/F680&gt;1,"Exceso en grasa trans", "No tiene sello")),"No tiene sello")</f>
        <v>No tiene sello</v>
      </c>
    </row>
    <row r="681" spans="1:39" ht="13.5" customHeight="1" x14ac:dyDescent="0.25">
      <c r="A681" s="33" t="s">
        <v>362</v>
      </c>
      <c r="B681" s="33" t="s">
        <v>363</v>
      </c>
      <c r="C681" s="34"/>
      <c r="D681" s="47">
        <v>100</v>
      </c>
      <c r="E681" s="35">
        <v>5.6</v>
      </c>
      <c r="F681" s="24">
        <v>426</v>
      </c>
      <c r="G681" s="35">
        <v>1797</v>
      </c>
      <c r="H681" s="24">
        <v>22.5</v>
      </c>
      <c r="I681" s="24">
        <v>5.8</v>
      </c>
      <c r="J681" s="24">
        <v>63.8</v>
      </c>
      <c r="K681" s="35">
        <v>49.4</v>
      </c>
      <c r="L681" s="35">
        <v>6.38</v>
      </c>
      <c r="M681" s="24">
        <v>14.4</v>
      </c>
      <c r="N681" s="35">
        <v>2.2999999999999998</v>
      </c>
      <c r="O681" s="35">
        <v>170</v>
      </c>
      <c r="P681" s="25">
        <v>0</v>
      </c>
      <c r="Q681" s="35">
        <v>0</v>
      </c>
      <c r="R681" s="35">
        <v>0</v>
      </c>
      <c r="S681" s="35">
        <v>3.3</v>
      </c>
      <c r="T681" s="35">
        <v>227</v>
      </c>
      <c r="U681" s="35">
        <v>0</v>
      </c>
      <c r="V681" s="35">
        <v>0</v>
      </c>
      <c r="W681" s="35">
        <v>0</v>
      </c>
      <c r="X681" s="35">
        <v>0</v>
      </c>
      <c r="Y681" s="35">
        <v>0</v>
      </c>
      <c r="Z681" s="35">
        <v>0</v>
      </c>
      <c r="AA681" s="25">
        <v>0</v>
      </c>
      <c r="AB681" s="25">
        <v>0</v>
      </c>
      <c r="AC681" s="25">
        <v>0</v>
      </c>
      <c r="AD681" s="35">
        <v>0</v>
      </c>
      <c r="AE681" s="35">
        <v>0</v>
      </c>
      <c r="AF681" s="35">
        <v>0</v>
      </c>
      <c r="AG681" s="35">
        <v>0</v>
      </c>
      <c r="AH681" s="24">
        <v>0</v>
      </c>
      <c r="AI681" s="35">
        <v>100</v>
      </c>
      <c r="AJ681" s="13" t="str">
        <f xml:space="preserve"> IF(AD681&gt;F681,"Exceso en grasa saturada",IFERROR(IF(F681=0,"No tiene sello",IF((AD681*9)*100/F681&gt;10,"Exceso en grasa saturada","No tiene sello")),"No tiene sello"))</f>
        <v>No tiene sello</v>
      </c>
      <c r="AK681" s="13">
        <f>IF(AJ681="No tiene sello",0,1)</f>
        <v>0</v>
      </c>
      <c r="AL681" s="13" t="str">
        <f>IF(Q681&gt;=300,"Exceso en sodio",IFERROR(IF(AND(F681=0,Q681&gt;0),"No tiene sello",IF(Q681/F681&gt;1,"Exceso en sodio","No tiene sello")),"No tiene sello"))</f>
        <v>No tiene sello</v>
      </c>
      <c r="AM681" s="13" t="str">
        <f>IFERROR(IF(F681=0,"No tiene sello",IF(+(AG681/1000)*9*100/F681&gt;1,"Exceso en grasa trans", "No tiene sello")),"No tiene sello")</f>
        <v>No tiene sello</v>
      </c>
    </row>
    <row r="682" spans="1:39" ht="13.5" customHeight="1" x14ac:dyDescent="0.25">
      <c r="A682" s="20" t="s">
        <v>361</v>
      </c>
      <c r="B682" s="20" t="s">
        <v>1838</v>
      </c>
      <c r="C682" s="21"/>
      <c r="D682" s="46">
        <v>100</v>
      </c>
      <c r="E682" s="23">
        <v>0.2</v>
      </c>
      <c r="F682" s="24">
        <v>0</v>
      </c>
      <c r="G682" s="23">
        <v>0</v>
      </c>
      <c r="H682" s="24">
        <v>0</v>
      </c>
      <c r="I682" s="24">
        <v>0</v>
      </c>
      <c r="J682" s="24">
        <v>0</v>
      </c>
      <c r="K682" s="23">
        <v>0</v>
      </c>
      <c r="L682" s="23">
        <v>0</v>
      </c>
      <c r="M682" s="24">
        <v>0</v>
      </c>
      <c r="N682" s="23">
        <v>99.8</v>
      </c>
      <c r="O682" s="25">
        <v>24</v>
      </c>
      <c r="P682" s="25">
        <v>0.3</v>
      </c>
      <c r="Q682" s="23">
        <v>38781</v>
      </c>
      <c r="R682" s="25">
        <v>0</v>
      </c>
      <c r="S682" s="23">
        <v>0.1</v>
      </c>
      <c r="T682" s="23">
        <v>1</v>
      </c>
      <c r="U682" s="23">
        <v>8</v>
      </c>
      <c r="V682" s="23">
        <v>0</v>
      </c>
      <c r="W682" s="23">
        <v>0</v>
      </c>
      <c r="X682" s="23">
        <v>0</v>
      </c>
      <c r="Y682" s="23">
        <v>0</v>
      </c>
      <c r="Z682" s="23">
        <v>0</v>
      </c>
      <c r="AA682" s="25">
        <v>0</v>
      </c>
      <c r="AB682" s="25">
        <v>0</v>
      </c>
      <c r="AC682" s="25">
        <v>0</v>
      </c>
      <c r="AD682" s="23">
        <v>0</v>
      </c>
      <c r="AE682" s="23">
        <v>0</v>
      </c>
      <c r="AF682" s="23">
        <v>0</v>
      </c>
      <c r="AG682" s="23">
        <v>0</v>
      </c>
      <c r="AH682" s="24">
        <v>0</v>
      </c>
      <c r="AI682" s="23">
        <v>100</v>
      </c>
      <c r="AJ682" s="13" t="str">
        <f xml:space="preserve"> IF(AD682&gt;F682,"Exceso en grasa saturada",IFERROR(IF(F682=0,"No tiene sello",IF((AD682*9)*100/F682&gt;10,"Exceso en grasa saturada","No tiene sello")),"No tiene sello"))</f>
        <v>No tiene sello</v>
      </c>
      <c r="AK682" s="13">
        <f>IF(AJ682="No tiene sello",0,1)</f>
        <v>0</v>
      </c>
      <c r="AL682" s="13" t="str">
        <f>IF(Q682&gt;=300,"Exceso en sodio",IFERROR(IF(AND(F682=0,Q682&gt;0),"No tiene sello",IF(Q682/F682&gt;1,"Exceso en sodio","No tiene sello")),"No tiene sello"))</f>
        <v>Exceso en sodio</v>
      </c>
      <c r="AM682" s="13" t="str">
        <f>IFERROR(IF(F682=0,"No tiene sello",IF(+(AG682/1000)*9*100/F682&gt;1,"Exceso en grasa trans", "No tiene sello")),"No tiene sello")</f>
        <v>No tiene sello</v>
      </c>
    </row>
    <row r="683" spans="1:39" ht="13.5" customHeight="1" x14ac:dyDescent="0.25">
      <c r="A683" s="26" t="s">
        <v>359</v>
      </c>
      <c r="B683" s="26" t="s">
        <v>360</v>
      </c>
      <c r="C683" s="27"/>
      <c r="D683" s="47">
        <v>100</v>
      </c>
      <c r="E683" s="28">
        <v>76</v>
      </c>
      <c r="F683" s="24">
        <v>107</v>
      </c>
      <c r="G683" s="28">
        <v>449</v>
      </c>
      <c r="H683" s="24">
        <v>3.6</v>
      </c>
      <c r="I683" s="24">
        <v>3.3</v>
      </c>
      <c r="J683" s="24">
        <v>14.1</v>
      </c>
      <c r="K683" s="28">
        <v>10.9</v>
      </c>
      <c r="L683" s="28">
        <v>1.41</v>
      </c>
      <c r="M683" s="24">
        <v>3.2</v>
      </c>
      <c r="N683" s="28">
        <v>3</v>
      </c>
      <c r="O683" s="25">
        <v>76</v>
      </c>
      <c r="P683" s="25">
        <v>1.8</v>
      </c>
      <c r="Q683" s="28">
        <v>1206</v>
      </c>
      <c r="R683" s="25">
        <v>148</v>
      </c>
      <c r="S683" s="28">
        <v>0.8</v>
      </c>
      <c r="T683" s="28">
        <v>55</v>
      </c>
      <c r="U683" s="28">
        <v>142</v>
      </c>
      <c r="V683" s="28">
        <v>0.09</v>
      </c>
      <c r="W683" s="28">
        <v>7.0000000000000007E-2</v>
      </c>
      <c r="X683" s="28">
        <v>0.5</v>
      </c>
      <c r="Y683" s="28">
        <v>8</v>
      </c>
      <c r="Z683" s="28">
        <v>0</v>
      </c>
      <c r="AA683" s="25">
        <v>0</v>
      </c>
      <c r="AB683" s="25">
        <v>4</v>
      </c>
      <c r="AC683" s="25">
        <v>0</v>
      </c>
      <c r="AD683" s="28">
        <v>0</v>
      </c>
      <c r="AE683" s="28">
        <v>0</v>
      </c>
      <c r="AF683" s="28">
        <v>0</v>
      </c>
      <c r="AG683" s="28">
        <v>0</v>
      </c>
      <c r="AH683" s="24">
        <v>0</v>
      </c>
      <c r="AI683" s="28">
        <v>100</v>
      </c>
      <c r="AJ683" s="13" t="str">
        <f xml:space="preserve"> IF(AD683&gt;F683,"Exceso en grasa saturada",IFERROR(IF(F683=0,"No tiene sello",IF((AD683*9)*100/F683&gt;10,"Exceso en grasa saturada","No tiene sello")),"No tiene sello"))</f>
        <v>No tiene sello</v>
      </c>
      <c r="AK683" s="13">
        <f>IF(AJ683="No tiene sello",0,1)</f>
        <v>0</v>
      </c>
      <c r="AL683" s="13" t="str">
        <f>IF(Q683&gt;=300,"Exceso en sodio",IFERROR(IF(AND(F683=0,Q683&gt;0),"No tiene sello",IF(Q683/F683&gt;1,"Exceso en sodio","No tiene sello")),"No tiene sello"))</f>
        <v>Exceso en sodio</v>
      </c>
      <c r="AM683" s="13" t="str">
        <f>IFERROR(IF(F683=0,"No tiene sello",IF(+(AG683/1000)*9*100/F683&gt;1,"Exceso en grasa trans", "No tiene sello")),"No tiene sello")</f>
        <v>No tiene sello</v>
      </c>
    </row>
    <row r="684" spans="1:39" ht="13.5" customHeight="1" x14ac:dyDescent="0.25">
      <c r="A684" s="20" t="s">
        <v>357</v>
      </c>
      <c r="B684" s="20" t="s">
        <v>358</v>
      </c>
      <c r="C684" s="21"/>
      <c r="D684" s="46">
        <v>100</v>
      </c>
      <c r="E684" s="23">
        <v>70.8</v>
      </c>
      <c r="F684" s="24">
        <v>109</v>
      </c>
      <c r="G684" s="23">
        <v>463</v>
      </c>
      <c r="H684" s="24">
        <v>1.3</v>
      </c>
      <c r="I684" s="24">
        <v>0.3</v>
      </c>
      <c r="J684" s="24">
        <v>25</v>
      </c>
      <c r="K684" s="23">
        <v>24.2</v>
      </c>
      <c r="L684" s="23">
        <v>2.5</v>
      </c>
      <c r="M684" s="24">
        <v>0.8</v>
      </c>
      <c r="N684" s="23">
        <v>2.6</v>
      </c>
      <c r="O684" s="25">
        <v>17</v>
      </c>
      <c r="P684" s="25">
        <v>0.5</v>
      </c>
      <c r="Q684" s="23">
        <v>860</v>
      </c>
      <c r="R684" s="25">
        <v>28</v>
      </c>
      <c r="S684" s="23">
        <v>0.1</v>
      </c>
      <c r="T684" s="23">
        <v>17</v>
      </c>
      <c r="U684" s="23">
        <v>329</v>
      </c>
      <c r="V684" s="23">
        <v>0.04</v>
      </c>
      <c r="W684" s="23">
        <v>0.09</v>
      </c>
      <c r="X684" s="23">
        <v>1.2</v>
      </c>
      <c r="Y684" s="23">
        <v>10</v>
      </c>
      <c r="Z684" s="23">
        <v>0</v>
      </c>
      <c r="AA684" s="25">
        <v>3</v>
      </c>
      <c r="AB684" s="25">
        <v>70</v>
      </c>
      <c r="AC684" s="25">
        <v>0</v>
      </c>
      <c r="AD684" s="23">
        <v>0</v>
      </c>
      <c r="AE684" s="23">
        <v>0</v>
      </c>
      <c r="AF684" s="23">
        <v>0</v>
      </c>
      <c r="AG684" s="23">
        <v>0</v>
      </c>
      <c r="AH684" s="24">
        <v>0</v>
      </c>
      <c r="AI684" s="23">
        <v>100</v>
      </c>
      <c r="AJ684" s="13" t="str">
        <f xml:space="preserve"> IF(AD684&gt;F684,"Exceso en grasa saturada",IFERROR(IF(F684=0,"No tiene sello",IF((AD684*9)*100/F684&gt;10,"Exceso en grasa saturada","No tiene sello")),"No tiene sello"))</f>
        <v>No tiene sello</v>
      </c>
      <c r="AK684" s="13">
        <f>IF(AJ684="No tiene sello",0,1)</f>
        <v>0</v>
      </c>
      <c r="AL684" s="13" t="str">
        <f>IF(Q684&gt;=300,"Exceso en sodio",IFERROR(IF(AND(F684=0,Q684&gt;0),"No tiene sello",IF(Q684/F684&gt;1,"Exceso en sodio","No tiene sello")),"No tiene sello"))</f>
        <v>Exceso en sodio</v>
      </c>
      <c r="AM684" s="13" t="str">
        <f>IFERROR(IF(F684=0,"No tiene sello",IF(+(AG684/1000)*9*100/F684&gt;1,"Exceso en grasa trans", "No tiene sello")),"No tiene sello")</f>
        <v>No tiene sello</v>
      </c>
    </row>
    <row r="685" spans="1:39" ht="13.5" customHeight="1" x14ac:dyDescent="0.25">
      <c r="A685" s="33" t="s">
        <v>355</v>
      </c>
      <c r="B685" s="33" t="s">
        <v>356</v>
      </c>
      <c r="C685" s="34"/>
      <c r="D685" s="47">
        <v>100</v>
      </c>
      <c r="E685" s="35">
        <v>93.8</v>
      </c>
      <c r="F685" s="24">
        <v>24</v>
      </c>
      <c r="G685" s="35">
        <v>103</v>
      </c>
      <c r="H685" s="24">
        <v>0</v>
      </c>
      <c r="I685" s="24">
        <v>0</v>
      </c>
      <c r="J685" s="24">
        <v>6</v>
      </c>
      <c r="K685" s="35">
        <v>6</v>
      </c>
      <c r="L685" s="35">
        <v>0.6</v>
      </c>
      <c r="M685" s="24">
        <v>0</v>
      </c>
      <c r="N685" s="35">
        <v>2</v>
      </c>
      <c r="O685" s="35">
        <v>7</v>
      </c>
      <c r="P685" s="35">
        <v>0.5</v>
      </c>
      <c r="Q685" s="35">
        <v>5</v>
      </c>
      <c r="R685" s="35">
        <v>10</v>
      </c>
      <c r="S685" s="35">
        <v>0</v>
      </c>
      <c r="T685" s="35">
        <v>5</v>
      </c>
      <c r="U685" s="35">
        <v>73</v>
      </c>
      <c r="V685" s="35">
        <v>0</v>
      </c>
      <c r="W685" s="35">
        <v>0</v>
      </c>
      <c r="X685" s="35">
        <v>0</v>
      </c>
      <c r="Y685" s="35">
        <v>0</v>
      </c>
      <c r="Z685" s="35">
        <v>0</v>
      </c>
      <c r="AA685" s="35">
        <v>0</v>
      </c>
      <c r="AB685" s="35">
        <v>0</v>
      </c>
      <c r="AC685" s="35">
        <v>0</v>
      </c>
      <c r="AD685" s="35">
        <v>0</v>
      </c>
      <c r="AE685" s="35">
        <v>0</v>
      </c>
      <c r="AF685" s="35">
        <v>0</v>
      </c>
      <c r="AG685" s="35">
        <v>0</v>
      </c>
      <c r="AH685" s="35">
        <v>0</v>
      </c>
      <c r="AI685" s="35">
        <v>100</v>
      </c>
      <c r="AJ685" s="13" t="str">
        <f xml:space="preserve"> IF(AD685&gt;F685,"Exceso en grasa saturada",IFERROR(IF(F685=0,"No tiene sello",IF((AD685*9)*100/F685&gt;10,"Exceso en grasa saturada","No tiene sello")),"No tiene sello"))</f>
        <v>No tiene sello</v>
      </c>
      <c r="AK685" s="13">
        <f>IF(AJ685="No tiene sello",0,1)</f>
        <v>0</v>
      </c>
      <c r="AL685" s="13" t="str">
        <f>IF(Q685&gt;=300,"Exceso en sodio",IFERROR(IF(AND(F685=0,Q685&gt;0),"No tiene sello",IF(Q685/F685&gt;1,"Exceso en sodio","No tiene sello")),"No tiene sello"))</f>
        <v>No tiene sello</v>
      </c>
      <c r="AM685" s="13" t="str">
        <f>IFERROR(IF(F685=0,"No tiene sello",IF(+(AG685/1000)*9*100/F685&gt;1,"Exceso en grasa trans", "No tiene sello")),"No tiene sello")</f>
        <v>No tiene sello</v>
      </c>
    </row>
    <row r="686" spans="1:39" ht="13.5" customHeight="1" x14ac:dyDescent="0.25">
      <c r="A686" s="20" t="s">
        <v>353</v>
      </c>
      <c r="B686" s="20" t="s">
        <v>354</v>
      </c>
      <c r="C686" s="21"/>
      <c r="D686" s="46">
        <v>100</v>
      </c>
      <c r="E686" s="23">
        <v>42</v>
      </c>
      <c r="F686" s="24">
        <v>425</v>
      </c>
      <c r="G686" s="23">
        <v>1757</v>
      </c>
      <c r="H686" s="24">
        <v>1.6</v>
      </c>
      <c r="I686" s="24">
        <v>40</v>
      </c>
      <c r="J686" s="24">
        <v>14.7</v>
      </c>
      <c r="K686" s="23">
        <v>0</v>
      </c>
      <c r="L686" s="23">
        <v>1.47</v>
      </c>
      <c r="M686" s="24">
        <v>0</v>
      </c>
      <c r="N686" s="23">
        <v>1.7</v>
      </c>
      <c r="O686" s="25">
        <v>12</v>
      </c>
      <c r="P686" s="25">
        <v>0.1</v>
      </c>
      <c r="Q686" s="23">
        <v>390</v>
      </c>
      <c r="R686" s="25">
        <v>8</v>
      </c>
      <c r="S686" s="23">
        <v>0</v>
      </c>
      <c r="T686" s="23">
        <v>0</v>
      </c>
      <c r="U686" s="23">
        <v>7</v>
      </c>
      <c r="V686" s="23">
        <v>0.1</v>
      </c>
      <c r="W686" s="23">
        <v>0.02</v>
      </c>
      <c r="X686" s="23">
        <v>0.4</v>
      </c>
      <c r="Y686" s="23">
        <v>1</v>
      </c>
      <c r="Z686" s="23">
        <v>0.06</v>
      </c>
      <c r="AA686" s="25">
        <v>0</v>
      </c>
      <c r="AB686" s="25">
        <v>702</v>
      </c>
      <c r="AC686" s="25">
        <v>2.5</v>
      </c>
      <c r="AD686" s="23">
        <v>11.3</v>
      </c>
      <c r="AE686" s="23">
        <v>13.5</v>
      </c>
      <c r="AF686" s="23">
        <v>13.8</v>
      </c>
      <c r="AG686" s="23">
        <v>20</v>
      </c>
      <c r="AH686" s="24">
        <v>0</v>
      </c>
      <c r="AI686" s="23">
        <v>100</v>
      </c>
      <c r="AJ686" s="13" t="str">
        <f xml:space="preserve"> IF(AD686&gt;F686,"Exceso en grasa saturada",IFERROR(IF(F686=0,"No tiene sello",IF((AD686*9)*100/F686&gt;10,"Exceso en grasa saturada","No tiene sello")),"No tiene sello"))</f>
        <v>Exceso en grasa saturada</v>
      </c>
      <c r="AK686" s="13">
        <f>IF(AJ686="No tiene sello",0,1)</f>
        <v>1</v>
      </c>
      <c r="AL686" s="13" t="str">
        <f>IF(Q686&gt;=300,"Exceso en sodio",IFERROR(IF(AND(F686=0,Q686&gt;0),"No tiene sello",IF(Q686/F686&gt;1,"Exceso en sodio","No tiene sello")),"No tiene sello"))</f>
        <v>Exceso en sodio</v>
      </c>
      <c r="AM686" s="13" t="str">
        <f>IFERROR(IF(F686=0,"No tiene sello",IF(+(AG686/1000)*9*100/F686&gt;1,"Exceso en grasa trans", "No tiene sello")),"No tiene sello")</f>
        <v>No tiene sello</v>
      </c>
    </row>
    <row r="687" spans="1:39" ht="13.5" customHeight="1" x14ac:dyDescent="0.25">
      <c r="A687" s="26" t="s">
        <v>351</v>
      </c>
      <c r="B687" s="26" t="s">
        <v>352</v>
      </c>
      <c r="C687" s="27"/>
      <c r="D687" s="47">
        <v>100</v>
      </c>
      <c r="E687" s="28">
        <v>61.4</v>
      </c>
      <c r="F687" s="24">
        <v>308</v>
      </c>
      <c r="G687" s="28">
        <v>1271</v>
      </c>
      <c r="H687" s="24">
        <v>1</v>
      </c>
      <c r="I687" s="24">
        <v>32</v>
      </c>
      <c r="J687" s="24">
        <v>4.0999999999999996</v>
      </c>
      <c r="K687" s="28">
        <v>4.0999999999999996</v>
      </c>
      <c r="L687" s="28">
        <v>0.41</v>
      </c>
      <c r="M687" s="24">
        <v>0</v>
      </c>
      <c r="N687" s="28">
        <v>1.5</v>
      </c>
      <c r="O687" s="25">
        <v>10</v>
      </c>
      <c r="P687" s="25">
        <v>0.3</v>
      </c>
      <c r="Q687" s="28">
        <v>750</v>
      </c>
      <c r="R687" s="25">
        <v>0</v>
      </c>
      <c r="S687" s="28">
        <v>0.1</v>
      </c>
      <c r="T687" s="28">
        <v>10</v>
      </c>
      <c r="U687" s="28">
        <v>10</v>
      </c>
      <c r="V687" s="28">
        <v>0.02</v>
      </c>
      <c r="W687" s="28">
        <v>0.03</v>
      </c>
      <c r="X687" s="28">
        <v>0</v>
      </c>
      <c r="Y687" s="28">
        <v>10</v>
      </c>
      <c r="Z687" s="28">
        <v>0.27</v>
      </c>
      <c r="AA687" s="25">
        <v>0</v>
      </c>
      <c r="AB687" s="25">
        <v>16</v>
      </c>
      <c r="AC687" s="25">
        <v>0</v>
      </c>
      <c r="AD687" s="28">
        <v>3.5</v>
      </c>
      <c r="AE687" s="28">
        <v>8.6999999999999993</v>
      </c>
      <c r="AF687" s="28">
        <v>19.8</v>
      </c>
      <c r="AG687" s="28">
        <v>0</v>
      </c>
      <c r="AH687" s="24">
        <v>24</v>
      </c>
      <c r="AI687" s="28">
        <v>100</v>
      </c>
      <c r="AJ687" s="13" t="str">
        <f xml:space="preserve"> IF(AD687&gt;F687,"Exceso en grasa saturada",IFERROR(IF(F687=0,"No tiene sello",IF((AD687*9)*100/F687&gt;10,"Exceso en grasa saturada","No tiene sello")),"No tiene sello"))</f>
        <v>Exceso en grasa saturada</v>
      </c>
      <c r="AK687" s="13">
        <f>IF(AJ687="No tiene sello",0,1)</f>
        <v>1</v>
      </c>
      <c r="AL687" s="13" t="str">
        <f>IF(Q687&gt;=300,"Exceso en sodio",IFERROR(IF(AND(F687=0,Q687&gt;0),"No tiene sello",IF(Q687/F687&gt;1,"Exceso en sodio","No tiene sello")),"No tiene sello"))</f>
        <v>Exceso en sodio</v>
      </c>
      <c r="AM687" s="13" t="str">
        <f>IFERROR(IF(F687=0,"No tiene sello",IF(+(AG687/1000)*9*100/F687&gt;1,"Exceso en grasa trans", "No tiene sello")),"No tiene sello")</f>
        <v>No tiene sello</v>
      </c>
    </row>
    <row r="688" spans="1:39" ht="13.5" customHeight="1" x14ac:dyDescent="0.25">
      <c r="A688" s="20" t="s">
        <v>349</v>
      </c>
      <c r="B688" s="20" t="s">
        <v>350</v>
      </c>
      <c r="C688" s="21"/>
      <c r="D688" s="46">
        <v>100</v>
      </c>
      <c r="E688" s="23">
        <v>45.8</v>
      </c>
      <c r="F688" s="24">
        <v>222</v>
      </c>
      <c r="G688" s="23">
        <v>944</v>
      </c>
      <c r="H688" s="24">
        <v>0.5</v>
      </c>
      <c r="I688" s="24">
        <v>0.3</v>
      </c>
      <c r="J688" s="24">
        <v>53.2</v>
      </c>
      <c r="K688" s="23">
        <v>50.8</v>
      </c>
      <c r="L688" s="23">
        <v>42.56</v>
      </c>
      <c r="M688" s="24">
        <v>2.4</v>
      </c>
      <c r="N688" s="23">
        <v>0.2</v>
      </c>
      <c r="O688" s="25">
        <v>9</v>
      </c>
      <c r="P688" s="25">
        <v>0.5</v>
      </c>
      <c r="Q688" s="23">
        <v>47</v>
      </c>
      <c r="R688" s="25">
        <v>9</v>
      </c>
      <c r="S688" s="23">
        <v>0.1</v>
      </c>
      <c r="T688" s="23">
        <v>5</v>
      </c>
      <c r="U688" s="23">
        <v>69</v>
      </c>
      <c r="V688" s="23">
        <v>0</v>
      </c>
      <c r="W688" s="23">
        <v>0</v>
      </c>
      <c r="X688" s="23">
        <v>0</v>
      </c>
      <c r="Y688" s="23">
        <v>9</v>
      </c>
      <c r="Z688" s="23">
        <v>0</v>
      </c>
      <c r="AA688" s="25">
        <v>0</v>
      </c>
      <c r="AB688" s="25">
        <v>0</v>
      </c>
      <c r="AC688" s="25">
        <v>0</v>
      </c>
      <c r="AD688" s="23">
        <v>0</v>
      </c>
      <c r="AE688" s="23">
        <v>0</v>
      </c>
      <c r="AF688" s="23">
        <v>0.1</v>
      </c>
      <c r="AG688" s="23">
        <v>0</v>
      </c>
      <c r="AH688" s="24">
        <v>0</v>
      </c>
      <c r="AI688" s="23">
        <v>100</v>
      </c>
      <c r="AJ688" s="13" t="str">
        <f xml:space="preserve"> IF(AD688&gt;F688,"Exceso en grasa saturada",IFERROR(IF(F688=0,"No tiene sello",IF((AD688*9)*100/F688&gt;10,"Exceso en grasa saturada","No tiene sello")),"No tiene sello"))</f>
        <v>No tiene sello</v>
      </c>
      <c r="AK688" s="13">
        <f>IF(AJ688="No tiene sello",0,1)</f>
        <v>0</v>
      </c>
      <c r="AL688" s="13" t="str">
        <f>IF(Q688&gt;=300,"Exceso en sodio",IFERROR(IF(AND(F688=0,Q688&gt;0),"No tiene sello",IF(Q688/F688&gt;1,"Exceso en sodio","No tiene sello")),"No tiene sello"))</f>
        <v>No tiene sello</v>
      </c>
      <c r="AM688" s="13" t="str">
        <f>IFERROR(IF(F688=0,"No tiene sello",IF(+(AG688/1000)*9*100/F688&gt;1,"Exceso en grasa trans", "No tiene sello")),"No tiene sello")</f>
        <v>No tiene sello</v>
      </c>
    </row>
    <row r="689" spans="1:39" ht="13.5" customHeight="1" x14ac:dyDescent="0.25">
      <c r="A689" s="26" t="s">
        <v>347</v>
      </c>
      <c r="B689" s="26" t="s">
        <v>348</v>
      </c>
      <c r="C689" s="27"/>
      <c r="D689" s="47">
        <v>100</v>
      </c>
      <c r="E689" s="28">
        <v>69.900000000000006</v>
      </c>
      <c r="F689" s="24">
        <v>153</v>
      </c>
      <c r="G689" s="28">
        <v>638</v>
      </c>
      <c r="H689" s="24">
        <v>16.600000000000001</v>
      </c>
      <c r="I689" s="24">
        <v>8.1</v>
      </c>
      <c r="J689" s="24">
        <v>3.3</v>
      </c>
      <c r="K689" s="28">
        <v>3.3</v>
      </c>
      <c r="L689" s="28">
        <v>0.33</v>
      </c>
      <c r="M689" s="24">
        <v>0</v>
      </c>
      <c r="N689" s="28">
        <v>2</v>
      </c>
      <c r="O689" s="25">
        <v>5</v>
      </c>
      <c r="P689" s="25">
        <v>0.9</v>
      </c>
      <c r="Q689" s="28">
        <v>860</v>
      </c>
      <c r="R689" s="25">
        <v>169</v>
      </c>
      <c r="S689" s="28">
        <v>2</v>
      </c>
      <c r="T689" s="28">
        <v>18</v>
      </c>
      <c r="U689" s="28">
        <v>194</v>
      </c>
      <c r="V689" s="28">
        <v>0.73</v>
      </c>
      <c r="W689" s="28">
        <v>0.22</v>
      </c>
      <c r="X689" s="28">
        <v>4.3</v>
      </c>
      <c r="Y689" s="28">
        <v>5</v>
      </c>
      <c r="Z689" s="28">
        <v>0.47</v>
      </c>
      <c r="AA689" s="25">
        <v>0</v>
      </c>
      <c r="AB689" s="25">
        <v>0</v>
      </c>
      <c r="AC689" s="25">
        <v>0</v>
      </c>
      <c r="AD689" s="28">
        <v>2.9</v>
      </c>
      <c r="AE689" s="28">
        <v>3.3</v>
      </c>
      <c r="AF689" s="28">
        <v>1.1000000000000001</v>
      </c>
      <c r="AG689" s="28">
        <v>50</v>
      </c>
      <c r="AH689" s="24">
        <v>58</v>
      </c>
      <c r="AI689" s="28">
        <v>100</v>
      </c>
      <c r="AJ689" s="13" t="str">
        <f xml:space="preserve"> IF(AD689&gt;F689,"Exceso en grasa saturada",IFERROR(IF(F689=0,"No tiene sello",IF((AD689*9)*100/F689&gt;10,"Exceso en grasa saturada","No tiene sello")),"No tiene sello"))</f>
        <v>Exceso en grasa saturada</v>
      </c>
      <c r="AK689" s="13">
        <f>IF(AJ689="No tiene sello",0,1)</f>
        <v>1</v>
      </c>
      <c r="AL689" s="13" t="str">
        <f>IF(Q689&gt;=300,"Exceso en sodio",IFERROR(IF(AND(F689=0,Q689&gt;0),"No tiene sello",IF(Q689/F689&gt;1,"Exceso en sodio","No tiene sello")),"No tiene sello"))</f>
        <v>Exceso en sodio</v>
      </c>
      <c r="AM689" s="13" t="str">
        <f>IFERROR(IF(F689=0,"No tiene sello",IF(+(AG689/1000)*9*100/F689&gt;1,"Exceso en grasa trans", "No tiene sello")),"No tiene sello")</f>
        <v>No tiene sello</v>
      </c>
    </row>
    <row r="690" spans="1:39" ht="13.5" customHeight="1" x14ac:dyDescent="0.25">
      <c r="A690" s="20" t="s">
        <v>345</v>
      </c>
      <c r="B690" s="20" t="s">
        <v>346</v>
      </c>
      <c r="C690" s="21"/>
      <c r="D690" s="46">
        <v>100</v>
      </c>
      <c r="E690" s="23">
        <v>87.2</v>
      </c>
      <c r="F690" s="24">
        <v>49</v>
      </c>
      <c r="G690" s="23">
        <v>208</v>
      </c>
      <c r="H690" s="24">
        <v>3.7</v>
      </c>
      <c r="I690" s="24">
        <v>0.3</v>
      </c>
      <c r="J690" s="24">
        <v>7.9</v>
      </c>
      <c r="K690" s="23">
        <v>7.9</v>
      </c>
      <c r="L690" s="23">
        <v>0.79</v>
      </c>
      <c r="M690" s="24">
        <v>0</v>
      </c>
      <c r="N690" s="23">
        <v>0.9</v>
      </c>
      <c r="O690" s="25">
        <v>148</v>
      </c>
      <c r="P690" s="25">
        <v>0.1</v>
      </c>
      <c r="Q690" s="23">
        <v>60</v>
      </c>
      <c r="R690" s="25">
        <v>111</v>
      </c>
      <c r="S690" s="23">
        <v>0.5</v>
      </c>
      <c r="T690" s="23">
        <v>13</v>
      </c>
      <c r="U690" s="23">
        <v>181</v>
      </c>
      <c r="V690" s="23">
        <v>0.04</v>
      </c>
      <c r="W690" s="23">
        <v>0.18</v>
      </c>
      <c r="X690" s="23">
        <v>0.1</v>
      </c>
      <c r="Y690" s="23">
        <v>5</v>
      </c>
      <c r="Z690" s="23">
        <v>0.37</v>
      </c>
      <c r="AA690" s="25">
        <v>1</v>
      </c>
      <c r="AB690" s="25">
        <v>0</v>
      </c>
      <c r="AC690" s="25">
        <v>1.5</v>
      </c>
      <c r="AD690" s="23">
        <v>0</v>
      </c>
      <c r="AE690" s="23">
        <v>0</v>
      </c>
      <c r="AF690" s="23">
        <v>0</v>
      </c>
      <c r="AG690" s="23">
        <v>0</v>
      </c>
      <c r="AH690" s="24">
        <v>0</v>
      </c>
      <c r="AI690" s="23">
        <v>100</v>
      </c>
      <c r="AJ690" s="13" t="str">
        <f xml:space="preserve"> IF(AD690&gt;F690,"Exceso en grasa saturada",IFERROR(IF(F690=0,"No tiene sello",IF((AD690*9)*100/F690&gt;10,"Exceso en grasa saturada","No tiene sello")),"No tiene sello"))</f>
        <v>No tiene sello</v>
      </c>
      <c r="AK690" s="13">
        <f>IF(AJ690="No tiene sello",0,1)</f>
        <v>0</v>
      </c>
      <c r="AL690" s="13" t="str">
        <f>IF(Q690&gt;=300,"Exceso en sodio",IFERROR(IF(AND(F690=0,Q690&gt;0),"No tiene sello",IF(Q690/F690&gt;1,"Exceso en sodio","No tiene sello")),"No tiene sello"))</f>
        <v>Exceso en sodio</v>
      </c>
      <c r="AM690" s="13" t="str">
        <f>IFERROR(IF(F690=0,"No tiene sello",IF(+(AG690/1000)*9*100/F690&gt;1,"Exceso en grasa trans", "No tiene sello")),"No tiene sello")</f>
        <v>No tiene sello</v>
      </c>
    </row>
    <row r="691" spans="1:39" ht="13.5" customHeight="1" x14ac:dyDescent="0.25">
      <c r="A691" s="26" t="s">
        <v>343</v>
      </c>
      <c r="B691" s="26" t="s">
        <v>344</v>
      </c>
      <c r="C691" s="27"/>
      <c r="D691" s="47">
        <v>100</v>
      </c>
      <c r="E691" s="28">
        <v>76</v>
      </c>
      <c r="F691" s="24">
        <v>99</v>
      </c>
      <c r="G691" s="28">
        <v>418</v>
      </c>
      <c r="H691" s="24">
        <v>4</v>
      </c>
      <c r="I691" s="24">
        <v>1.1000000000000001</v>
      </c>
      <c r="J691" s="24">
        <v>18.100000000000001</v>
      </c>
      <c r="K691" s="28">
        <v>17.8</v>
      </c>
      <c r="L691" s="28">
        <v>1.81</v>
      </c>
      <c r="M691" s="24">
        <v>0.3</v>
      </c>
      <c r="N691" s="28">
        <v>0.9</v>
      </c>
      <c r="O691" s="25">
        <v>128</v>
      </c>
      <c r="P691" s="25">
        <v>0.1</v>
      </c>
      <c r="Q691" s="28">
        <v>62</v>
      </c>
      <c r="R691" s="25">
        <v>112</v>
      </c>
      <c r="S691" s="28">
        <v>0.6</v>
      </c>
      <c r="T691" s="28">
        <v>15</v>
      </c>
      <c r="U691" s="28">
        <v>204</v>
      </c>
      <c r="V691" s="28">
        <v>7.0000000000000007E-2</v>
      </c>
      <c r="W691" s="28">
        <v>0.25</v>
      </c>
      <c r="X691" s="28">
        <v>0.1</v>
      </c>
      <c r="Y691" s="28">
        <v>16</v>
      </c>
      <c r="Z691" s="28">
        <v>0.3</v>
      </c>
      <c r="AA691" s="25">
        <v>1</v>
      </c>
      <c r="AB691" s="25">
        <v>10</v>
      </c>
      <c r="AC691" s="25">
        <v>1.2</v>
      </c>
      <c r="AD691" s="28">
        <v>0.8</v>
      </c>
      <c r="AE691" s="28">
        <v>0.3</v>
      </c>
      <c r="AF691" s="28">
        <v>0</v>
      </c>
      <c r="AG691" s="28">
        <v>5</v>
      </c>
      <c r="AH691" s="24">
        <v>6</v>
      </c>
      <c r="AI691" s="28">
        <v>100</v>
      </c>
      <c r="AJ691" s="13" t="str">
        <f xml:space="preserve"> IF(AD691&gt;F691,"Exceso en grasa saturada",IFERROR(IF(F691=0,"No tiene sello",IF((AD691*9)*100/F691&gt;10,"Exceso en grasa saturada","No tiene sello")),"No tiene sello"))</f>
        <v>No tiene sello</v>
      </c>
      <c r="AK691" s="13">
        <f>IF(AJ691="No tiene sello",0,1)</f>
        <v>0</v>
      </c>
      <c r="AL691" s="13" t="str">
        <f>IF(Q691&gt;=300,"Exceso en sodio",IFERROR(IF(AND(F691=0,Q691&gt;0),"No tiene sello",IF(Q691/F691&gt;1,"Exceso en sodio","No tiene sello")),"No tiene sello"))</f>
        <v>No tiene sello</v>
      </c>
      <c r="AM691" s="13" t="str">
        <f>IFERROR(IF(F691=0,"No tiene sello",IF(+(AG691/1000)*9*100/F691&gt;1,"Exceso en grasa trans", "No tiene sello")),"No tiene sello")</f>
        <v>No tiene sello</v>
      </c>
    </row>
    <row r="692" spans="1:39" ht="13.5" customHeight="1" x14ac:dyDescent="0.25">
      <c r="A692" s="20" t="s">
        <v>341</v>
      </c>
      <c r="B692" s="20" t="s">
        <v>342</v>
      </c>
      <c r="C692" s="20" t="s">
        <v>339</v>
      </c>
      <c r="D692" s="46">
        <v>100</v>
      </c>
      <c r="E692" s="23">
        <v>40.200000000000003</v>
      </c>
      <c r="F692" s="24">
        <v>244</v>
      </c>
      <c r="G692" s="23">
        <v>1035</v>
      </c>
      <c r="H692" s="24">
        <v>3.4</v>
      </c>
      <c r="I692" s="24">
        <v>0.2</v>
      </c>
      <c r="J692" s="24">
        <v>54.4</v>
      </c>
      <c r="K692" s="23">
        <v>48.5</v>
      </c>
      <c r="L692" s="23">
        <v>5.44</v>
      </c>
      <c r="M692" s="24">
        <v>5.9</v>
      </c>
      <c r="N692" s="23">
        <v>1.8</v>
      </c>
      <c r="O692" s="25">
        <v>18</v>
      </c>
      <c r="P692" s="25">
        <v>1.3</v>
      </c>
      <c r="Q692" s="23">
        <v>2</v>
      </c>
      <c r="R692" s="25">
        <v>78</v>
      </c>
      <c r="S692" s="23">
        <v>0.6</v>
      </c>
      <c r="T692" s="23">
        <v>58</v>
      </c>
      <c r="U692" s="23">
        <v>554</v>
      </c>
      <c r="V692" s="23">
        <v>0.12</v>
      </c>
      <c r="W692" s="23">
        <v>0.05</v>
      </c>
      <c r="X692" s="23">
        <v>0</v>
      </c>
      <c r="Y692" s="23">
        <v>0</v>
      </c>
      <c r="Z692" s="23">
        <v>0</v>
      </c>
      <c r="AA692" s="25">
        <v>0</v>
      </c>
      <c r="AB692" s="25">
        <v>0</v>
      </c>
      <c r="AC692" s="25">
        <v>0</v>
      </c>
      <c r="AD692" s="23">
        <v>0</v>
      </c>
      <c r="AE692" s="23">
        <v>0</v>
      </c>
      <c r="AF692" s="23">
        <v>0</v>
      </c>
      <c r="AG692" s="23">
        <v>0</v>
      </c>
      <c r="AH692" s="24">
        <v>0</v>
      </c>
      <c r="AI692" s="23"/>
      <c r="AJ692" s="13" t="str">
        <f xml:space="preserve"> IF(AD692&gt;F692,"Exceso en grasa saturada",IFERROR(IF(F692=0,"No tiene sello",IF((AD692*9)*100/F692&gt;10,"Exceso en grasa saturada","No tiene sello")),"No tiene sello"))</f>
        <v>No tiene sello</v>
      </c>
      <c r="AK692" s="13">
        <f>IF(AJ692="No tiene sello",0,1)</f>
        <v>0</v>
      </c>
      <c r="AL692" s="13" t="str">
        <f>IF(Q692&gt;=300,"Exceso en sodio",IFERROR(IF(AND(F692=0,Q692&gt;0),"No tiene sello",IF(Q692/F692&gt;1,"Exceso en sodio","No tiene sello")),"No tiene sello"))</f>
        <v>No tiene sello</v>
      </c>
      <c r="AM692" s="13" t="str">
        <f>IFERROR(IF(F692=0,"No tiene sello",IF(+(AG692/1000)*9*100/F692&gt;1,"Exceso en grasa trans", "No tiene sello")),"No tiene sello")</f>
        <v>No tiene sello</v>
      </c>
    </row>
    <row r="693" spans="1:39" ht="13.5" customHeight="1" x14ac:dyDescent="0.25">
      <c r="A693" s="26" t="s">
        <v>338</v>
      </c>
      <c r="B693" s="26" t="s">
        <v>340</v>
      </c>
      <c r="C693" s="26" t="s">
        <v>339</v>
      </c>
      <c r="D693" s="47">
        <v>100</v>
      </c>
      <c r="E693" s="28">
        <v>84.4</v>
      </c>
      <c r="F693" s="24">
        <v>58</v>
      </c>
      <c r="G693" s="28">
        <v>248</v>
      </c>
      <c r="H693" s="24">
        <v>0.9</v>
      </c>
      <c r="I693" s="24">
        <v>0.2</v>
      </c>
      <c r="J693" s="24">
        <v>13</v>
      </c>
      <c r="K693" s="28">
        <v>12.505000000000001</v>
      </c>
      <c r="L693" s="28">
        <v>1.3</v>
      </c>
      <c r="M693" s="24">
        <v>1.5</v>
      </c>
      <c r="N693" s="28">
        <v>0</v>
      </c>
      <c r="O693" s="25">
        <v>36</v>
      </c>
      <c r="P693" s="25">
        <v>0.8</v>
      </c>
      <c r="Q693" s="28">
        <v>0</v>
      </c>
      <c r="R693" s="25">
        <v>53</v>
      </c>
      <c r="S693" s="28">
        <v>0</v>
      </c>
      <c r="T693" s="28">
        <v>0</v>
      </c>
      <c r="U693" s="28">
        <v>677</v>
      </c>
      <c r="V693" s="28">
        <v>0.04</v>
      </c>
      <c r="W693" s="28">
        <v>0.01</v>
      </c>
      <c r="X693" s="28">
        <v>0.3</v>
      </c>
      <c r="Y693" s="28">
        <v>0</v>
      </c>
      <c r="Z693" s="28">
        <v>0</v>
      </c>
      <c r="AA693" s="25">
        <v>0</v>
      </c>
      <c r="AB693" s="25">
        <v>2</v>
      </c>
      <c r="AC693" s="25">
        <v>0</v>
      </c>
      <c r="AD693" s="28">
        <v>0</v>
      </c>
      <c r="AE693" s="28">
        <v>0</v>
      </c>
      <c r="AF693" s="28">
        <v>0</v>
      </c>
      <c r="AG693" s="28">
        <v>0</v>
      </c>
      <c r="AH693" s="24">
        <v>0</v>
      </c>
      <c r="AI693" s="28">
        <v>65</v>
      </c>
      <c r="AJ693" s="13" t="str">
        <f xml:space="preserve"> IF(AD693&gt;F693,"Exceso en grasa saturada",IFERROR(IF(F693=0,"No tiene sello",IF((AD693*9)*100/F693&gt;10,"Exceso en grasa saturada","No tiene sello")),"No tiene sello"))</f>
        <v>No tiene sello</v>
      </c>
      <c r="AK693" s="13">
        <f>IF(AJ693="No tiene sello",0,1)</f>
        <v>0</v>
      </c>
      <c r="AL693" s="13" t="str">
        <f>IF(Q693&gt;=300,"Exceso en sodio",IFERROR(IF(AND(F693=0,Q693&gt;0),"No tiene sello",IF(Q693/F693&gt;1,"Exceso en sodio","No tiene sello")),"No tiene sello"))</f>
        <v>No tiene sello</v>
      </c>
      <c r="AM693" s="13" t="str">
        <f>IFERROR(IF(F693=0,"No tiene sello",IF(+(AG693/1000)*9*100/F693&gt;1,"Exceso en grasa trans", "No tiene sello")),"No tiene sello")</f>
        <v>No tiene sello</v>
      </c>
    </row>
    <row r="694" spans="1:39" ht="13.5" customHeight="1" x14ac:dyDescent="0.25">
      <c r="A694" s="20" t="s">
        <v>336</v>
      </c>
      <c r="B694" s="20" t="s">
        <v>337</v>
      </c>
      <c r="C694" s="20" t="s">
        <v>154</v>
      </c>
      <c r="D694" s="46">
        <v>100</v>
      </c>
      <c r="E694" s="23">
        <v>72</v>
      </c>
      <c r="F694" s="24">
        <v>153</v>
      </c>
      <c r="G694" s="23">
        <v>637</v>
      </c>
      <c r="H694" s="24">
        <v>2.9</v>
      </c>
      <c r="I694" s="24">
        <v>9</v>
      </c>
      <c r="J694" s="24">
        <v>15</v>
      </c>
      <c r="K694" s="23">
        <v>0</v>
      </c>
      <c r="L694" s="23">
        <v>1.5</v>
      </c>
      <c r="M694" s="24">
        <v>0</v>
      </c>
      <c r="N694" s="23">
        <v>1</v>
      </c>
      <c r="O694" s="25">
        <v>30</v>
      </c>
      <c r="P694" s="25">
        <v>0.7</v>
      </c>
      <c r="Q694" s="23">
        <v>31</v>
      </c>
      <c r="R694" s="25">
        <v>37</v>
      </c>
      <c r="S694" s="23">
        <v>0.6</v>
      </c>
      <c r="T694" s="23">
        <v>38</v>
      </c>
      <c r="U694" s="23">
        <v>270</v>
      </c>
      <c r="V694" s="23">
        <v>0.03</v>
      </c>
      <c r="W694" s="23">
        <v>7.0000000000000007E-2</v>
      </c>
      <c r="X694" s="23">
        <v>0.6</v>
      </c>
      <c r="Y694" s="23">
        <v>41</v>
      </c>
      <c r="Z694" s="23">
        <v>0</v>
      </c>
      <c r="AA694" s="25">
        <v>30</v>
      </c>
      <c r="AB694" s="25">
        <v>0</v>
      </c>
      <c r="AC694" s="25">
        <v>0</v>
      </c>
      <c r="AD694" s="23">
        <v>0</v>
      </c>
      <c r="AE694" s="23">
        <v>0</v>
      </c>
      <c r="AF694" s="23">
        <v>0</v>
      </c>
      <c r="AG694" s="23">
        <v>0</v>
      </c>
      <c r="AH694" s="24">
        <v>0</v>
      </c>
      <c r="AI694" s="23"/>
      <c r="AJ694" s="13" t="str">
        <f xml:space="preserve"> IF(AD694&gt;F694,"Exceso en grasa saturada",IFERROR(IF(F694=0,"No tiene sello",IF((AD694*9)*100/F694&gt;10,"Exceso en grasa saturada","No tiene sello")),"No tiene sello"))</f>
        <v>No tiene sello</v>
      </c>
      <c r="AK694" s="13">
        <f>IF(AJ694="No tiene sello",0,1)</f>
        <v>0</v>
      </c>
      <c r="AL694" s="13" t="str">
        <f>IF(Q694&gt;=300,"Exceso en sodio",IFERROR(IF(AND(F694=0,Q694&gt;0),"No tiene sello",IF(Q694/F694&gt;1,"Exceso en sodio","No tiene sello")),"No tiene sello"))</f>
        <v>No tiene sello</v>
      </c>
      <c r="AM694" s="13" t="str">
        <f>IFERROR(IF(F694=0,"No tiene sello",IF(+(AG694/1000)*9*100/F694&gt;1,"Exceso en grasa trans", "No tiene sello")),"No tiene sello")</f>
        <v>No tiene sello</v>
      </c>
    </row>
    <row r="695" spans="1:39" ht="13.5" customHeight="1" x14ac:dyDescent="0.25">
      <c r="A695" s="26" t="s">
        <v>334</v>
      </c>
      <c r="B695" s="26" t="s">
        <v>335</v>
      </c>
      <c r="C695" s="27"/>
      <c r="D695" s="47">
        <v>100</v>
      </c>
      <c r="E695" s="28">
        <v>6.2</v>
      </c>
      <c r="F695" s="24">
        <v>371</v>
      </c>
      <c r="G695" s="28">
        <v>1576</v>
      </c>
      <c r="H695" s="24">
        <v>0.5</v>
      </c>
      <c r="I695" s="24">
        <v>0.5</v>
      </c>
      <c r="J695" s="24">
        <v>91</v>
      </c>
      <c r="K695" s="28">
        <v>90.5</v>
      </c>
      <c r="L695" s="28">
        <v>0.1</v>
      </c>
      <c r="M695" s="24">
        <v>0.5</v>
      </c>
      <c r="N695" s="28">
        <v>1.9</v>
      </c>
      <c r="O695" s="25">
        <v>0</v>
      </c>
      <c r="P695" s="25">
        <v>0</v>
      </c>
      <c r="Q695" s="28">
        <v>0</v>
      </c>
      <c r="R695" s="25">
        <v>0</v>
      </c>
      <c r="S695" s="28">
        <v>0</v>
      </c>
      <c r="T695" s="28">
        <v>0</v>
      </c>
      <c r="U695" s="28">
        <v>0</v>
      </c>
      <c r="V695" s="28">
        <v>0</v>
      </c>
      <c r="W695" s="28">
        <v>0</v>
      </c>
      <c r="X695" s="28">
        <v>0</v>
      </c>
      <c r="Y695" s="28">
        <v>0</v>
      </c>
      <c r="Z695" s="28">
        <v>0</v>
      </c>
      <c r="AA695" s="25">
        <v>0</v>
      </c>
      <c r="AB695" s="25">
        <v>0</v>
      </c>
      <c r="AC695" s="25">
        <v>0</v>
      </c>
      <c r="AD695" s="28">
        <v>0</v>
      </c>
      <c r="AE695" s="28">
        <v>0</v>
      </c>
      <c r="AF695" s="28">
        <v>0</v>
      </c>
      <c r="AG695" s="28">
        <v>0</v>
      </c>
      <c r="AH695" s="24">
        <v>0</v>
      </c>
      <c r="AI695" s="28">
        <v>100</v>
      </c>
      <c r="AJ695" s="13" t="str">
        <f xml:space="preserve"> IF(AD695&gt;F695,"Exceso en grasa saturada",IFERROR(IF(F695=0,"No tiene sello",IF((AD695*9)*100/F695&gt;10,"Exceso en grasa saturada","No tiene sello")),"No tiene sello"))</f>
        <v>No tiene sello</v>
      </c>
      <c r="AK695" s="13">
        <f>IF(AJ695="No tiene sello",0,1)</f>
        <v>0</v>
      </c>
      <c r="AL695" s="13" t="str">
        <f>IF(Q695&gt;=300,"Exceso en sodio",IFERROR(IF(AND(F695=0,Q695&gt;0),"No tiene sello",IF(Q695/F695&gt;1,"Exceso en sodio","No tiene sello")),"No tiene sello"))</f>
        <v>No tiene sello</v>
      </c>
      <c r="AM695" s="13" t="str">
        <f>IFERROR(IF(F695=0,"No tiene sello",IF(+(AG695/1000)*9*100/F695&gt;1,"Exceso en grasa trans", "No tiene sello")),"No tiene sello")</f>
        <v>No tiene sello</v>
      </c>
    </row>
    <row r="696" spans="1:39" s="5" customFormat="1" ht="13.5" customHeight="1" x14ac:dyDescent="0.25">
      <c r="A696" s="20" t="s">
        <v>332</v>
      </c>
      <c r="B696" s="20" t="s">
        <v>333</v>
      </c>
      <c r="C696" s="21"/>
      <c r="D696" s="46">
        <v>100</v>
      </c>
      <c r="E696" s="23">
        <v>14.1</v>
      </c>
      <c r="F696" s="24">
        <v>348</v>
      </c>
      <c r="G696" s="23">
        <v>1475</v>
      </c>
      <c r="H696" s="24">
        <v>1.8</v>
      </c>
      <c r="I696" s="24">
        <v>1.3</v>
      </c>
      <c r="J696" s="24">
        <v>82.2</v>
      </c>
      <c r="K696" s="23">
        <v>82.2</v>
      </c>
      <c r="L696" s="23">
        <v>0.1</v>
      </c>
      <c r="M696" s="24">
        <v>0</v>
      </c>
      <c r="N696" s="23">
        <v>0.7</v>
      </c>
      <c r="O696" s="25">
        <v>0</v>
      </c>
      <c r="P696" s="25">
        <v>0</v>
      </c>
      <c r="Q696" s="23">
        <v>0</v>
      </c>
      <c r="R696" s="25">
        <v>0</v>
      </c>
      <c r="S696" s="23">
        <v>0</v>
      </c>
      <c r="T696" s="23">
        <v>0</v>
      </c>
      <c r="U696" s="23">
        <v>0</v>
      </c>
      <c r="V696" s="23">
        <v>0</v>
      </c>
      <c r="W696" s="23">
        <v>0</v>
      </c>
      <c r="X696" s="23">
        <v>0</v>
      </c>
      <c r="Y696" s="23">
        <v>0</v>
      </c>
      <c r="Z696" s="23">
        <v>0</v>
      </c>
      <c r="AA696" s="25">
        <v>0</v>
      </c>
      <c r="AB696" s="25">
        <v>0</v>
      </c>
      <c r="AC696" s="25">
        <v>0</v>
      </c>
      <c r="AD696" s="23">
        <v>0</v>
      </c>
      <c r="AE696" s="23">
        <v>0</v>
      </c>
      <c r="AF696" s="23">
        <v>0</v>
      </c>
      <c r="AG696" s="23">
        <v>0</v>
      </c>
      <c r="AH696" s="24">
        <v>0</v>
      </c>
      <c r="AI696" s="23">
        <v>100</v>
      </c>
      <c r="AJ696" s="13" t="str">
        <f xml:space="preserve"> IF(AD696&gt;F696,"Exceso en grasa saturada",IFERROR(IF(F696=0,"No tiene sello",IF((AD696*9)*100/F696&gt;10,"Exceso en grasa saturada","No tiene sello")),"No tiene sello"))</f>
        <v>No tiene sello</v>
      </c>
      <c r="AK696" s="13">
        <f>IF(AJ696="No tiene sello",0,1)</f>
        <v>0</v>
      </c>
      <c r="AL696" s="13" t="str">
        <f>IF(Q696&gt;=300,"Exceso en sodio",IFERROR(IF(AND(F696=0,Q696&gt;0),"No tiene sello",IF(Q696/F696&gt;1,"Exceso en sodio","No tiene sello")),"No tiene sello"))</f>
        <v>No tiene sello</v>
      </c>
      <c r="AM696" s="13" t="str">
        <f>IFERROR(IF(F696=0,"No tiene sello",IF(+(AG696/1000)*9*100/F696&gt;1,"Exceso en grasa trans", "No tiene sello")),"No tiene sello")</f>
        <v>No tiene sello</v>
      </c>
    </row>
    <row r="697" spans="1:39" s="4" customFormat="1" ht="13.5" customHeight="1" x14ac:dyDescent="0.25">
      <c r="A697" s="26" t="s">
        <v>330</v>
      </c>
      <c r="B697" s="26" t="s">
        <v>331</v>
      </c>
      <c r="C697" s="27"/>
      <c r="D697" s="47">
        <v>100</v>
      </c>
      <c r="E697" s="28">
        <v>10.1</v>
      </c>
      <c r="F697" s="24">
        <v>395</v>
      </c>
      <c r="G697" s="28">
        <v>1669</v>
      </c>
      <c r="H697" s="24">
        <v>0.8</v>
      </c>
      <c r="I697" s="24">
        <v>6.7</v>
      </c>
      <c r="J697" s="24">
        <v>82.3</v>
      </c>
      <c r="K697" s="28">
        <v>81.3</v>
      </c>
      <c r="L697" s="28">
        <v>0.1</v>
      </c>
      <c r="M697" s="24">
        <v>1</v>
      </c>
      <c r="N697" s="28">
        <v>0.1</v>
      </c>
      <c r="O697" s="25">
        <v>0</v>
      </c>
      <c r="P697" s="25">
        <v>0</v>
      </c>
      <c r="Q697" s="28">
        <v>0</v>
      </c>
      <c r="R697" s="25">
        <v>0</v>
      </c>
      <c r="S697" s="28">
        <v>0</v>
      </c>
      <c r="T697" s="28">
        <v>0</v>
      </c>
      <c r="U697" s="28">
        <v>0</v>
      </c>
      <c r="V697" s="28">
        <v>0</v>
      </c>
      <c r="W697" s="28">
        <v>0</v>
      </c>
      <c r="X697" s="28">
        <v>0</v>
      </c>
      <c r="Y697" s="28">
        <v>0</v>
      </c>
      <c r="Z697" s="28">
        <v>0</v>
      </c>
      <c r="AA697" s="25">
        <v>0</v>
      </c>
      <c r="AB697" s="25">
        <v>0</v>
      </c>
      <c r="AC697" s="25">
        <v>0</v>
      </c>
      <c r="AD697" s="28">
        <v>0</v>
      </c>
      <c r="AE697" s="28">
        <v>0</v>
      </c>
      <c r="AF697" s="28">
        <v>0</v>
      </c>
      <c r="AG697" s="28">
        <v>0</v>
      </c>
      <c r="AH697" s="24">
        <v>0</v>
      </c>
      <c r="AI697" s="28">
        <v>100</v>
      </c>
      <c r="AJ697" s="13" t="str">
        <f xml:space="preserve"> IF(AD697&gt;F697,"Exceso en grasa saturada",IFERROR(IF(F697=0,"No tiene sello",IF((AD697*9)*100/F697&gt;10,"Exceso en grasa saturada","No tiene sello")),"No tiene sello"))</f>
        <v>No tiene sello</v>
      </c>
      <c r="AK697" s="13">
        <f>IF(AJ697="No tiene sello",0,1)</f>
        <v>0</v>
      </c>
      <c r="AL697" s="13" t="str">
        <f>IF(Q697&gt;=300,"Exceso en sodio",IFERROR(IF(AND(F697=0,Q697&gt;0),"No tiene sello",IF(Q697/F697&gt;1,"Exceso en sodio","No tiene sello")),"No tiene sello"))</f>
        <v>No tiene sello</v>
      </c>
      <c r="AM697" s="13" t="str">
        <f>IFERROR(IF(F697=0,"No tiene sello",IF(+(AG697/1000)*9*100/F697&gt;1,"Exceso en grasa trans", "No tiene sello")),"No tiene sello")</f>
        <v>No tiene sello</v>
      </c>
    </row>
    <row r="698" spans="1:39" ht="13.5" customHeight="1" x14ac:dyDescent="0.25">
      <c r="A698" s="20" t="s">
        <v>328</v>
      </c>
      <c r="B698" s="20" t="s">
        <v>329</v>
      </c>
      <c r="C698" s="20" t="s">
        <v>154</v>
      </c>
      <c r="D698" s="46">
        <v>100</v>
      </c>
      <c r="E698" s="23">
        <v>91.2</v>
      </c>
      <c r="F698" s="24">
        <v>42</v>
      </c>
      <c r="G698" s="23">
        <v>175</v>
      </c>
      <c r="H698" s="24">
        <v>1.1000000000000001</v>
      </c>
      <c r="I698" s="24">
        <v>1.1000000000000001</v>
      </c>
      <c r="J698" s="24">
        <v>6.5</v>
      </c>
      <c r="K698" s="23">
        <v>5.6</v>
      </c>
      <c r="L698" s="23">
        <v>0.65</v>
      </c>
      <c r="M698" s="24">
        <v>0.9</v>
      </c>
      <c r="N698" s="23">
        <v>0.2</v>
      </c>
      <c r="O698" s="25">
        <v>4</v>
      </c>
      <c r="P698" s="25">
        <v>0.8</v>
      </c>
      <c r="Q698" s="23">
        <v>28</v>
      </c>
      <c r="R698" s="25">
        <v>0</v>
      </c>
      <c r="S698" s="23">
        <v>0.4</v>
      </c>
      <c r="T698" s="23">
        <v>14</v>
      </c>
      <c r="U698" s="23">
        <v>222</v>
      </c>
      <c r="V698" s="23">
        <v>0</v>
      </c>
      <c r="W698" s="23">
        <v>0</v>
      </c>
      <c r="X698" s="23">
        <v>0</v>
      </c>
      <c r="Y698" s="23">
        <v>0</v>
      </c>
      <c r="Z698" s="23">
        <v>0</v>
      </c>
      <c r="AA698" s="25">
        <v>0</v>
      </c>
      <c r="AB698" s="25">
        <v>0</v>
      </c>
      <c r="AC698" s="25">
        <v>0</v>
      </c>
      <c r="AD698" s="23">
        <v>0</v>
      </c>
      <c r="AE698" s="23">
        <v>0</v>
      </c>
      <c r="AF698" s="23">
        <v>0</v>
      </c>
      <c r="AG698" s="23">
        <v>0</v>
      </c>
      <c r="AH698" s="24">
        <v>0</v>
      </c>
      <c r="AI698" s="23">
        <v>77</v>
      </c>
      <c r="AJ698" s="13" t="str">
        <f xml:space="preserve"> IF(AD698&gt;F698,"Exceso en grasa saturada",IFERROR(IF(F698=0,"No tiene sello",IF((AD698*9)*100/F698&gt;10,"Exceso en grasa saturada","No tiene sello")),"No tiene sello"))</f>
        <v>No tiene sello</v>
      </c>
      <c r="AK698" s="13">
        <f>IF(AJ698="No tiene sello",0,1)</f>
        <v>0</v>
      </c>
      <c r="AL698" s="13" t="str">
        <f>IF(Q698&gt;=300,"Exceso en sodio",IFERROR(IF(AND(F698=0,Q698&gt;0),"No tiene sello",IF(Q698/F698&gt;1,"Exceso en sodio","No tiene sello")),"No tiene sello"))</f>
        <v>No tiene sello</v>
      </c>
      <c r="AM698" s="13" t="str">
        <f>IFERROR(IF(F698=0,"No tiene sello",IF(+(AG698/1000)*9*100/F698&gt;1,"Exceso en grasa trans", "No tiene sello")),"No tiene sello")</f>
        <v>No tiene sello</v>
      </c>
    </row>
    <row r="699" spans="1:39" ht="13.5" customHeight="1" x14ac:dyDescent="0.25">
      <c r="A699" s="26" t="s">
        <v>326</v>
      </c>
      <c r="B699" s="26" t="s">
        <v>327</v>
      </c>
      <c r="C699" s="26" t="s">
        <v>154</v>
      </c>
      <c r="D699" s="47">
        <v>100</v>
      </c>
      <c r="E699" s="28">
        <v>62.5</v>
      </c>
      <c r="F699" s="24">
        <v>150</v>
      </c>
      <c r="G699" s="28">
        <v>636</v>
      </c>
      <c r="H699" s="24">
        <v>5.2</v>
      </c>
      <c r="I699" s="24">
        <v>0.8</v>
      </c>
      <c r="J699" s="24">
        <v>30.5</v>
      </c>
      <c r="K699" s="28">
        <v>0</v>
      </c>
      <c r="L699" s="28">
        <v>4.58</v>
      </c>
      <c r="M699" s="24">
        <v>0</v>
      </c>
      <c r="N699" s="28">
        <v>1</v>
      </c>
      <c r="O699" s="25">
        <v>29</v>
      </c>
      <c r="P699" s="25">
        <v>1</v>
      </c>
      <c r="Q699" s="28">
        <v>0</v>
      </c>
      <c r="R699" s="25">
        <v>37</v>
      </c>
      <c r="S699" s="28">
        <v>0</v>
      </c>
      <c r="T699" s="28">
        <v>0</v>
      </c>
      <c r="U699" s="28">
        <v>0</v>
      </c>
      <c r="V699" s="28">
        <v>0.14000000000000001</v>
      </c>
      <c r="W699" s="28">
        <v>7.0000000000000007E-2</v>
      </c>
      <c r="X699" s="28">
        <v>0.9</v>
      </c>
      <c r="Y699" s="28">
        <v>0</v>
      </c>
      <c r="Z699" s="28">
        <v>0</v>
      </c>
      <c r="AA699" s="25">
        <v>10</v>
      </c>
      <c r="AB699" s="25">
        <v>0</v>
      </c>
      <c r="AC699" s="25">
        <v>0</v>
      </c>
      <c r="AD699" s="28">
        <v>0</v>
      </c>
      <c r="AE699" s="28">
        <v>0</v>
      </c>
      <c r="AF699" s="28">
        <v>0</v>
      </c>
      <c r="AG699" s="28">
        <v>0</v>
      </c>
      <c r="AH699" s="24">
        <v>0</v>
      </c>
      <c r="AI699" s="28">
        <v>100</v>
      </c>
      <c r="AJ699" s="13" t="str">
        <f xml:space="preserve"> IF(AD699&gt;F699,"Exceso en grasa saturada",IFERROR(IF(F699=0,"No tiene sello",IF((AD699*9)*100/F699&gt;10,"Exceso en grasa saturada","No tiene sello")),"No tiene sello"))</f>
        <v>No tiene sello</v>
      </c>
      <c r="AK699" s="13">
        <f>IF(AJ699="No tiene sello",0,1)</f>
        <v>0</v>
      </c>
      <c r="AL699" s="13" t="str">
        <f>IF(Q699&gt;=300,"Exceso en sodio",IFERROR(IF(AND(F699=0,Q699&gt;0),"No tiene sello",IF(Q699/F699&gt;1,"Exceso en sodio","No tiene sello")),"No tiene sello"))</f>
        <v>No tiene sello</v>
      </c>
      <c r="AM699" s="13" t="str">
        <f>IFERROR(IF(F699=0,"No tiene sello",IF(+(AG699/1000)*9*100/F699&gt;1,"Exceso en grasa trans", "No tiene sello")),"No tiene sello")</f>
        <v>No tiene sello</v>
      </c>
    </row>
    <row r="700" spans="1:39" ht="13.5" customHeight="1" x14ac:dyDescent="0.25">
      <c r="A700" s="20" t="s">
        <v>324</v>
      </c>
      <c r="B700" s="20" t="s">
        <v>325</v>
      </c>
      <c r="C700" s="20" t="s">
        <v>154</v>
      </c>
      <c r="D700" s="46">
        <v>100</v>
      </c>
      <c r="E700" s="23">
        <v>74.2</v>
      </c>
      <c r="F700" s="24">
        <v>115</v>
      </c>
      <c r="G700" s="23">
        <v>487</v>
      </c>
      <c r="H700" s="24">
        <v>2.8</v>
      </c>
      <c r="I700" s="24">
        <v>0.6</v>
      </c>
      <c r="J700" s="24">
        <v>22.3</v>
      </c>
      <c r="K700" s="23">
        <v>17.399999999999999</v>
      </c>
      <c r="L700" s="23">
        <v>3.35</v>
      </c>
      <c r="M700" s="24">
        <v>4.9000000000000004</v>
      </c>
      <c r="N700" s="23">
        <v>0.1</v>
      </c>
      <c r="O700" s="25">
        <v>21</v>
      </c>
      <c r="P700" s="25">
        <v>0.6</v>
      </c>
      <c r="Q700" s="23">
        <v>2</v>
      </c>
      <c r="R700" s="25">
        <v>30</v>
      </c>
      <c r="S700" s="23">
        <v>0.1</v>
      </c>
      <c r="T700" s="23">
        <v>25</v>
      </c>
      <c r="U700" s="23">
        <v>490</v>
      </c>
      <c r="V700" s="23">
        <v>0.11</v>
      </c>
      <c r="W700" s="23">
        <v>0.05</v>
      </c>
      <c r="X700" s="23">
        <v>0.8</v>
      </c>
      <c r="Y700" s="23">
        <v>14</v>
      </c>
      <c r="Z700" s="23">
        <v>0</v>
      </c>
      <c r="AA700" s="25">
        <v>25</v>
      </c>
      <c r="AB700" s="25">
        <v>2</v>
      </c>
      <c r="AC700" s="25">
        <v>0</v>
      </c>
      <c r="AD700" s="23">
        <v>0</v>
      </c>
      <c r="AE700" s="23">
        <v>0</v>
      </c>
      <c r="AF700" s="23">
        <v>0</v>
      </c>
      <c r="AG700" s="23">
        <v>0</v>
      </c>
      <c r="AH700" s="24">
        <v>0</v>
      </c>
      <c r="AI700" s="23">
        <v>55</v>
      </c>
      <c r="AJ700" s="13" t="str">
        <f xml:space="preserve"> IF(AD700&gt;F700,"Exceso en grasa saturada",IFERROR(IF(F700=0,"No tiene sello",IF((AD700*9)*100/F700&gt;10,"Exceso en grasa saturada","No tiene sello")),"No tiene sello"))</f>
        <v>No tiene sello</v>
      </c>
      <c r="AK700" s="13">
        <f>IF(AJ700="No tiene sello",0,1)</f>
        <v>0</v>
      </c>
      <c r="AL700" s="13" t="str">
        <f>IF(Q700&gt;=300,"Exceso en sodio",IFERROR(IF(AND(F700=0,Q700&gt;0),"No tiene sello",IF(Q700/F700&gt;1,"Exceso en sodio","No tiene sello")),"No tiene sello"))</f>
        <v>No tiene sello</v>
      </c>
      <c r="AM700" s="13" t="str">
        <f>IFERROR(IF(F700=0,"No tiene sello",IF(+(AG700/1000)*9*100/F700&gt;1,"Exceso en grasa trans", "No tiene sello")),"No tiene sello")</f>
        <v>No tiene sello</v>
      </c>
    </row>
    <row r="701" spans="1:39" s="4" customFormat="1" ht="13.5" customHeight="1" x14ac:dyDescent="0.25">
      <c r="A701" s="26" t="s">
        <v>322</v>
      </c>
      <c r="B701" s="26" t="s">
        <v>323</v>
      </c>
      <c r="C701" s="26" t="s">
        <v>3</v>
      </c>
      <c r="D701" s="47">
        <v>100</v>
      </c>
      <c r="E701" s="28">
        <v>47.8</v>
      </c>
      <c r="F701" s="24">
        <v>242</v>
      </c>
      <c r="G701" s="28">
        <v>1017</v>
      </c>
      <c r="H701" s="24">
        <v>7.4</v>
      </c>
      <c r="I701" s="24">
        <v>5.6</v>
      </c>
      <c r="J701" s="24">
        <v>37.799999999999997</v>
      </c>
      <c r="K701" s="28">
        <v>32.6</v>
      </c>
      <c r="L701" s="28">
        <v>5.67</v>
      </c>
      <c r="M701" s="24">
        <v>5.2</v>
      </c>
      <c r="N701" s="28">
        <v>1.4</v>
      </c>
      <c r="O701" s="25">
        <v>32</v>
      </c>
      <c r="P701" s="25">
        <v>0.5</v>
      </c>
      <c r="Q701" s="28">
        <v>25</v>
      </c>
      <c r="R701" s="25">
        <v>73</v>
      </c>
      <c r="S701" s="28">
        <v>0.9</v>
      </c>
      <c r="T701" s="28">
        <v>54</v>
      </c>
      <c r="U701" s="28">
        <v>941</v>
      </c>
      <c r="V701" s="28">
        <v>0.2</v>
      </c>
      <c r="W701" s="28">
        <v>7.0000000000000007E-2</v>
      </c>
      <c r="X701" s="28">
        <v>0.8</v>
      </c>
      <c r="Y701" s="28">
        <v>53</v>
      </c>
      <c r="Z701" s="28">
        <v>0</v>
      </c>
      <c r="AA701" s="25">
        <v>7</v>
      </c>
      <c r="AB701" s="25">
        <v>1</v>
      </c>
      <c r="AC701" s="25">
        <v>0</v>
      </c>
      <c r="AD701" s="28">
        <v>0</v>
      </c>
      <c r="AE701" s="28">
        <v>0</v>
      </c>
      <c r="AF701" s="28">
        <v>0</v>
      </c>
      <c r="AG701" s="28">
        <v>0</v>
      </c>
      <c r="AH701" s="24">
        <v>0</v>
      </c>
      <c r="AI701" s="28">
        <v>68</v>
      </c>
      <c r="AJ701" s="13" t="str">
        <f xml:space="preserve"> IF(AD701&gt;F701,"Exceso en grasa saturada",IFERROR(IF(F701=0,"No tiene sello",IF((AD701*9)*100/F701&gt;10,"Exceso en grasa saturada","No tiene sello")),"No tiene sello"))</f>
        <v>No tiene sello</v>
      </c>
      <c r="AK701" s="13">
        <f>IF(AJ701="No tiene sello",0,1)</f>
        <v>0</v>
      </c>
      <c r="AL701" s="13" t="str">
        <f>IF(Q701&gt;=300,"Exceso en sodio",IFERROR(IF(AND(F701=0,Q701&gt;0),"No tiene sello",IF(Q701/F701&gt;1,"Exceso en sodio","No tiene sello")),"No tiene sello"))</f>
        <v>No tiene sello</v>
      </c>
      <c r="AM701" s="13" t="str">
        <f>IFERROR(IF(F701=0,"No tiene sello",IF(+(AG701/1000)*9*100/F701&gt;1,"Exceso en grasa trans", "No tiene sello")),"No tiene sello")</f>
        <v>No tiene sello</v>
      </c>
    </row>
    <row r="702" spans="1:39" ht="13.5" customHeight="1" x14ac:dyDescent="0.25">
      <c r="A702" s="20" t="s">
        <v>320</v>
      </c>
      <c r="B702" s="20" t="s">
        <v>321</v>
      </c>
      <c r="C702" s="20" t="s">
        <v>154</v>
      </c>
      <c r="D702" s="46">
        <v>100</v>
      </c>
      <c r="E702" s="23">
        <v>44.3</v>
      </c>
      <c r="F702" s="24">
        <v>378</v>
      </c>
      <c r="G702" s="23">
        <v>1566</v>
      </c>
      <c r="H702" s="24">
        <v>4.5999999999999996</v>
      </c>
      <c r="I702" s="24">
        <v>25.9</v>
      </c>
      <c r="J702" s="24">
        <v>22.4</v>
      </c>
      <c r="K702" s="23">
        <v>3.8</v>
      </c>
      <c r="L702" s="23">
        <v>2.2400000000000002</v>
      </c>
      <c r="M702" s="24">
        <v>18.600000000000001</v>
      </c>
      <c r="N702" s="23">
        <v>2.8</v>
      </c>
      <c r="O702" s="25">
        <v>171</v>
      </c>
      <c r="P702" s="25">
        <v>5</v>
      </c>
      <c r="Q702" s="23">
        <v>36</v>
      </c>
      <c r="R702" s="25">
        <v>172</v>
      </c>
      <c r="S702" s="23">
        <v>3.8</v>
      </c>
      <c r="T702" s="23">
        <v>79</v>
      </c>
      <c r="U702" s="23">
        <v>1</v>
      </c>
      <c r="V702" s="23">
        <v>8.49</v>
      </c>
      <c r="W702" s="23">
        <v>0.93</v>
      </c>
      <c r="X702" s="23">
        <v>0</v>
      </c>
      <c r="Y702" s="23">
        <v>590</v>
      </c>
      <c r="Z702" s="23">
        <v>0.15</v>
      </c>
      <c r="AA702" s="25">
        <v>0</v>
      </c>
      <c r="AB702" s="25">
        <v>0</v>
      </c>
      <c r="AC702" s="25">
        <v>0</v>
      </c>
      <c r="AD702" s="23">
        <v>0</v>
      </c>
      <c r="AE702" s="23">
        <v>0</v>
      </c>
      <c r="AF702" s="23">
        <v>0</v>
      </c>
      <c r="AG702" s="23">
        <v>0</v>
      </c>
      <c r="AH702" s="24">
        <v>0</v>
      </c>
      <c r="AI702" s="23">
        <v>71</v>
      </c>
      <c r="AJ702" s="13" t="str">
        <f xml:space="preserve"> IF(AD702&gt;F702,"Exceso en grasa saturada",IFERROR(IF(F702=0,"No tiene sello",IF((AD702*9)*100/F702&gt;10,"Exceso en grasa saturada","No tiene sello")),"No tiene sello"))</f>
        <v>No tiene sello</v>
      </c>
      <c r="AK702" s="13">
        <f>IF(AJ702="No tiene sello",0,1)</f>
        <v>0</v>
      </c>
      <c r="AL702" s="13" t="str">
        <f>IF(Q702&gt;=300,"Exceso en sodio",IFERROR(IF(AND(F702=0,Q702&gt;0),"No tiene sello",IF(Q702/F702&gt;1,"Exceso en sodio","No tiene sello")),"No tiene sello"))</f>
        <v>No tiene sello</v>
      </c>
      <c r="AM702" s="13" t="str">
        <f>IFERROR(IF(F702=0,"No tiene sello",IF(+(AG702/1000)*9*100/F702&gt;1,"Exceso en grasa trans", "No tiene sello")),"No tiene sello")</f>
        <v>No tiene sello</v>
      </c>
    </row>
    <row r="703" spans="1:39" ht="13.5" customHeight="1" x14ac:dyDescent="0.25">
      <c r="A703" s="26" t="s">
        <v>318</v>
      </c>
      <c r="B703" s="26" t="s">
        <v>319</v>
      </c>
      <c r="C703" s="26" t="s">
        <v>154</v>
      </c>
      <c r="D703" s="47">
        <v>100</v>
      </c>
      <c r="E703" s="28">
        <v>44.3</v>
      </c>
      <c r="F703" s="24">
        <v>385</v>
      </c>
      <c r="G703" s="28">
        <v>1593</v>
      </c>
      <c r="H703" s="24">
        <v>3.8</v>
      </c>
      <c r="I703" s="24">
        <v>30.6</v>
      </c>
      <c r="J703" s="24">
        <v>17.5</v>
      </c>
      <c r="K703" s="28">
        <v>5</v>
      </c>
      <c r="L703" s="28">
        <v>1.75</v>
      </c>
      <c r="M703" s="24">
        <v>12.5</v>
      </c>
      <c r="N703" s="28">
        <v>3.9</v>
      </c>
      <c r="O703" s="25">
        <v>134</v>
      </c>
      <c r="P703" s="25">
        <v>6.7</v>
      </c>
      <c r="Q703" s="28">
        <v>28</v>
      </c>
      <c r="R703" s="25">
        <v>121</v>
      </c>
      <c r="S703" s="28">
        <v>2.9</v>
      </c>
      <c r="T703" s="28">
        <v>63</v>
      </c>
      <c r="U703" s="28">
        <v>1</v>
      </c>
      <c r="V703" s="28">
        <v>3.46</v>
      </c>
      <c r="W703" s="28">
        <v>0.88</v>
      </c>
      <c r="X703" s="28">
        <v>0</v>
      </c>
      <c r="Y703" s="28">
        <v>420</v>
      </c>
      <c r="Z703" s="28">
        <v>0.03</v>
      </c>
      <c r="AA703" s="25">
        <v>0</v>
      </c>
      <c r="AB703" s="25">
        <v>12</v>
      </c>
      <c r="AC703" s="25">
        <v>0</v>
      </c>
      <c r="AD703" s="28">
        <v>0</v>
      </c>
      <c r="AE703" s="28">
        <v>0</v>
      </c>
      <c r="AF703" s="28">
        <v>0</v>
      </c>
      <c r="AG703" s="28">
        <v>0</v>
      </c>
      <c r="AH703" s="24">
        <v>0</v>
      </c>
      <c r="AI703" s="28">
        <v>42</v>
      </c>
      <c r="AJ703" s="13" t="str">
        <f xml:space="preserve"> IF(AD703&gt;F703,"Exceso en grasa saturada",IFERROR(IF(F703=0,"No tiene sello",IF((AD703*9)*100/F703&gt;10,"Exceso en grasa saturada","No tiene sello")),"No tiene sello"))</f>
        <v>No tiene sello</v>
      </c>
      <c r="AK703" s="13">
        <f>IF(AJ703="No tiene sello",0,1)</f>
        <v>0</v>
      </c>
      <c r="AL703" s="13" t="str">
        <f>IF(Q703&gt;=300,"Exceso en sodio",IFERROR(IF(AND(F703=0,Q703&gt;0),"No tiene sello",IF(Q703/F703&gt;1,"Exceso en sodio","No tiene sello")),"No tiene sello"))</f>
        <v>No tiene sello</v>
      </c>
      <c r="AM703" s="13" t="str">
        <f>IFERROR(IF(F703=0,"No tiene sello",IF(+(AG703/1000)*9*100/F703&gt;1,"Exceso en grasa trans", "No tiene sello")),"No tiene sello")</f>
        <v>No tiene sello</v>
      </c>
    </row>
    <row r="704" spans="1:39" s="5" customFormat="1" ht="13.5" customHeight="1" x14ac:dyDescent="0.25">
      <c r="A704" s="20" t="s">
        <v>316</v>
      </c>
      <c r="B704" s="20" t="s">
        <v>317</v>
      </c>
      <c r="C704" s="20" t="s">
        <v>154</v>
      </c>
      <c r="D704" s="46">
        <v>100</v>
      </c>
      <c r="E704" s="23">
        <v>4.5999999999999996</v>
      </c>
      <c r="F704" s="24">
        <v>391</v>
      </c>
      <c r="G704" s="23">
        <v>1659</v>
      </c>
      <c r="H704" s="24">
        <v>0.1</v>
      </c>
      <c r="I704" s="24">
        <v>1.4</v>
      </c>
      <c r="J704" s="24">
        <v>93.9</v>
      </c>
      <c r="K704" s="23">
        <v>92.7</v>
      </c>
      <c r="L704" s="23">
        <v>9.39</v>
      </c>
      <c r="M704" s="24">
        <v>1.1000000000000001</v>
      </c>
      <c r="N704" s="23">
        <v>0</v>
      </c>
      <c r="O704" s="25">
        <v>0</v>
      </c>
      <c r="P704" s="25">
        <v>0</v>
      </c>
      <c r="Q704" s="23">
        <v>0</v>
      </c>
      <c r="R704" s="25">
        <v>0</v>
      </c>
      <c r="S704" s="23">
        <v>0</v>
      </c>
      <c r="T704" s="23">
        <v>0</v>
      </c>
      <c r="U704" s="23">
        <v>0</v>
      </c>
      <c r="V704" s="23">
        <v>0</v>
      </c>
      <c r="W704" s="23">
        <v>0</v>
      </c>
      <c r="X704" s="23">
        <v>0</v>
      </c>
      <c r="Y704" s="23">
        <v>0</v>
      </c>
      <c r="Z704" s="23">
        <v>0</v>
      </c>
      <c r="AA704" s="25">
        <v>0</v>
      </c>
      <c r="AB704" s="25">
        <v>0</v>
      </c>
      <c r="AC704" s="25">
        <v>0</v>
      </c>
      <c r="AD704" s="23">
        <v>0</v>
      </c>
      <c r="AE704" s="23">
        <v>0</v>
      </c>
      <c r="AF704" s="23">
        <v>0</v>
      </c>
      <c r="AG704" s="23">
        <v>0</v>
      </c>
      <c r="AH704" s="24">
        <v>0</v>
      </c>
      <c r="AI704" s="23">
        <v>100</v>
      </c>
      <c r="AJ704" s="13" t="str">
        <f xml:space="preserve"> IF(AD704&gt;F704,"Exceso en grasa saturada",IFERROR(IF(F704=0,"No tiene sello",IF((AD704*9)*100/F704&gt;10,"Exceso en grasa saturada","No tiene sello")),"No tiene sello"))</f>
        <v>No tiene sello</v>
      </c>
      <c r="AK704" s="13">
        <f>IF(AJ704="No tiene sello",0,1)</f>
        <v>0</v>
      </c>
      <c r="AL704" s="13" t="str">
        <f>IF(Q704&gt;=300,"Exceso en sodio",IFERROR(IF(AND(F704=0,Q704&gt;0),"No tiene sello",IF(Q704/F704&gt;1,"Exceso en sodio","No tiene sello")),"No tiene sello"))</f>
        <v>No tiene sello</v>
      </c>
      <c r="AM704" s="13" t="str">
        <f>IFERROR(IF(F704=0,"No tiene sello",IF(+(AG704/1000)*9*100/F704&gt;1,"Exceso en grasa trans", "No tiene sello")),"No tiene sello")</f>
        <v>No tiene sello</v>
      </c>
    </row>
    <row r="705" spans="1:39" ht="13.5" customHeight="1" x14ac:dyDescent="0.25">
      <c r="A705" s="26" t="s">
        <v>314</v>
      </c>
      <c r="B705" s="26" t="s">
        <v>315</v>
      </c>
      <c r="C705" s="26" t="s">
        <v>154</v>
      </c>
      <c r="D705" s="47">
        <v>100</v>
      </c>
      <c r="E705" s="28">
        <v>2.6</v>
      </c>
      <c r="F705" s="24">
        <v>691</v>
      </c>
      <c r="G705" s="28">
        <v>2859</v>
      </c>
      <c r="H705" s="24">
        <v>1.6</v>
      </c>
      <c r="I705" s="24">
        <v>51.6</v>
      </c>
      <c r="J705" s="24">
        <v>43.7</v>
      </c>
      <c r="K705" s="28">
        <v>21.4</v>
      </c>
      <c r="L705" s="28">
        <v>4.37</v>
      </c>
      <c r="M705" s="24">
        <v>22.3</v>
      </c>
      <c r="N705" s="28">
        <v>0.4</v>
      </c>
      <c r="O705" s="25">
        <v>228</v>
      </c>
      <c r="P705" s="25">
        <v>8.4</v>
      </c>
      <c r="Q705" s="28">
        <v>225</v>
      </c>
      <c r="R705" s="25">
        <v>0</v>
      </c>
      <c r="S705" s="28">
        <v>20.6</v>
      </c>
      <c r="T705" s="28">
        <v>202</v>
      </c>
      <c r="U705" s="28">
        <v>429</v>
      </c>
      <c r="V705" s="28">
        <v>0</v>
      </c>
      <c r="W705" s="28">
        <v>0</v>
      </c>
      <c r="X705" s="28">
        <v>0</v>
      </c>
      <c r="Y705" s="28">
        <v>0</v>
      </c>
      <c r="Z705" s="28">
        <v>0</v>
      </c>
      <c r="AA705" s="25">
        <v>0</v>
      </c>
      <c r="AB705" s="25">
        <v>0</v>
      </c>
      <c r="AC705" s="25">
        <v>0</v>
      </c>
      <c r="AD705" s="28">
        <v>0</v>
      </c>
      <c r="AE705" s="28">
        <v>0</v>
      </c>
      <c r="AF705" s="28">
        <v>0</v>
      </c>
      <c r="AG705" s="28">
        <v>0</v>
      </c>
      <c r="AH705" s="24">
        <v>0</v>
      </c>
      <c r="AI705" s="28">
        <v>100</v>
      </c>
      <c r="AJ705" s="13" t="str">
        <f xml:space="preserve"> IF(AD705&gt;F705,"Exceso en grasa saturada",IFERROR(IF(F705=0,"No tiene sello",IF((AD705*9)*100/F705&gt;10,"Exceso en grasa saturada","No tiene sello")),"No tiene sello"))</f>
        <v>No tiene sello</v>
      </c>
      <c r="AK705" s="13">
        <f>IF(AJ705="No tiene sello",0,1)</f>
        <v>0</v>
      </c>
      <c r="AL705" s="13" t="str">
        <f>IF(Q705&gt;=300,"Exceso en sodio",IFERROR(IF(AND(F705=0,Q705&gt;0),"No tiene sello",IF(Q705/F705&gt;1,"Exceso en sodio","No tiene sello")),"No tiene sello"))</f>
        <v>No tiene sello</v>
      </c>
      <c r="AM705" s="13" t="str">
        <f>IFERROR(IF(F705=0,"No tiene sello",IF(+(AG705/1000)*9*100/F705&gt;1,"Exceso en grasa trans", "No tiene sello")),"No tiene sello")</f>
        <v>No tiene sello</v>
      </c>
    </row>
    <row r="706" spans="1:39" ht="13.5" customHeight="1" x14ac:dyDescent="0.25">
      <c r="A706" s="20" t="s">
        <v>311</v>
      </c>
      <c r="B706" s="20" t="s">
        <v>313</v>
      </c>
      <c r="C706" s="20" t="s">
        <v>312</v>
      </c>
      <c r="D706" s="46">
        <v>100</v>
      </c>
      <c r="E706" s="23">
        <v>68.2</v>
      </c>
      <c r="F706" s="24">
        <v>126</v>
      </c>
      <c r="G706" s="23">
        <v>535</v>
      </c>
      <c r="H706" s="24">
        <v>1.5</v>
      </c>
      <c r="I706" s="24">
        <v>0.1</v>
      </c>
      <c r="J706" s="24">
        <v>28.9</v>
      </c>
      <c r="K706" s="23">
        <v>26.9</v>
      </c>
      <c r="L706" s="23">
        <v>20.23</v>
      </c>
      <c r="M706" s="24">
        <v>2</v>
      </c>
      <c r="N706" s="23">
        <v>1.3</v>
      </c>
      <c r="O706" s="25">
        <v>3</v>
      </c>
      <c r="P706" s="25">
        <v>0.3</v>
      </c>
      <c r="Q706" s="23">
        <v>0</v>
      </c>
      <c r="R706" s="25">
        <v>22</v>
      </c>
      <c r="S706" s="23">
        <v>0.3</v>
      </c>
      <c r="T706" s="23">
        <v>28</v>
      </c>
      <c r="U706" s="23">
        <v>355</v>
      </c>
      <c r="V706" s="23">
        <v>0</v>
      </c>
      <c r="W706" s="23">
        <v>0</v>
      </c>
      <c r="X706" s="23">
        <v>0</v>
      </c>
      <c r="Y706" s="23">
        <v>0</v>
      </c>
      <c r="Z706" s="23">
        <v>0</v>
      </c>
      <c r="AA706" s="25">
        <v>8</v>
      </c>
      <c r="AB706" s="25">
        <v>0</v>
      </c>
      <c r="AC706" s="25">
        <v>0</v>
      </c>
      <c r="AD706" s="23">
        <v>0</v>
      </c>
      <c r="AE706" s="23">
        <v>0</v>
      </c>
      <c r="AF706" s="23">
        <v>0</v>
      </c>
      <c r="AG706" s="23">
        <v>0</v>
      </c>
      <c r="AH706" s="24">
        <v>0</v>
      </c>
      <c r="AI706" s="23">
        <v>80</v>
      </c>
      <c r="AJ706" s="13" t="str">
        <f xml:space="preserve"> IF(AD706&gt;F706,"Exceso en grasa saturada",IFERROR(IF(F706=0,"No tiene sello",IF((AD706*9)*100/F706&gt;10,"Exceso en grasa saturada","No tiene sello")),"No tiene sello"))</f>
        <v>No tiene sello</v>
      </c>
      <c r="AK706" s="13">
        <f>IF(AJ706="No tiene sello",0,1)</f>
        <v>0</v>
      </c>
      <c r="AL706" s="13" t="str">
        <f>IF(Q706&gt;=300,"Exceso en sodio",IFERROR(IF(AND(F706=0,Q706&gt;0),"No tiene sello",IF(Q706/F706&gt;1,"Exceso en sodio","No tiene sello")),"No tiene sello"))</f>
        <v>No tiene sello</v>
      </c>
      <c r="AM706" s="13" t="str">
        <f>IFERROR(IF(F706=0,"No tiene sello",IF(+(AG706/1000)*9*100/F706&gt;1,"Exceso en grasa trans", "No tiene sello")),"No tiene sello")</f>
        <v>No tiene sello</v>
      </c>
    </row>
    <row r="707" spans="1:39" ht="13.5" customHeight="1" x14ac:dyDescent="0.25">
      <c r="A707" s="26" t="s">
        <v>309</v>
      </c>
      <c r="B707" s="26" t="s">
        <v>310</v>
      </c>
      <c r="C707" s="26" t="s">
        <v>143</v>
      </c>
      <c r="D707" s="47">
        <v>100</v>
      </c>
      <c r="E707" s="28">
        <v>71.2</v>
      </c>
      <c r="F707" s="24">
        <v>112</v>
      </c>
      <c r="G707" s="28">
        <v>475</v>
      </c>
      <c r="H707" s="24">
        <v>1.1000000000000001</v>
      </c>
      <c r="I707" s="24">
        <v>0.2</v>
      </c>
      <c r="J707" s="24">
        <v>26.4</v>
      </c>
      <c r="K707" s="28">
        <v>0</v>
      </c>
      <c r="L707" s="28">
        <v>18.48</v>
      </c>
      <c r="M707" s="24">
        <v>0</v>
      </c>
      <c r="N707" s="28">
        <v>1.1000000000000001</v>
      </c>
      <c r="O707" s="25">
        <v>6</v>
      </c>
      <c r="P707" s="25">
        <v>0.4</v>
      </c>
      <c r="Q707" s="28">
        <v>0</v>
      </c>
      <c r="R707" s="25">
        <v>22</v>
      </c>
      <c r="S707" s="28">
        <v>0</v>
      </c>
      <c r="T707" s="28">
        <v>0</v>
      </c>
      <c r="U707" s="28">
        <v>0</v>
      </c>
      <c r="V707" s="28">
        <v>0.04</v>
      </c>
      <c r="W707" s="28">
        <v>0.04</v>
      </c>
      <c r="X707" s="28">
        <v>0.6</v>
      </c>
      <c r="Y707" s="28">
        <v>0</v>
      </c>
      <c r="Z707" s="28">
        <v>0</v>
      </c>
      <c r="AA707" s="25">
        <v>15</v>
      </c>
      <c r="AB707" s="25">
        <v>90</v>
      </c>
      <c r="AC707" s="25">
        <v>0</v>
      </c>
      <c r="AD707" s="28">
        <v>0</v>
      </c>
      <c r="AE707" s="28">
        <v>0</v>
      </c>
      <c r="AF707" s="28">
        <v>0</v>
      </c>
      <c r="AG707" s="28">
        <v>0</v>
      </c>
      <c r="AH707" s="24">
        <v>0</v>
      </c>
      <c r="AI707" s="28">
        <v>65</v>
      </c>
      <c r="AJ707" s="13" t="str">
        <f xml:space="preserve"> IF(AD707&gt;F707,"Exceso en grasa saturada",IFERROR(IF(F707=0,"No tiene sello",IF((AD707*9)*100/F707&gt;10,"Exceso en grasa saturada","No tiene sello")),"No tiene sello"))</f>
        <v>No tiene sello</v>
      </c>
      <c r="AK707" s="13">
        <f>IF(AJ707="No tiene sello",0,1)</f>
        <v>0</v>
      </c>
      <c r="AL707" s="13" t="str">
        <f>IF(Q707&gt;=300,"Exceso en sodio",IFERROR(IF(AND(F707=0,Q707&gt;0),"No tiene sello",IF(Q707/F707&gt;1,"Exceso en sodio","No tiene sello")),"No tiene sello"))</f>
        <v>No tiene sello</v>
      </c>
      <c r="AM707" s="13" t="str">
        <f>IFERROR(IF(F707=0,"No tiene sello",IF(+(AG707/1000)*9*100/F707&gt;1,"Exceso en grasa trans", "No tiene sello")),"No tiene sello")</f>
        <v>No tiene sello</v>
      </c>
    </row>
    <row r="708" spans="1:39" ht="13.5" customHeight="1" x14ac:dyDescent="0.25">
      <c r="A708" s="20" t="s">
        <v>307</v>
      </c>
      <c r="B708" s="20" t="s">
        <v>308</v>
      </c>
      <c r="C708" s="20" t="s">
        <v>154</v>
      </c>
      <c r="D708" s="46">
        <v>100</v>
      </c>
      <c r="E708" s="23">
        <v>64</v>
      </c>
      <c r="F708" s="24">
        <v>140</v>
      </c>
      <c r="G708" s="23">
        <v>594</v>
      </c>
      <c r="H708" s="24">
        <v>3</v>
      </c>
      <c r="I708" s="24">
        <v>0.6</v>
      </c>
      <c r="J708" s="24">
        <v>30.5</v>
      </c>
      <c r="K708" s="23">
        <v>0</v>
      </c>
      <c r="L708" s="23">
        <v>3.05</v>
      </c>
      <c r="M708" s="24">
        <v>0</v>
      </c>
      <c r="N708" s="23">
        <v>1.8</v>
      </c>
      <c r="O708" s="25">
        <v>51</v>
      </c>
      <c r="P708" s="25">
        <v>6.9</v>
      </c>
      <c r="Q708" s="23">
        <v>8</v>
      </c>
      <c r="R708" s="25">
        <v>0</v>
      </c>
      <c r="S708" s="23">
        <v>1.5</v>
      </c>
      <c r="T708" s="23">
        <v>38</v>
      </c>
      <c r="U708" s="23">
        <v>464</v>
      </c>
      <c r="V708" s="23">
        <v>0.3</v>
      </c>
      <c r="W708" s="23">
        <v>0.12</v>
      </c>
      <c r="X708" s="23">
        <v>2.2999999999999998</v>
      </c>
      <c r="Y708" s="23">
        <v>0</v>
      </c>
      <c r="Z708" s="23">
        <v>0</v>
      </c>
      <c r="AA708" s="25">
        <v>3</v>
      </c>
      <c r="AB708" s="25">
        <v>0</v>
      </c>
      <c r="AC708" s="25">
        <v>0</v>
      </c>
      <c r="AD708" s="23">
        <v>0</v>
      </c>
      <c r="AE708" s="23">
        <v>0</v>
      </c>
      <c r="AF708" s="23">
        <v>0</v>
      </c>
      <c r="AG708" s="23">
        <v>0</v>
      </c>
      <c r="AH708" s="24">
        <v>0</v>
      </c>
      <c r="AI708" s="23">
        <v>60</v>
      </c>
      <c r="AJ708" s="13" t="str">
        <f xml:space="preserve"> IF(AD708&gt;F708,"Exceso en grasa saturada",IFERROR(IF(F708=0,"No tiene sello",IF((AD708*9)*100/F708&gt;10,"Exceso en grasa saturada","No tiene sello")),"No tiene sello"))</f>
        <v>No tiene sello</v>
      </c>
      <c r="AK708" s="13">
        <f>IF(AJ708="No tiene sello",0,1)</f>
        <v>0</v>
      </c>
      <c r="AL708" s="13" t="str">
        <f>IF(Q708&gt;=300,"Exceso en sodio",IFERROR(IF(AND(F708=0,Q708&gt;0),"No tiene sello",IF(Q708/F708&gt;1,"Exceso en sodio","No tiene sello")),"No tiene sello"))</f>
        <v>No tiene sello</v>
      </c>
      <c r="AM708" s="13" t="str">
        <f>IFERROR(IF(F708=0,"No tiene sello",IF(+(AG708/1000)*9*100/F708&gt;1,"Exceso en grasa trans", "No tiene sello")),"No tiene sello")</f>
        <v>No tiene sello</v>
      </c>
    </row>
    <row r="709" spans="1:39" ht="13.5" customHeight="1" x14ac:dyDescent="0.25">
      <c r="A709" s="26" t="s">
        <v>305</v>
      </c>
      <c r="B709" s="26" t="s">
        <v>306</v>
      </c>
      <c r="C709" s="26" t="s">
        <v>154</v>
      </c>
      <c r="D709" s="47">
        <v>100</v>
      </c>
      <c r="E709" s="28">
        <v>86</v>
      </c>
      <c r="F709" s="24">
        <v>60</v>
      </c>
      <c r="G709" s="28">
        <v>251</v>
      </c>
      <c r="H709" s="24">
        <v>1</v>
      </c>
      <c r="I709" s="24">
        <v>1.1000000000000001</v>
      </c>
      <c r="J709" s="24">
        <v>10.3</v>
      </c>
      <c r="K709" s="28">
        <v>8.1</v>
      </c>
      <c r="L709" s="28">
        <v>1.03</v>
      </c>
      <c r="M709" s="24">
        <v>2.2000000000000002</v>
      </c>
      <c r="N709" s="28">
        <v>1.6</v>
      </c>
      <c r="O709" s="25">
        <v>12</v>
      </c>
      <c r="P709" s="25">
        <v>0.3</v>
      </c>
      <c r="Q709" s="28">
        <v>1</v>
      </c>
      <c r="R709" s="25">
        <v>9</v>
      </c>
      <c r="S709" s="28">
        <v>0.6</v>
      </c>
      <c r="T709" s="28">
        <v>21</v>
      </c>
      <c r="U709" s="28">
        <v>72</v>
      </c>
      <c r="V709" s="28">
        <v>0.25</v>
      </c>
      <c r="W709" s="28">
        <v>0</v>
      </c>
      <c r="X709" s="28">
        <v>0</v>
      </c>
      <c r="Y709" s="28">
        <v>0</v>
      </c>
      <c r="Z709" s="28">
        <v>0</v>
      </c>
      <c r="AA709" s="25">
        <v>14</v>
      </c>
      <c r="AB709" s="25">
        <v>0</v>
      </c>
      <c r="AC709" s="25">
        <v>0</v>
      </c>
      <c r="AD709" s="28">
        <v>0</v>
      </c>
      <c r="AE709" s="28">
        <v>0</v>
      </c>
      <c r="AF709" s="28">
        <v>0</v>
      </c>
      <c r="AG709" s="28">
        <v>0</v>
      </c>
      <c r="AH709" s="24">
        <v>0</v>
      </c>
      <c r="AI709" s="28">
        <v>9</v>
      </c>
      <c r="AJ709" s="13" t="str">
        <f xml:space="preserve"> IF(AD709&gt;F709,"Exceso en grasa saturada",IFERROR(IF(F709=0,"No tiene sello",IF((AD709*9)*100/F709&gt;10,"Exceso en grasa saturada","No tiene sello")),"No tiene sello"))</f>
        <v>No tiene sello</v>
      </c>
      <c r="AK709" s="13">
        <f>IF(AJ709="No tiene sello",0,1)</f>
        <v>0</v>
      </c>
      <c r="AL709" s="13" t="str">
        <f>IF(Q709&gt;=300,"Exceso en sodio",IFERROR(IF(AND(F709=0,Q709&gt;0),"No tiene sello",IF(Q709/F709&gt;1,"Exceso en sodio","No tiene sello")),"No tiene sello"))</f>
        <v>No tiene sello</v>
      </c>
      <c r="AM709" s="13" t="str">
        <f>IFERROR(IF(F709=0,"No tiene sello",IF(+(AG709/1000)*9*100/F709&gt;1,"Exceso en grasa trans", "No tiene sello")),"No tiene sello")</f>
        <v>No tiene sello</v>
      </c>
    </row>
    <row r="710" spans="1:39" ht="13.5" customHeight="1" x14ac:dyDescent="0.25">
      <c r="A710" s="20" t="s">
        <v>303</v>
      </c>
      <c r="B710" s="20" t="s">
        <v>304</v>
      </c>
      <c r="C710" s="20" t="s">
        <v>3</v>
      </c>
      <c r="D710" s="46">
        <v>100</v>
      </c>
      <c r="E710" s="23">
        <v>3.2</v>
      </c>
      <c r="F710" s="24">
        <v>604</v>
      </c>
      <c r="G710" s="23">
        <v>2509</v>
      </c>
      <c r="H710" s="24">
        <v>13</v>
      </c>
      <c r="I710" s="24">
        <v>46</v>
      </c>
      <c r="J710" s="24">
        <v>34.4</v>
      </c>
      <c r="K710" s="23">
        <v>34.4</v>
      </c>
      <c r="L710" s="23">
        <v>3.44</v>
      </c>
      <c r="M710" s="24">
        <v>0</v>
      </c>
      <c r="N710" s="23">
        <v>3.4</v>
      </c>
      <c r="O710" s="25">
        <v>99</v>
      </c>
      <c r="P710" s="25">
        <v>2.6</v>
      </c>
      <c r="Q710" s="23">
        <v>4</v>
      </c>
      <c r="R710" s="25">
        <v>533</v>
      </c>
      <c r="S710" s="23">
        <v>0</v>
      </c>
      <c r="T710" s="23">
        <v>232</v>
      </c>
      <c r="U710" s="23">
        <v>830</v>
      </c>
      <c r="V710" s="23">
        <v>0.17</v>
      </c>
      <c r="W710" s="23">
        <v>0.14000000000000001</v>
      </c>
      <c r="X710" s="23">
        <v>1.7</v>
      </c>
      <c r="Y710" s="23">
        <v>0</v>
      </c>
      <c r="Z710" s="23">
        <v>0</v>
      </c>
      <c r="AA710" s="25">
        <v>3</v>
      </c>
      <c r="AB710" s="25">
        <v>3</v>
      </c>
      <c r="AC710" s="25">
        <v>0</v>
      </c>
      <c r="AD710" s="23">
        <v>0</v>
      </c>
      <c r="AE710" s="23">
        <v>0</v>
      </c>
      <c r="AF710" s="23">
        <v>0</v>
      </c>
      <c r="AG710" s="23">
        <v>0</v>
      </c>
      <c r="AH710" s="24">
        <v>0</v>
      </c>
      <c r="AI710" s="23">
        <v>8</v>
      </c>
      <c r="AJ710" s="13" t="str">
        <f xml:space="preserve"> IF(AD710&gt;F710,"Exceso en grasa saturada",IFERROR(IF(F710=0,"No tiene sello",IF((AD710*9)*100/F710&gt;10,"Exceso en grasa saturada","No tiene sello")),"No tiene sello"))</f>
        <v>No tiene sello</v>
      </c>
      <c r="AK710" s="13">
        <f>IF(AJ710="No tiene sello",0,1)</f>
        <v>0</v>
      </c>
      <c r="AL710" s="13" t="str">
        <f>IF(Q710&gt;=300,"Exceso en sodio",IFERROR(IF(AND(F710=0,Q710&gt;0),"No tiene sello",IF(Q710/F710&gt;1,"Exceso en sodio","No tiene sello")),"No tiene sello"))</f>
        <v>No tiene sello</v>
      </c>
      <c r="AM710" s="13" t="str">
        <f>IFERROR(IF(F710=0,"No tiene sello",IF(+(AG710/1000)*9*100/F710&gt;1,"Exceso en grasa trans", "No tiene sello")),"No tiene sello")</f>
        <v>No tiene sello</v>
      </c>
    </row>
    <row r="711" spans="1:39" ht="13.5" customHeight="1" x14ac:dyDescent="0.25">
      <c r="A711" s="26" t="s">
        <v>301</v>
      </c>
      <c r="B711" s="26" t="s">
        <v>302</v>
      </c>
      <c r="C711" s="26" t="s">
        <v>179</v>
      </c>
      <c r="D711" s="47">
        <v>100</v>
      </c>
      <c r="E711" s="28">
        <v>96.9</v>
      </c>
      <c r="F711" s="24">
        <v>8</v>
      </c>
      <c r="G711" s="28">
        <v>34</v>
      </c>
      <c r="H711" s="24">
        <v>0.5</v>
      </c>
      <c r="I711" s="24">
        <v>0.1</v>
      </c>
      <c r="J711" s="24">
        <v>1.1000000000000001</v>
      </c>
      <c r="K711" s="28">
        <v>0.8</v>
      </c>
      <c r="L711" s="28">
        <v>0.11</v>
      </c>
      <c r="M711" s="24">
        <v>0.3</v>
      </c>
      <c r="N711" s="28">
        <v>1.3</v>
      </c>
      <c r="O711" s="25">
        <v>80</v>
      </c>
      <c r="P711" s="25">
        <v>0.4</v>
      </c>
      <c r="Q711" s="28">
        <v>32</v>
      </c>
      <c r="R711" s="25">
        <v>0</v>
      </c>
      <c r="S711" s="28">
        <v>0</v>
      </c>
      <c r="T711" s="28">
        <v>0</v>
      </c>
      <c r="U711" s="28">
        <v>199</v>
      </c>
      <c r="V711" s="28">
        <v>0</v>
      </c>
      <c r="W711" s="28">
        <v>0</v>
      </c>
      <c r="X711" s="28">
        <v>0</v>
      </c>
      <c r="Y711" s="28">
        <v>0</v>
      </c>
      <c r="Z711" s="28">
        <v>0</v>
      </c>
      <c r="AA711" s="25">
        <v>0</v>
      </c>
      <c r="AB711" s="25">
        <v>0</v>
      </c>
      <c r="AC711" s="25">
        <v>0</v>
      </c>
      <c r="AD711" s="28">
        <v>0</v>
      </c>
      <c r="AE711" s="28">
        <v>0</v>
      </c>
      <c r="AF711" s="28">
        <v>0</v>
      </c>
      <c r="AG711" s="28">
        <v>0</v>
      </c>
      <c r="AH711" s="24">
        <v>0</v>
      </c>
      <c r="AI711" s="28"/>
      <c r="AJ711" s="13" t="str">
        <f xml:space="preserve"> IF(AD711&gt;F711,"Exceso en grasa saturada",IFERROR(IF(F711=0,"No tiene sello",IF((AD711*9)*100/F711&gt;10,"Exceso en grasa saturada","No tiene sello")),"No tiene sello"))</f>
        <v>No tiene sello</v>
      </c>
      <c r="AK711" s="13">
        <f>IF(AJ711="No tiene sello",0,1)</f>
        <v>0</v>
      </c>
      <c r="AL711" s="13" t="str">
        <f>IF(Q711&gt;=300,"Exceso en sodio",IFERROR(IF(AND(F711=0,Q711&gt;0),"No tiene sello",IF(Q711/F711&gt;1,"Exceso en sodio","No tiene sello")),"No tiene sello"))</f>
        <v>Exceso en sodio</v>
      </c>
      <c r="AM711" s="13" t="str">
        <f>IFERROR(IF(F711=0,"No tiene sello",IF(+(AG711/1000)*9*100/F711&gt;1,"Exceso en grasa trans", "No tiene sello")),"No tiene sello")</f>
        <v>No tiene sello</v>
      </c>
    </row>
    <row r="712" spans="1:39" ht="13.5" customHeight="1" x14ac:dyDescent="0.25">
      <c r="A712" s="20" t="s">
        <v>299</v>
      </c>
      <c r="B712" s="20" t="s">
        <v>300</v>
      </c>
      <c r="C712" s="20" t="s">
        <v>154</v>
      </c>
      <c r="D712" s="46">
        <v>100</v>
      </c>
      <c r="E712" s="23">
        <v>84.5</v>
      </c>
      <c r="F712" s="24">
        <v>70</v>
      </c>
      <c r="G712" s="23">
        <v>297</v>
      </c>
      <c r="H712" s="24">
        <v>1</v>
      </c>
      <c r="I712" s="24">
        <v>1.4</v>
      </c>
      <c r="J712" s="24">
        <v>12.9</v>
      </c>
      <c r="K712" s="23">
        <v>11.8</v>
      </c>
      <c r="L712" s="23">
        <v>1.29</v>
      </c>
      <c r="M712" s="24">
        <v>1.1000000000000001</v>
      </c>
      <c r="N712" s="23">
        <v>0.2</v>
      </c>
      <c r="O712" s="25">
        <v>30</v>
      </c>
      <c r="P712" s="25">
        <v>0.5</v>
      </c>
      <c r="Q712" s="23">
        <v>0</v>
      </c>
      <c r="R712" s="25">
        <v>20</v>
      </c>
      <c r="S712" s="23">
        <v>0</v>
      </c>
      <c r="T712" s="23">
        <v>0</v>
      </c>
      <c r="U712" s="23">
        <v>0</v>
      </c>
      <c r="V712" s="23">
        <v>0.02</v>
      </c>
      <c r="W712" s="23">
        <v>0.03</v>
      </c>
      <c r="X712" s="23">
        <v>1</v>
      </c>
      <c r="Y712" s="23">
        <v>0</v>
      </c>
      <c r="Z712" s="23">
        <v>0</v>
      </c>
      <c r="AA712" s="25">
        <v>10</v>
      </c>
      <c r="AB712" s="25">
        <v>2</v>
      </c>
      <c r="AC712" s="25">
        <v>0</v>
      </c>
      <c r="AD712" s="23">
        <v>0</v>
      </c>
      <c r="AE712" s="23">
        <v>0</v>
      </c>
      <c r="AF712" s="23">
        <v>0</v>
      </c>
      <c r="AG712" s="23">
        <v>0</v>
      </c>
      <c r="AH712" s="24">
        <v>0</v>
      </c>
      <c r="AI712" s="23">
        <v>82</v>
      </c>
      <c r="AJ712" s="13" t="str">
        <f xml:space="preserve"> IF(AD712&gt;F712,"Exceso en grasa saturada",IFERROR(IF(F712=0,"No tiene sello",IF((AD712*9)*100/F712&gt;10,"Exceso en grasa saturada","No tiene sello")),"No tiene sello"))</f>
        <v>No tiene sello</v>
      </c>
      <c r="AK712" s="13">
        <f>IF(AJ712="No tiene sello",0,1)</f>
        <v>0</v>
      </c>
      <c r="AL712" s="13" t="str">
        <f>IF(Q712&gt;=300,"Exceso en sodio",IFERROR(IF(AND(F712=0,Q712&gt;0),"No tiene sello",IF(Q712/F712&gt;1,"Exceso en sodio","No tiene sello")),"No tiene sello"))</f>
        <v>No tiene sello</v>
      </c>
      <c r="AM712" s="13" t="str">
        <f>IFERROR(IF(F712=0,"No tiene sello",IF(+(AG712/1000)*9*100/F712&gt;1,"Exceso en grasa trans", "No tiene sello")),"No tiene sello")</f>
        <v>No tiene sello</v>
      </c>
    </row>
    <row r="713" spans="1:39" ht="13.5" customHeight="1" x14ac:dyDescent="0.25">
      <c r="A713" s="26" t="s">
        <v>297</v>
      </c>
      <c r="B713" s="26" t="s">
        <v>298</v>
      </c>
      <c r="C713" s="26" t="s">
        <v>154</v>
      </c>
      <c r="D713" s="47">
        <v>100</v>
      </c>
      <c r="E713" s="28">
        <v>92.1</v>
      </c>
      <c r="F713" s="24">
        <v>32</v>
      </c>
      <c r="G713" s="28">
        <v>135</v>
      </c>
      <c r="H713" s="24">
        <v>0.5</v>
      </c>
      <c r="I713" s="24">
        <v>0.1</v>
      </c>
      <c r="J713" s="24">
        <v>7.1</v>
      </c>
      <c r="K713" s="28">
        <v>6.8</v>
      </c>
      <c r="L713" s="28">
        <v>0.71</v>
      </c>
      <c r="M713" s="24">
        <v>0.3</v>
      </c>
      <c r="N713" s="28">
        <v>0.2</v>
      </c>
      <c r="O713" s="25">
        <v>28</v>
      </c>
      <c r="P713" s="25">
        <v>0.5</v>
      </c>
      <c r="Q713" s="28">
        <v>0</v>
      </c>
      <c r="R713" s="25">
        <v>15</v>
      </c>
      <c r="S713" s="28">
        <v>0</v>
      </c>
      <c r="T713" s="28">
        <v>0</v>
      </c>
      <c r="U713" s="28">
        <v>0</v>
      </c>
      <c r="V713" s="28">
        <v>0.01</v>
      </c>
      <c r="W713" s="28">
        <v>0.04</v>
      </c>
      <c r="X713" s="28">
        <v>0.6</v>
      </c>
      <c r="Y713" s="28">
        <v>0</v>
      </c>
      <c r="Z713" s="28">
        <v>0</v>
      </c>
      <c r="AA713" s="25">
        <v>2125</v>
      </c>
      <c r="AB713" s="25">
        <v>0</v>
      </c>
      <c r="AC713" s="25">
        <v>0</v>
      </c>
      <c r="AD713" s="28">
        <v>0</v>
      </c>
      <c r="AE713" s="28">
        <v>0</v>
      </c>
      <c r="AF713" s="28">
        <v>0</v>
      </c>
      <c r="AG713" s="28">
        <v>0</v>
      </c>
      <c r="AH713" s="24">
        <v>0</v>
      </c>
      <c r="AI713" s="28">
        <v>58</v>
      </c>
      <c r="AJ713" s="13" t="str">
        <f xml:space="preserve"> IF(AD713&gt;F713,"Exceso en grasa saturada",IFERROR(IF(F713=0,"No tiene sello",IF((AD713*9)*100/F713&gt;10,"Exceso en grasa saturada","No tiene sello")),"No tiene sello"))</f>
        <v>No tiene sello</v>
      </c>
      <c r="AK713" s="13">
        <f>IF(AJ713="No tiene sello",0,1)</f>
        <v>0</v>
      </c>
      <c r="AL713" s="13" t="str">
        <f>IF(Q713&gt;=300,"Exceso en sodio",IFERROR(IF(AND(F713=0,Q713&gt;0),"No tiene sello",IF(Q713/F713&gt;1,"Exceso en sodio","No tiene sello")),"No tiene sello"))</f>
        <v>No tiene sello</v>
      </c>
      <c r="AM713" s="13" t="str">
        <f>IFERROR(IF(F713=0,"No tiene sello",IF(+(AG713/1000)*9*100/F713&gt;1,"Exceso en grasa trans", "No tiene sello")),"No tiene sello")</f>
        <v>No tiene sello</v>
      </c>
    </row>
    <row r="714" spans="1:39" ht="13.5" customHeight="1" x14ac:dyDescent="0.25">
      <c r="A714" s="20" t="s">
        <v>295</v>
      </c>
      <c r="B714" s="20" t="s">
        <v>296</v>
      </c>
      <c r="C714" s="20" t="s">
        <v>154</v>
      </c>
      <c r="D714" s="46">
        <v>100</v>
      </c>
      <c r="E714" s="23">
        <v>95.2</v>
      </c>
      <c r="F714" s="24">
        <v>25</v>
      </c>
      <c r="G714" s="23">
        <v>104</v>
      </c>
      <c r="H714" s="24">
        <v>0.4</v>
      </c>
      <c r="I714" s="24">
        <v>0.1</v>
      </c>
      <c r="J714" s="24">
        <v>4.2</v>
      </c>
      <c r="K714" s="23">
        <v>1.4</v>
      </c>
      <c r="L714" s="23">
        <v>0.42</v>
      </c>
      <c r="M714" s="24">
        <v>2.8</v>
      </c>
      <c r="N714" s="23">
        <v>0.2</v>
      </c>
      <c r="O714" s="25">
        <v>34</v>
      </c>
      <c r="P714" s="25">
        <v>2.8</v>
      </c>
      <c r="Q714" s="23">
        <v>1</v>
      </c>
      <c r="R714" s="25">
        <v>12</v>
      </c>
      <c r="S714" s="23">
        <v>0.1</v>
      </c>
      <c r="T714" s="23">
        <v>84</v>
      </c>
      <c r="U714" s="23">
        <v>1080</v>
      </c>
      <c r="V714" s="23">
        <v>0.01</v>
      </c>
      <c r="W714" s="23">
        <v>0.02</v>
      </c>
      <c r="X714" s="23">
        <v>0.4</v>
      </c>
      <c r="Y714" s="23">
        <v>12</v>
      </c>
      <c r="Z714" s="23">
        <v>0</v>
      </c>
      <c r="AA714" s="25">
        <v>13</v>
      </c>
      <c r="AB714" s="25">
        <v>4</v>
      </c>
      <c r="AC714" s="25">
        <v>0</v>
      </c>
      <c r="AD714" s="23">
        <v>0</v>
      </c>
      <c r="AE714" s="23">
        <v>0</v>
      </c>
      <c r="AF714" s="23">
        <v>0</v>
      </c>
      <c r="AG714" s="23">
        <v>0</v>
      </c>
      <c r="AH714" s="24">
        <v>0</v>
      </c>
      <c r="AI714" s="23">
        <v>74</v>
      </c>
      <c r="AJ714" s="13" t="str">
        <f xml:space="preserve"> IF(AD714&gt;F714,"Exceso en grasa saturada",IFERROR(IF(F714=0,"No tiene sello",IF((AD714*9)*100/F714&gt;10,"Exceso en grasa saturada","No tiene sello")),"No tiene sello"))</f>
        <v>No tiene sello</v>
      </c>
      <c r="AK714" s="13">
        <f>IF(AJ714="No tiene sello",0,1)</f>
        <v>0</v>
      </c>
      <c r="AL714" s="13" t="str">
        <f>IF(Q714&gt;=300,"Exceso en sodio",IFERROR(IF(AND(F714=0,Q714&gt;0),"No tiene sello",IF(Q714/F714&gt;1,"Exceso en sodio","No tiene sello")),"No tiene sello"))</f>
        <v>No tiene sello</v>
      </c>
      <c r="AM714" s="13" t="str">
        <f>IFERROR(IF(F714=0,"No tiene sello",IF(+(AG714/1000)*9*100/F714&gt;1,"Exceso en grasa trans", "No tiene sello")),"No tiene sello")</f>
        <v>No tiene sello</v>
      </c>
    </row>
    <row r="715" spans="1:39" s="4" customFormat="1" ht="13.5" customHeight="1" x14ac:dyDescent="0.25">
      <c r="A715" s="26" t="s">
        <v>293</v>
      </c>
      <c r="B715" s="26" t="s">
        <v>294</v>
      </c>
      <c r="C715" s="26" t="s">
        <v>154</v>
      </c>
      <c r="D715" s="47">
        <v>100</v>
      </c>
      <c r="E715" s="28">
        <v>4.8</v>
      </c>
      <c r="F715" s="24">
        <v>379</v>
      </c>
      <c r="G715" s="28">
        <v>1609</v>
      </c>
      <c r="H715" s="24">
        <v>0.7</v>
      </c>
      <c r="I715" s="24">
        <v>2.4</v>
      </c>
      <c r="J715" s="24">
        <v>88.8</v>
      </c>
      <c r="K715" s="28">
        <v>0</v>
      </c>
      <c r="L715" s="28">
        <v>8.8800000000000008</v>
      </c>
      <c r="M715" s="24">
        <v>0</v>
      </c>
      <c r="N715" s="28">
        <v>3.3</v>
      </c>
      <c r="O715" s="25">
        <v>34</v>
      </c>
      <c r="P715" s="25">
        <v>2.8</v>
      </c>
      <c r="Q715" s="28">
        <v>1</v>
      </c>
      <c r="R715" s="25">
        <v>0</v>
      </c>
      <c r="S715" s="28">
        <v>0</v>
      </c>
      <c r="T715" s="28">
        <v>84</v>
      </c>
      <c r="U715" s="28">
        <v>1080</v>
      </c>
      <c r="V715" s="28">
        <v>0</v>
      </c>
      <c r="W715" s="28">
        <v>0</v>
      </c>
      <c r="X715" s="28">
        <v>0</v>
      </c>
      <c r="Y715" s="28">
        <v>0</v>
      </c>
      <c r="Z715" s="28">
        <v>0</v>
      </c>
      <c r="AA715" s="25">
        <v>13</v>
      </c>
      <c r="AB715" s="25">
        <v>0</v>
      </c>
      <c r="AC715" s="25">
        <v>0</v>
      </c>
      <c r="AD715" s="28">
        <v>0</v>
      </c>
      <c r="AE715" s="28">
        <v>0</v>
      </c>
      <c r="AF715" s="28">
        <v>0</v>
      </c>
      <c r="AG715" s="28">
        <v>0</v>
      </c>
      <c r="AH715" s="24">
        <v>0</v>
      </c>
      <c r="AI715" s="28">
        <v>100</v>
      </c>
      <c r="AJ715" s="13" t="str">
        <f xml:space="preserve"> IF(AD715&gt;F715,"Exceso en grasa saturada",IFERROR(IF(F715=0,"No tiene sello",IF((AD715*9)*100/F715&gt;10,"Exceso en grasa saturada","No tiene sello")),"No tiene sello"))</f>
        <v>No tiene sello</v>
      </c>
      <c r="AK715" s="13">
        <f>IF(AJ715="No tiene sello",0,1)</f>
        <v>0</v>
      </c>
      <c r="AL715" s="13" t="str">
        <f>IF(Q715&gt;=300,"Exceso en sodio",IFERROR(IF(AND(F715=0,Q715&gt;0),"No tiene sello",IF(Q715/F715&gt;1,"Exceso en sodio","No tiene sello")),"No tiene sello"))</f>
        <v>No tiene sello</v>
      </c>
      <c r="AM715" s="13" t="str">
        <f>IFERROR(IF(F715=0,"No tiene sello",IF(+(AG715/1000)*9*100/F715&gt;1,"Exceso en grasa trans", "No tiene sello")),"No tiene sello")</f>
        <v>No tiene sello</v>
      </c>
    </row>
    <row r="716" spans="1:39" ht="13.5" customHeight="1" x14ac:dyDescent="0.25">
      <c r="A716" s="20" t="s">
        <v>291</v>
      </c>
      <c r="B716" s="20" t="s">
        <v>292</v>
      </c>
      <c r="C716" s="20" t="s">
        <v>154</v>
      </c>
      <c r="D716" s="46">
        <v>100</v>
      </c>
      <c r="E716" s="23">
        <v>95.1</v>
      </c>
      <c r="F716" s="24">
        <v>25</v>
      </c>
      <c r="G716" s="23">
        <v>105</v>
      </c>
      <c r="H716" s="24">
        <v>0.4</v>
      </c>
      <c r="I716" s="24">
        <v>0.1</v>
      </c>
      <c r="J716" s="24">
        <v>4.2</v>
      </c>
      <c r="K716" s="23">
        <v>1.4</v>
      </c>
      <c r="L716" s="23">
        <v>0.42</v>
      </c>
      <c r="M716" s="24">
        <v>2.8</v>
      </c>
      <c r="N716" s="23">
        <v>0.2</v>
      </c>
      <c r="O716" s="25">
        <v>40</v>
      </c>
      <c r="P716" s="25">
        <v>2.7</v>
      </c>
      <c r="Q716" s="23">
        <v>0</v>
      </c>
      <c r="R716" s="25">
        <v>12</v>
      </c>
      <c r="S716" s="23">
        <v>0.1</v>
      </c>
      <c r="T716" s="23">
        <v>92</v>
      </c>
      <c r="U716" s="23">
        <v>1165</v>
      </c>
      <c r="V716" s="23">
        <v>0.02</v>
      </c>
      <c r="W716" s="23">
        <v>0.02</v>
      </c>
      <c r="X716" s="23">
        <v>0.4</v>
      </c>
      <c r="Y716" s="23">
        <v>12</v>
      </c>
      <c r="Z716" s="23">
        <v>0</v>
      </c>
      <c r="AA716" s="25">
        <v>17</v>
      </c>
      <c r="AB716" s="25">
        <v>4</v>
      </c>
      <c r="AC716" s="25">
        <v>0</v>
      </c>
      <c r="AD716" s="23">
        <v>0</v>
      </c>
      <c r="AE716" s="23">
        <v>0</v>
      </c>
      <c r="AF716" s="23">
        <v>0</v>
      </c>
      <c r="AG716" s="23">
        <v>0</v>
      </c>
      <c r="AH716" s="24">
        <v>0</v>
      </c>
      <c r="AI716" s="23">
        <v>74</v>
      </c>
      <c r="AJ716" s="13" t="str">
        <f xml:space="preserve"> IF(AD716&gt;F716,"Exceso en grasa saturada",IFERROR(IF(F716=0,"No tiene sello",IF((AD716*9)*100/F716&gt;10,"Exceso en grasa saturada","No tiene sello")),"No tiene sello"))</f>
        <v>No tiene sello</v>
      </c>
      <c r="AK716" s="13">
        <f>IF(AJ716="No tiene sello",0,1)</f>
        <v>0</v>
      </c>
      <c r="AL716" s="13" t="str">
        <f>IF(Q716&gt;=300,"Exceso en sodio",IFERROR(IF(AND(F716=0,Q716&gt;0),"No tiene sello",IF(Q716/F716&gt;1,"Exceso en sodio","No tiene sello")),"No tiene sello"))</f>
        <v>No tiene sello</v>
      </c>
      <c r="AM716" s="13" t="str">
        <f>IFERROR(IF(F716=0,"No tiene sello",IF(+(AG716/1000)*9*100/F716&gt;1,"Exceso en grasa trans", "No tiene sello")),"No tiene sello")</f>
        <v>No tiene sello</v>
      </c>
    </row>
    <row r="717" spans="1:39" ht="13.5" customHeight="1" x14ac:dyDescent="0.25">
      <c r="A717" s="26" t="s">
        <v>289</v>
      </c>
      <c r="B717" s="26" t="s">
        <v>290</v>
      </c>
      <c r="C717" s="26" t="s">
        <v>154</v>
      </c>
      <c r="D717" s="47">
        <v>100</v>
      </c>
      <c r="E717" s="28">
        <v>4.9000000000000004</v>
      </c>
      <c r="F717" s="24">
        <v>378</v>
      </c>
      <c r="G717" s="28">
        <v>1603</v>
      </c>
      <c r="H717" s="24">
        <v>0.7</v>
      </c>
      <c r="I717" s="24">
        <v>2.2000000000000002</v>
      </c>
      <c r="J717" s="24">
        <v>88.8</v>
      </c>
      <c r="K717" s="28">
        <v>0</v>
      </c>
      <c r="L717" s="28">
        <v>8.8800000000000008</v>
      </c>
      <c r="M717" s="24">
        <v>0</v>
      </c>
      <c r="N717" s="28">
        <v>3.4</v>
      </c>
      <c r="O717" s="25">
        <v>40</v>
      </c>
      <c r="P717" s="25">
        <v>2.7</v>
      </c>
      <c r="Q717" s="28">
        <v>0</v>
      </c>
      <c r="R717" s="25">
        <v>0</v>
      </c>
      <c r="S717" s="28">
        <v>0</v>
      </c>
      <c r="T717" s="28">
        <v>92</v>
      </c>
      <c r="U717" s="28">
        <v>1165</v>
      </c>
      <c r="V717" s="28">
        <v>0</v>
      </c>
      <c r="W717" s="28">
        <v>0</v>
      </c>
      <c r="X717" s="28">
        <v>0</v>
      </c>
      <c r="Y717" s="28">
        <v>0</v>
      </c>
      <c r="Z717" s="28">
        <v>0</v>
      </c>
      <c r="AA717" s="25">
        <v>17</v>
      </c>
      <c r="AB717" s="25">
        <v>0</v>
      </c>
      <c r="AC717" s="25">
        <v>0</v>
      </c>
      <c r="AD717" s="28">
        <v>0</v>
      </c>
      <c r="AE717" s="28">
        <v>0</v>
      </c>
      <c r="AF717" s="28">
        <v>0</v>
      </c>
      <c r="AG717" s="28">
        <v>0</v>
      </c>
      <c r="AH717" s="24">
        <v>0</v>
      </c>
      <c r="AI717" s="28">
        <v>100</v>
      </c>
      <c r="AJ717" s="13" t="str">
        <f xml:space="preserve"> IF(AD717&gt;F717,"Exceso en grasa saturada",IFERROR(IF(F717=0,"No tiene sello",IF((AD717*9)*100/F717&gt;10,"Exceso en grasa saturada","No tiene sello")),"No tiene sello"))</f>
        <v>No tiene sello</v>
      </c>
      <c r="AK717" s="13">
        <f>IF(AJ717="No tiene sello",0,1)</f>
        <v>0</v>
      </c>
      <c r="AL717" s="13" t="str">
        <f>IF(Q717&gt;=300,"Exceso en sodio",IFERROR(IF(AND(F717=0,Q717&gt;0),"No tiene sello",IF(Q717/F717&gt;1,"Exceso en sodio","No tiene sello")),"No tiene sello"))</f>
        <v>No tiene sello</v>
      </c>
      <c r="AM717" s="13" t="str">
        <f>IFERROR(IF(F717=0,"No tiene sello",IF(+(AG717/1000)*9*100/F717&gt;1,"Exceso en grasa trans", "No tiene sello")),"No tiene sello")</f>
        <v>No tiene sello</v>
      </c>
    </row>
    <row r="718" spans="1:39" ht="13.5" customHeight="1" x14ac:dyDescent="0.25">
      <c r="A718" s="20" t="s">
        <v>287</v>
      </c>
      <c r="B718" s="20" t="s">
        <v>288</v>
      </c>
      <c r="C718" s="20" t="s">
        <v>154</v>
      </c>
      <c r="D718" s="46">
        <v>100</v>
      </c>
      <c r="E718" s="23">
        <v>95.2</v>
      </c>
      <c r="F718" s="24">
        <v>24</v>
      </c>
      <c r="G718" s="23">
        <v>102</v>
      </c>
      <c r="H718" s="24">
        <v>0.3</v>
      </c>
      <c r="I718" s="24">
        <v>0.1</v>
      </c>
      <c r="J718" s="24">
        <v>4.0999999999999996</v>
      </c>
      <c r="K718" s="23">
        <v>1.3</v>
      </c>
      <c r="L718" s="23">
        <v>0.41</v>
      </c>
      <c r="M718" s="24">
        <v>2.8</v>
      </c>
      <c r="N718" s="23">
        <v>0.2</v>
      </c>
      <c r="O718" s="25">
        <v>32</v>
      </c>
      <c r="P718" s="25">
        <v>3.7</v>
      </c>
      <c r="Q718" s="23">
        <v>1</v>
      </c>
      <c r="R718" s="25">
        <v>12</v>
      </c>
      <c r="S718" s="23">
        <v>0.1</v>
      </c>
      <c r="T718" s="23">
        <v>94</v>
      </c>
      <c r="U718" s="23">
        <v>1170</v>
      </c>
      <c r="V718" s="23">
        <v>0.02</v>
      </c>
      <c r="W718" s="23">
        <v>0.02</v>
      </c>
      <c r="X718" s="23">
        <v>0.4</v>
      </c>
      <c r="Y718" s="23">
        <v>12</v>
      </c>
      <c r="Z718" s="23">
        <v>0</v>
      </c>
      <c r="AA718" s="25">
        <v>14</v>
      </c>
      <c r="AB718" s="25">
        <v>4</v>
      </c>
      <c r="AC718" s="25">
        <v>0</v>
      </c>
      <c r="AD718" s="23">
        <v>0</v>
      </c>
      <c r="AE718" s="23">
        <v>0</v>
      </c>
      <c r="AF718" s="23">
        <v>0</v>
      </c>
      <c r="AG718" s="23">
        <v>0</v>
      </c>
      <c r="AH718" s="24">
        <v>0</v>
      </c>
      <c r="AI718" s="23">
        <v>76</v>
      </c>
      <c r="AJ718" s="13" t="str">
        <f xml:space="preserve"> IF(AD718&gt;F718,"Exceso en grasa saturada",IFERROR(IF(F718=0,"No tiene sello",IF((AD718*9)*100/F718&gt;10,"Exceso en grasa saturada","No tiene sello")),"No tiene sello"))</f>
        <v>No tiene sello</v>
      </c>
      <c r="AK718" s="13">
        <f>IF(AJ718="No tiene sello",0,1)</f>
        <v>0</v>
      </c>
      <c r="AL718" s="13" t="str">
        <f>IF(Q718&gt;=300,"Exceso en sodio",IFERROR(IF(AND(F718=0,Q718&gt;0),"No tiene sello",IF(Q718/F718&gt;1,"Exceso en sodio","No tiene sello")),"No tiene sello"))</f>
        <v>No tiene sello</v>
      </c>
      <c r="AM718" s="13" t="str">
        <f>IFERROR(IF(F718=0,"No tiene sello",IF(+(AG718/1000)*9*100/F718&gt;1,"Exceso en grasa trans", "No tiene sello")),"No tiene sello")</f>
        <v>No tiene sello</v>
      </c>
    </row>
    <row r="719" spans="1:39" ht="13.5" customHeight="1" x14ac:dyDescent="0.25">
      <c r="A719" s="26" t="s">
        <v>285</v>
      </c>
      <c r="B719" s="26" t="s">
        <v>286</v>
      </c>
      <c r="C719" s="26" t="s">
        <v>154</v>
      </c>
      <c r="D719" s="47">
        <v>100</v>
      </c>
      <c r="E719" s="28">
        <v>4.8</v>
      </c>
      <c r="F719" s="24">
        <v>375</v>
      </c>
      <c r="G719" s="28">
        <v>1594</v>
      </c>
      <c r="H719" s="24">
        <v>0.7</v>
      </c>
      <c r="I719" s="24">
        <v>1.7</v>
      </c>
      <c r="J719" s="24">
        <v>89.3</v>
      </c>
      <c r="K719" s="28">
        <v>0</v>
      </c>
      <c r="L719" s="28">
        <v>8.93</v>
      </c>
      <c r="M719" s="24">
        <v>0</v>
      </c>
      <c r="N719" s="28">
        <v>3.5</v>
      </c>
      <c r="O719" s="25">
        <v>32</v>
      </c>
      <c r="P719" s="25">
        <v>3.7</v>
      </c>
      <c r="Q719" s="28">
        <v>1</v>
      </c>
      <c r="R719" s="25">
        <v>0</v>
      </c>
      <c r="S719" s="28">
        <v>0</v>
      </c>
      <c r="T719" s="28">
        <v>94</v>
      </c>
      <c r="U719" s="28">
        <v>1170</v>
      </c>
      <c r="V719" s="28">
        <v>0</v>
      </c>
      <c r="W719" s="28">
        <v>0</v>
      </c>
      <c r="X719" s="28">
        <v>0</v>
      </c>
      <c r="Y719" s="28">
        <v>0</v>
      </c>
      <c r="Z719" s="28">
        <v>0</v>
      </c>
      <c r="AA719" s="25">
        <v>14</v>
      </c>
      <c r="AB719" s="25">
        <v>0</v>
      </c>
      <c r="AC719" s="25">
        <v>0</v>
      </c>
      <c r="AD719" s="28">
        <v>0</v>
      </c>
      <c r="AE719" s="28">
        <v>0</v>
      </c>
      <c r="AF719" s="28">
        <v>0</v>
      </c>
      <c r="AG719" s="28">
        <v>0</v>
      </c>
      <c r="AH719" s="24">
        <v>0</v>
      </c>
      <c r="AI719" s="28">
        <v>100</v>
      </c>
      <c r="AJ719" s="13" t="str">
        <f xml:space="preserve"> IF(AD719&gt;F719,"Exceso en grasa saturada",IFERROR(IF(F719=0,"No tiene sello",IF((AD719*9)*100/F719&gt;10,"Exceso en grasa saturada","No tiene sello")),"No tiene sello"))</f>
        <v>No tiene sello</v>
      </c>
      <c r="AK719" s="13">
        <f>IF(AJ719="No tiene sello",0,1)</f>
        <v>0</v>
      </c>
      <c r="AL719" s="13" t="str">
        <f>IF(Q719&gt;=300,"Exceso en sodio",IFERROR(IF(AND(F719=0,Q719&gt;0),"No tiene sello",IF(Q719/F719&gt;1,"Exceso en sodio","No tiene sello")),"No tiene sello"))</f>
        <v>No tiene sello</v>
      </c>
      <c r="AM719" s="13" t="str">
        <f>IFERROR(IF(F719=0,"No tiene sello",IF(+(AG719/1000)*9*100/F719&gt;1,"Exceso en grasa trans", "No tiene sello")),"No tiene sello")</f>
        <v>No tiene sello</v>
      </c>
    </row>
    <row r="720" spans="1:39" ht="13.5" customHeight="1" x14ac:dyDescent="0.25">
      <c r="A720" s="20" t="s">
        <v>283</v>
      </c>
      <c r="B720" s="20" t="s">
        <v>284</v>
      </c>
      <c r="C720" s="20" t="s">
        <v>179</v>
      </c>
      <c r="D720" s="46">
        <v>100</v>
      </c>
      <c r="E720" s="23">
        <v>89.1</v>
      </c>
      <c r="F720" s="24">
        <v>51</v>
      </c>
      <c r="G720" s="23">
        <v>213</v>
      </c>
      <c r="H720" s="24">
        <v>1.3</v>
      </c>
      <c r="I720" s="24">
        <v>0.2</v>
      </c>
      <c r="J720" s="24">
        <v>8.3000000000000007</v>
      </c>
      <c r="K720" s="23">
        <v>2.9</v>
      </c>
      <c r="L720" s="23">
        <v>0.83</v>
      </c>
      <c r="M720" s="24">
        <v>5.4</v>
      </c>
      <c r="N720" s="23">
        <v>1.1000000000000001</v>
      </c>
      <c r="O720" s="25">
        <v>39</v>
      </c>
      <c r="P720" s="25">
        <v>1.1000000000000001</v>
      </c>
      <c r="Q720" s="23">
        <v>90</v>
      </c>
      <c r="R720" s="25">
        <v>60</v>
      </c>
      <c r="S720" s="23">
        <v>0.5</v>
      </c>
      <c r="T720" s="23">
        <v>46</v>
      </c>
      <c r="U720" s="23">
        <v>375</v>
      </c>
      <c r="V720" s="23">
        <v>0.01</v>
      </c>
      <c r="W720" s="23">
        <v>0.01</v>
      </c>
      <c r="X720" s="23">
        <v>0.4</v>
      </c>
      <c r="Y720" s="23">
        <v>58</v>
      </c>
      <c r="Z720" s="23">
        <v>0</v>
      </c>
      <c r="AA720" s="25">
        <v>4</v>
      </c>
      <c r="AB720" s="25">
        <v>3</v>
      </c>
      <c r="AC720" s="25">
        <v>0</v>
      </c>
      <c r="AD720" s="23">
        <v>0</v>
      </c>
      <c r="AE720" s="23">
        <v>0</v>
      </c>
      <c r="AF720" s="23">
        <v>0</v>
      </c>
      <c r="AG720" s="23">
        <v>0</v>
      </c>
      <c r="AH720" s="24">
        <v>0</v>
      </c>
      <c r="AI720" s="23">
        <v>85</v>
      </c>
      <c r="AJ720" s="13" t="str">
        <f xml:space="preserve"> IF(AD720&gt;F720,"Exceso en grasa saturada",IFERROR(IF(F720=0,"No tiene sello",IF((AD720*9)*100/F720&gt;10,"Exceso en grasa saturada","No tiene sello")),"No tiene sello"))</f>
        <v>No tiene sello</v>
      </c>
      <c r="AK720" s="13">
        <f>IF(AJ720="No tiene sello",0,1)</f>
        <v>0</v>
      </c>
      <c r="AL720" s="13" t="str">
        <f>IF(Q720&gt;=300,"Exceso en sodio",IFERROR(IF(AND(F720=0,Q720&gt;0),"No tiene sello",IF(Q720/F720&gt;1,"Exceso en sodio","No tiene sello")),"No tiene sello"))</f>
        <v>Exceso en sodio</v>
      </c>
      <c r="AM720" s="13" t="str">
        <f>IFERROR(IF(F720=0,"No tiene sello",IF(+(AG720/1000)*9*100/F720&gt;1,"Exceso en grasa trans", "No tiene sello")),"No tiene sello")</f>
        <v>No tiene sello</v>
      </c>
    </row>
    <row r="721" spans="1:39" ht="13.5" customHeight="1" x14ac:dyDescent="0.25">
      <c r="A721" s="26" t="s">
        <v>281</v>
      </c>
      <c r="B721" s="26" t="s">
        <v>282</v>
      </c>
      <c r="C721" s="26" t="s">
        <v>179</v>
      </c>
      <c r="D721" s="47">
        <v>100</v>
      </c>
      <c r="E721" s="28">
        <v>94.5</v>
      </c>
      <c r="F721" s="24">
        <v>22</v>
      </c>
      <c r="G721" s="28">
        <v>92</v>
      </c>
      <c r="H721" s="24">
        <v>0.8</v>
      </c>
      <c r="I721" s="24">
        <v>0.1</v>
      </c>
      <c r="J721" s="24">
        <v>3.2</v>
      </c>
      <c r="K721" s="28">
        <v>0.7</v>
      </c>
      <c r="L721" s="28">
        <v>0.32</v>
      </c>
      <c r="M721" s="24">
        <v>2.5</v>
      </c>
      <c r="N721" s="28">
        <v>1.3</v>
      </c>
      <c r="O721" s="25">
        <v>59</v>
      </c>
      <c r="P721" s="25">
        <v>0.2</v>
      </c>
      <c r="Q721" s="28">
        <v>6</v>
      </c>
      <c r="R721" s="25">
        <v>0</v>
      </c>
      <c r="S721" s="28">
        <v>0</v>
      </c>
      <c r="T721" s="28">
        <v>0</v>
      </c>
      <c r="U721" s="28">
        <v>491</v>
      </c>
      <c r="V721" s="28">
        <v>0</v>
      </c>
      <c r="W721" s="28">
        <v>0</v>
      </c>
      <c r="X721" s="28">
        <v>0</v>
      </c>
      <c r="Y721" s="28">
        <v>0</v>
      </c>
      <c r="Z721" s="28">
        <v>0</v>
      </c>
      <c r="AA721" s="25">
        <v>6</v>
      </c>
      <c r="AB721" s="25">
        <v>0</v>
      </c>
      <c r="AC721" s="25">
        <v>0</v>
      </c>
      <c r="AD721" s="28">
        <v>0</v>
      </c>
      <c r="AE721" s="28">
        <v>0</v>
      </c>
      <c r="AF721" s="28">
        <v>0</v>
      </c>
      <c r="AG721" s="28">
        <v>0</v>
      </c>
      <c r="AH721" s="24">
        <v>0</v>
      </c>
      <c r="AI721" s="28">
        <v>100</v>
      </c>
      <c r="AJ721" s="13" t="str">
        <f xml:space="preserve"> IF(AD721&gt;F721,"Exceso en grasa saturada",IFERROR(IF(F721=0,"No tiene sello",IF((AD721*9)*100/F721&gt;10,"Exceso en grasa saturada","No tiene sello")),"No tiene sello"))</f>
        <v>No tiene sello</v>
      </c>
      <c r="AK721" s="13">
        <f>IF(AJ721="No tiene sello",0,1)</f>
        <v>0</v>
      </c>
      <c r="AL721" s="13" t="str">
        <f>IF(Q721&gt;=300,"Exceso en sodio",IFERROR(IF(AND(F721=0,Q721&gt;0),"No tiene sello",IF(Q721/F721&gt;1,"Exceso en sodio","No tiene sello")),"No tiene sello"))</f>
        <v>No tiene sello</v>
      </c>
      <c r="AM721" s="13" t="str">
        <f>IFERROR(IF(F721=0,"No tiene sello",IF(+(AG721/1000)*9*100/F721&gt;1,"Exceso en grasa trans", "No tiene sello")),"No tiene sello")</f>
        <v>No tiene sello</v>
      </c>
    </row>
    <row r="722" spans="1:39" ht="13.5" customHeight="1" x14ac:dyDescent="0.25">
      <c r="A722" s="20" t="s">
        <v>279</v>
      </c>
      <c r="B722" s="20" t="s">
        <v>280</v>
      </c>
      <c r="C722" s="20" t="s">
        <v>277</v>
      </c>
      <c r="D722" s="46">
        <v>100</v>
      </c>
      <c r="E722" s="23">
        <v>90.7</v>
      </c>
      <c r="F722" s="24">
        <v>44</v>
      </c>
      <c r="G722" s="23">
        <v>185</v>
      </c>
      <c r="H722" s="24">
        <v>2.7</v>
      </c>
      <c r="I722" s="24">
        <v>0.6</v>
      </c>
      <c r="J722" s="24">
        <v>5.2</v>
      </c>
      <c r="K722" s="23">
        <v>1.5</v>
      </c>
      <c r="L722" s="23">
        <v>0.52</v>
      </c>
      <c r="M722" s="24">
        <v>3.7</v>
      </c>
      <c r="N722" s="23">
        <v>0.9</v>
      </c>
      <c r="O722" s="25">
        <v>119</v>
      </c>
      <c r="P722" s="25">
        <v>1.2</v>
      </c>
      <c r="Q722" s="23">
        <v>1</v>
      </c>
      <c r="R722" s="25">
        <v>15</v>
      </c>
      <c r="S722" s="23">
        <v>0.3</v>
      </c>
      <c r="T722" s="23">
        <v>25</v>
      </c>
      <c r="U722" s="23">
        <v>152</v>
      </c>
      <c r="V722" s="23">
        <v>0.06</v>
      </c>
      <c r="W722" s="23">
        <v>0.02</v>
      </c>
      <c r="X722" s="23">
        <v>0</v>
      </c>
      <c r="Y722" s="23">
        <v>0</v>
      </c>
      <c r="Z722" s="23">
        <v>0</v>
      </c>
      <c r="AA722" s="25">
        <v>0</v>
      </c>
      <c r="AB722" s="25">
        <v>0</v>
      </c>
      <c r="AC722" s="25">
        <v>0</v>
      </c>
      <c r="AD722" s="23">
        <v>0</v>
      </c>
      <c r="AE722" s="23">
        <v>0</v>
      </c>
      <c r="AF722" s="23">
        <v>0</v>
      </c>
      <c r="AG722" s="23">
        <v>0</v>
      </c>
      <c r="AH722" s="24">
        <v>0</v>
      </c>
      <c r="AI722" s="23">
        <v>100</v>
      </c>
      <c r="AJ722" s="13" t="str">
        <f xml:space="preserve"> IF(AD722&gt;F722,"Exceso en grasa saturada",IFERROR(IF(F722=0,"No tiene sello",IF((AD722*9)*100/F722&gt;10,"Exceso en grasa saturada","No tiene sello")),"No tiene sello"))</f>
        <v>No tiene sello</v>
      </c>
      <c r="AK722" s="13">
        <f>IF(AJ722="No tiene sello",0,1)</f>
        <v>0</v>
      </c>
      <c r="AL722" s="13" t="str">
        <f>IF(Q722&gt;=300,"Exceso en sodio",IFERROR(IF(AND(F722=0,Q722&gt;0),"No tiene sello",IF(Q722/F722&gt;1,"Exceso en sodio","No tiene sello")),"No tiene sello"))</f>
        <v>No tiene sello</v>
      </c>
      <c r="AM722" s="13" t="str">
        <f>IFERROR(IF(F722=0,"No tiene sello",IF(+(AG722/1000)*9*100/F722&gt;1,"Exceso en grasa trans", "No tiene sello")),"No tiene sello")</f>
        <v>No tiene sello</v>
      </c>
    </row>
    <row r="723" spans="1:39" ht="13.5" customHeight="1" x14ac:dyDescent="0.25">
      <c r="A723" s="26" t="s">
        <v>276</v>
      </c>
      <c r="B723" s="26" t="s">
        <v>278</v>
      </c>
      <c r="C723" s="26" t="s">
        <v>277</v>
      </c>
      <c r="D723" s="47">
        <v>100</v>
      </c>
      <c r="E723" s="28">
        <v>90.7</v>
      </c>
      <c r="F723" s="24">
        <v>39</v>
      </c>
      <c r="G723" s="28">
        <v>164</v>
      </c>
      <c r="H723" s="24">
        <v>2.6</v>
      </c>
      <c r="I723" s="24">
        <v>0.3</v>
      </c>
      <c r="J723" s="24">
        <v>4.8</v>
      </c>
      <c r="K723" s="28">
        <v>1.6</v>
      </c>
      <c r="L723" s="28">
        <v>0.48</v>
      </c>
      <c r="M723" s="24">
        <v>3.2</v>
      </c>
      <c r="N723" s="28">
        <v>1.6</v>
      </c>
      <c r="O723" s="25">
        <v>80</v>
      </c>
      <c r="P723" s="25">
        <v>1.3</v>
      </c>
      <c r="Q723" s="28">
        <v>1</v>
      </c>
      <c r="R723" s="25">
        <v>26</v>
      </c>
      <c r="S723" s="28">
        <v>0.5</v>
      </c>
      <c r="T723" s="28">
        <v>52</v>
      </c>
      <c r="U723" s="28">
        <v>358</v>
      </c>
      <c r="V723" s="28">
        <v>0.05</v>
      </c>
      <c r="W723" s="28">
        <v>0.02</v>
      </c>
      <c r="X723" s="28">
        <v>0</v>
      </c>
      <c r="Y723" s="28">
        <v>0</v>
      </c>
      <c r="Z723" s="28">
        <v>0</v>
      </c>
      <c r="AA723" s="25">
        <v>5</v>
      </c>
      <c r="AB723" s="25">
        <v>1</v>
      </c>
      <c r="AC723" s="25">
        <v>0</v>
      </c>
      <c r="AD723" s="28">
        <v>0</v>
      </c>
      <c r="AE723" s="28">
        <v>0</v>
      </c>
      <c r="AF723" s="28">
        <v>0</v>
      </c>
      <c r="AG723" s="28">
        <v>0</v>
      </c>
      <c r="AH723" s="24">
        <v>0</v>
      </c>
      <c r="AI723" s="28">
        <v>100</v>
      </c>
      <c r="AJ723" s="13" t="str">
        <f xml:space="preserve"> IF(AD723&gt;F723,"Exceso en grasa saturada",IFERROR(IF(F723=0,"No tiene sello",IF((AD723*9)*100/F723&gt;10,"Exceso en grasa saturada","No tiene sello")),"No tiene sello"))</f>
        <v>No tiene sello</v>
      </c>
      <c r="AK723" s="13">
        <f>IF(AJ723="No tiene sello",0,1)</f>
        <v>0</v>
      </c>
      <c r="AL723" s="13" t="str">
        <f>IF(Q723&gt;=300,"Exceso en sodio",IFERROR(IF(AND(F723=0,Q723&gt;0),"No tiene sello",IF(Q723/F723&gt;1,"Exceso en sodio","No tiene sello")),"No tiene sello"))</f>
        <v>No tiene sello</v>
      </c>
      <c r="AM723" s="13" t="str">
        <f>IFERROR(IF(F723=0,"No tiene sello",IF(+(AG723/1000)*9*100/F723&gt;1,"Exceso en grasa trans", "No tiene sello")),"No tiene sello")</f>
        <v>No tiene sello</v>
      </c>
    </row>
    <row r="724" spans="1:39" ht="13.5" customHeight="1" x14ac:dyDescent="0.25">
      <c r="A724" s="20" t="s">
        <v>274</v>
      </c>
      <c r="B724" s="20" t="s">
        <v>275</v>
      </c>
      <c r="C724" s="21"/>
      <c r="D724" s="46">
        <v>100</v>
      </c>
      <c r="E724" s="23">
        <v>13.7</v>
      </c>
      <c r="F724" s="24">
        <v>341</v>
      </c>
      <c r="G724" s="23">
        <v>1451</v>
      </c>
      <c r="H724" s="24">
        <v>1.6</v>
      </c>
      <c r="I724" s="24">
        <v>0.2</v>
      </c>
      <c r="J724" s="24">
        <v>83.3</v>
      </c>
      <c r="K724" s="23">
        <v>0</v>
      </c>
      <c r="L724" s="23">
        <v>4.17</v>
      </c>
      <c r="M724" s="24">
        <v>0</v>
      </c>
      <c r="N724" s="23">
        <v>1.2</v>
      </c>
      <c r="O724" s="25">
        <v>30</v>
      </c>
      <c r="P724" s="25">
        <v>0.3</v>
      </c>
      <c r="Q724" s="23">
        <v>0</v>
      </c>
      <c r="R724" s="25">
        <v>70</v>
      </c>
      <c r="S724" s="23">
        <v>0</v>
      </c>
      <c r="T724" s="23">
        <v>0</v>
      </c>
      <c r="U724" s="23">
        <v>0</v>
      </c>
      <c r="V724" s="23">
        <v>0.11</v>
      </c>
      <c r="W724" s="23">
        <v>7.0000000000000007E-2</v>
      </c>
      <c r="X724" s="23">
        <v>0.5</v>
      </c>
      <c r="Y724" s="23">
        <v>0</v>
      </c>
      <c r="Z724" s="23">
        <v>0</v>
      </c>
      <c r="AA724" s="25">
        <v>0</v>
      </c>
      <c r="AB724" s="25">
        <v>0</v>
      </c>
      <c r="AC724" s="25">
        <v>0</v>
      </c>
      <c r="AD724" s="23">
        <v>0</v>
      </c>
      <c r="AE724" s="23">
        <v>0</v>
      </c>
      <c r="AF724" s="23">
        <v>0</v>
      </c>
      <c r="AG724" s="23">
        <v>0</v>
      </c>
      <c r="AH724" s="24">
        <v>0</v>
      </c>
      <c r="AI724" s="23">
        <v>100</v>
      </c>
      <c r="AJ724" s="13" t="str">
        <f xml:space="preserve"> IF(AD724&gt;F724,"Exceso en grasa saturada",IFERROR(IF(F724=0,"No tiene sello",IF((AD724*9)*100/F724&gt;10,"Exceso en grasa saturada","No tiene sello")),"No tiene sello"))</f>
        <v>No tiene sello</v>
      </c>
      <c r="AK724" s="13">
        <f>IF(AJ724="No tiene sello",0,1)</f>
        <v>0</v>
      </c>
      <c r="AL724" s="13" t="str">
        <f>IF(Q724&gt;=300,"Exceso en sodio",IFERROR(IF(AND(F724=0,Q724&gt;0),"No tiene sello",IF(Q724/F724&gt;1,"Exceso en sodio","No tiene sello")),"No tiene sello"))</f>
        <v>No tiene sello</v>
      </c>
      <c r="AM724" s="13" t="str">
        <f>IFERROR(IF(F724=0,"No tiene sello",IF(+(AG724/1000)*9*100/F724&gt;1,"Exceso en grasa trans", "No tiene sello")),"No tiene sello")</f>
        <v>No tiene sello</v>
      </c>
    </row>
    <row r="725" spans="1:39" ht="13.5" customHeight="1" x14ac:dyDescent="0.25">
      <c r="A725" s="26" t="s">
        <v>272</v>
      </c>
      <c r="B725" s="26" t="s">
        <v>273</v>
      </c>
      <c r="C725" s="26" t="s">
        <v>154</v>
      </c>
      <c r="D725" s="47">
        <v>100</v>
      </c>
      <c r="E725" s="28">
        <v>83.4</v>
      </c>
      <c r="F725" s="24">
        <v>68</v>
      </c>
      <c r="G725" s="28">
        <v>289</v>
      </c>
      <c r="H725" s="24">
        <v>0.7</v>
      </c>
      <c r="I725" s="24">
        <v>0.1</v>
      </c>
      <c r="J725" s="24">
        <v>15.4</v>
      </c>
      <c r="K725" s="28">
        <v>14</v>
      </c>
      <c r="L725" s="28">
        <v>1.54</v>
      </c>
      <c r="M725" s="24">
        <v>1.4</v>
      </c>
      <c r="N725" s="28">
        <v>0.4</v>
      </c>
      <c r="O725" s="25">
        <v>14</v>
      </c>
      <c r="P725" s="25">
        <v>0.4</v>
      </c>
      <c r="Q725" s="28">
        <v>0</v>
      </c>
      <c r="R725" s="25">
        <v>28</v>
      </c>
      <c r="S725" s="28">
        <v>0.1</v>
      </c>
      <c r="T725" s="28">
        <v>7</v>
      </c>
      <c r="U725" s="28">
        <v>172</v>
      </c>
      <c r="V725" s="28">
        <v>0.05</v>
      </c>
      <c r="W725" s="28">
        <v>0.04</v>
      </c>
      <c r="X725" s="28">
        <v>0.4</v>
      </c>
      <c r="Y725" s="28">
        <v>5</v>
      </c>
      <c r="Z725" s="28">
        <v>0</v>
      </c>
      <c r="AA725" s="25">
        <v>23</v>
      </c>
      <c r="AB725" s="25">
        <v>17</v>
      </c>
      <c r="AC725" s="25">
        <v>0</v>
      </c>
      <c r="AD725" s="28">
        <v>0</v>
      </c>
      <c r="AE725" s="28">
        <v>0</v>
      </c>
      <c r="AF725" s="28">
        <v>0</v>
      </c>
      <c r="AG725" s="28">
        <v>0</v>
      </c>
      <c r="AH725" s="24">
        <v>0</v>
      </c>
      <c r="AI725" s="28">
        <v>94</v>
      </c>
      <c r="AJ725" s="13" t="str">
        <f xml:space="preserve"> IF(AD725&gt;F725,"Exceso en grasa saturada",IFERROR(IF(F725=0,"No tiene sello",IF((AD725*9)*100/F725&gt;10,"Exceso en grasa saturada","No tiene sello")),"No tiene sello"))</f>
        <v>No tiene sello</v>
      </c>
      <c r="AK725" s="13">
        <f>IF(AJ725="No tiene sello",0,1)</f>
        <v>0</v>
      </c>
      <c r="AL725" s="13" t="str">
        <f>IF(Q725&gt;=300,"Exceso en sodio",IFERROR(IF(AND(F725=0,Q725&gt;0),"No tiene sello",IF(Q725/F725&gt;1,"Exceso en sodio","No tiene sello")),"No tiene sello"))</f>
        <v>No tiene sello</v>
      </c>
      <c r="AM725" s="13" t="str">
        <f>IFERROR(IF(F725=0,"No tiene sello",IF(+(AG725/1000)*9*100/F725&gt;1,"Exceso en grasa trans", "No tiene sello")),"No tiene sello")</f>
        <v>No tiene sello</v>
      </c>
    </row>
    <row r="726" spans="1:39" ht="13.5" customHeight="1" x14ac:dyDescent="0.25">
      <c r="A726" s="20" t="s">
        <v>270</v>
      </c>
      <c r="B726" s="20" t="s">
        <v>271</v>
      </c>
      <c r="C726" s="20" t="s">
        <v>154</v>
      </c>
      <c r="D726" s="46">
        <v>100</v>
      </c>
      <c r="E726" s="23">
        <v>80.5</v>
      </c>
      <c r="F726" s="24">
        <v>77</v>
      </c>
      <c r="G726" s="23">
        <v>327</v>
      </c>
      <c r="H726" s="24">
        <v>0.4</v>
      </c>
      <c r="I726" s="24">
        <v>0.1</v>
      </c>
      <c r="J726" s="24">
        <v>15.4</v>
      </c>
      <c r="K726" s="23">
        <v>14</v>
      </c>
      <c r="L726" s="23">
        <v>1.54</v>
      </c>
      <c r="M726" s="24">
        <v>1.4</v>
      </c>
      <c r="N726" s="23">
        <v>0.4</v>
      </c>
      <c r="O726" s="25">
        <v>20</v>
      </c>
      <c r="P726" s="25">
        <v>0.5</v>
      </c>
      <c r="Q726" s="23">
        <v>0</v>
      </c>
      <c r="R726" s="25">
        <v>15</v>
      </c>
      <c r="S726" s="23">
        <v>0</v>
      </c>
      <c r="T726" s="23">
        <v>0</v>
      </c>
      <c r="U726" s="23">
        <v>0</v>
      </c>
      <c r="V726" s="23">
        <v>0</v>
      </c>
      <c r="W726" s="23">
        <v>0.04</v>
      </c>
      <c r="X726" s="23">
        <v>0.3</v>
      </c>
      <c r="Y726" s="23">
        <v>0</v>
      </c>
      <c r="Z726" s="23">
        <v>0</v>
      </c>
      <c r="AA726" s="25">
        <v>15</v>
      </c>
      <c r="AB726" s="25">
        <v>0</v>
      </c>
      <c r="AC726" s="25">
        <v>0</v>
      </c>
      <c r="AD726" s="23">
        <v>0</v>
      </c>
      <c r="AE726" s="23">
        <v>0</v>
      </c>
      <c r="AF726" s="23">
        <v>0</v>
      </c>
      <c r="AG726" s="23">
        <v>0</v>
      </c>
      <c r="AH726" s="24">
        <v>0</v>
      </c>
      <c r="AI726" s="23">
        <v>60</v>
      </c>
      <c r="AJ726" s="13" t="str">
        <f xml:space="preserve"> IF(AD726&gt;F726,"Exceso en grasa saturada",IFERROR(IF(F726=0,"No tiene sello",IF((AD726*9)*100/F726&gt;10,"Exceso en grasa saturada","No tiene sello")),"No tiene sello"))</f>
        <v>No tiene sello</v>
      </c>
      <c r="AK726" s="13">
        <f>IF(AJ726="No tiene sello",0,1)</f>
        <v>0</v>
      </c>
      <c r="AL726" s="13" t="str">
        <f>IF(Q726&gt;=300,"Exceso en sodio",IFERROR(IF(AND(F726=0,Q726&gt;0),"No tiene sello",IF(Q726/F726&gt;1,"Exceso en sodio","No tiene sello")),"No tiene sello"))</f>
        <v>No tiene sello</v>
      </c>
      <c r="AM726" s="13" t="str">
        <f>IFERROR(IF(F726=0,"No tiene sello",IF(+(AG726/1000)*9*100/F726&gt;1,"Exceso en grasa trans", "No tiene sello")),"No tiene sello")</f>
        <v>No tiene sello</v>
      </c>
    </row>
    <row r="727" spans="1:39" ht="13.5" customHeight="1" x14ac:dyDescent="0.25">
      <c r="A727" s="26" t="s">
        <v>268</v>
      </c>
      <c r="B727" s="26" t="s">
        <v>269</v>
      </c>
      <c r="C727" s="26" t="s">
        <v>154</v>
      </c>
      <c r="D727" s="47">
        <v>100</v>
      </c>
      <c r="E727" s="28">
        <v>78</v>
      </c>
      <c r="F727" s="24">
        <v>102</v>
      </c>
      <c r="G727" s="28">
        <v>431</v>
      </c>
      <c r="H727" s="24">
        <v>0.6</v>
      </c>
      <c r="I727" s="24">
        <v>1.1000000000000001</v>
      </c>
      <c r="J727" s="24">
        <v>19.899999999999999</v>
      </c>
      <c r="K727" s="28">
        <v>14.6</v>
      </c>
      <c r="L727" s="28">
        <v>1.99</v>
      </c>
      <c r="M727" s="24">
        <v>5.3</v>
      </c>
      <c r="N727" s="28">
        <v>0.4</v>
      </c>
      <c r="O727" s="25">
        <v>21</v>
      </c>
      <c r="P727" s="25">
        <v>0.8</v>
      </c>
      <c r="Q727" s="28">
        <v>12</v>
      </c>
      <c r="R727" s="25">
        <v>13</v>
      </c>
      <c r="S727" s="28">
        <v>0.1</v>
      </c>
      <c r="T727" s="28">
        <v>12</v>
      </c>
      <c r="U727" s="28">
        <v>192</v>
      </c>
      <c r="V727" s="28">
        <v>0.02</v>
      </c>
      <c r="W727" s="28">
        <v>0.02</v>
      </c>
      <c r="X727" s="28">
        <v>0.2</v>
      </c>
      <c r="Y727" s="28">
        <v>14</v>
      </c>
      <c r="Z727" s="28">
        <v>0</v>
      </c>
      <c r="AA727" s="25">
        <v>13</v>
      </c>
      <c r="AB727" s="25">
        <v>5</v>
      </c>
      <c r="AC727" s="25">
        <v>0</v>
      </c>
      <c r="AD727" s="28">
        <v>0</v>
      </c>
      <c r="AE727" s="28">
        <v>0</v>
      </c>
      <c r="AF727" s="28">
        <v>0</v>
      </c>
      <c r="AG727" s="28">
        <v>0</v>
      </c>
      <c r="AH727" s="24">
        <v>0</v>
      </c>
      <c r="AI727" s="28">
        <v>80</v>
      </c>
      <c r="AJ727" s="13" t="str">
        <f xml:space="preserve"> IF(AD727&gt;F727,"Exceso en grasa saturada",IFERROR(IF(F727=0,"No tiene sello",IF((AD727*9)*100/F727&gt;10,"Exceso en grasa saturada","No tiene sello")),"No tiene sello"))</f>
        <v>No tiene sello</v>
      </c>
      <c r="AK727" s="13">
        <f>IF(AJ727="No tiene sello",0,1)</f>
        <v>0</v>
      </c>
      <c r="AL727" s="13" t="str">
        <f>IF(Q727&gt;=300,"Exceso en sodio",IFERROR(IF(AND(F727=0,Q727&gt;0),"No tiene sello",IF(Q727/F727&gt;1,"Exceso en sodio","No tiene sello")),"No tiene sello"))</f>
        <v>No tiene sello</v>
      </c>
      <c r="AM727" s="13" t="str">
        <f>IFERROR(IF(F727=0,"No tiene sello",IF(+(AG727/1000)*9*100/F727&gt;1,"Exceso en grasa trans", "No tiene sello")),"No tiene sello")</f>
        <v>No tiene sello</v>
      </c>
    </row>
    <row r="728" spans="1:39" s="5" customFormat="1" ht="13.5" customHeight="1" x14ac:dyDescent="0.25">
      <c r="A728" s="20" t="s">
        <v>266</v>
      </c>
      <c r="B728" s="20" t="s">
        <v>267</v>
      </c>
      <c r="C728" s="20" t="s">
        <v>3</v>
      </c>
      <c r="D728" s="46">
        <v>100</v>
      </c>
      <c r="E728" s="23">
        <v>39.299999999999997</v>
      </c>
      <c r="F728" s="24">
        <v>249</v>
      </c>
      <c r="G728" s="23">
        <v>1055</v>
      </c>
      <c r="H728" s="24">
        <v>9.1999999999999993</v>
      </c>
      <c r="I728" s="24">
        <v>2</v>
      </c>
      <c r="J728" s="24">
        <v>48.5</v>
      </c>
      <c r="K728" s="23">
        <v>0</v>
      </c>
      <c r="L728" s="23">
        <v>4.8499999999999996</v>
      </c>
      <c r="M728" s="24">
        <v>0</v>
      </c>
      <c r="N728" s="23">
        <v>1</v>
      </c>
      <c r="O728" s="25">
        <v>11</v>
      </c>
      <c r="P728" s="25">
        <v>2.2000000000000002</v>
      </c>
      <c r="Q728" s="23">
        <v>0</v>
      </c>
      <c r="R728" s="25">
        <v>90</v>
      </c>
      <c r="S728" s="23">
        <v>0</v>
      </c>
      <c r="T728" s="23">
        <v>0</v>
      </c>
      <c r="U728" s="23">
        <v>0</v>
      </c>
      <c r="V728" s="23">
        <v>0.2</v>
      </c>
      <c r="W728" s="23">
        <v>0.03</v>
      </c>
      <c r="X728" s="23">
        <v>0.6</v>
      </c>
      <c r="Y728" s="23">
        <v>0</v>
      </c>
      <c r="Z728" s="23">
        <v>0</v>
      </c>
      <c r="AA728" s="25">
        <v>0</v>
      </c>
      <c r="AB728" s="25">
        <v>0</v>
      </c>
      <c r="AC728" s="25">
        <v>0</v>
      </c>
      <c r="AD728" s="23">
        <v>0</v>
      </c>
      <c r="AE728" s="23">
        <v>0</v>
      </c>
      <c r="AF728" s="23">
        <v>0</v>
      </c>
      <c r="AG728" s="23">
        <v>0</v>
      </c>
      <c r="AH728" s="24">
        <v>0</v>
      </c>
      <c r="AI728" s="23">
        <v>100</v>
      </c>
      <c r="AJ728" s="13" t="str">
        <f xml:space="preserve"> IF(AD728&gt;F728,"Exceso en grasa saturada",IFERROR(IF(F728=0,"No tiene sello",IF((AD728*9)*100/F728&gt;10,"Exceso en grasa saturada","No tiene sello")),"No tiene sello"))</f>
        <v>No tiene sello</v>
      </c>
      <c r="AK728" s="13">
        <f>IF(AJ728="No tiene sello",0,1)</f>
        <v>0</v>
      </c>
      <c r="AL728" s="13" t="str">
        <f>IF(Q728&gt;=300,"Exceso en sodio",IFERROR(IF(AND(F728=0,Q728&gt;0),"No tiene sello",IF(Q728/F728&gt;1,"Exceso en sodio","No tiene sello")),"No tiene sello"))</f>
        <v>No tiene sello</v>
      </c>
      <c r="AM728" s="13" t="str">
        <f>IFERROR(IF(F728=0,"No tiene sello",IF(+(AG728/1000)*9*100/F728&gt;1,"Exceso en grasa trans", "No tiene sello")),"No tiene sello")</f>
        <v>No tiene sello</v>
      </c>
    </row>
    <row r="729" spans="1:39" ht="13.5" customHeight="1" x14ac:dyDescent="0.25">
      <c r="A729" s="26" t="s">
        <v>264</v>
      </c>
      <c r="B729" s="26" t="s">
        <v>265</v>
      </c>
      <c r="C729" s="26" t="s">
        <v>154</v>
      </c>
      <c r="D729" s="47">
        <v>100</v>
      </c>
      <c r="E729" s="28">
        <v>55.6</v>
      </c>
      <c r="F729" s="24">
        <v>255</v>
      </c>
      <c r="G729" s="28">
        <v>1062</v>
      </c>
      <c r="H729" s="24">
        <v>7.9</v>
      </c>
      <c r="I729" s="24">
        <v>16.600000000000001</v>
      </c>
      <c r="J729" s="24">
        <v>18.5</v>
      </c>
      <c r="K729" s="28">
        <v>0</v>
      </c>
      <c r="L729" s="28">
        <v>1.85</v>
      </c>
      <c r="M729" s="24">
        <v>0</v>
      </c>
      <c r="N729" s="28">
        <v>1.4</v>
      </c>
      <c r="O729" s="25">
        <v>4</v>
      </c>
      <c r="P729" s="25">
        <v>3</v>
      </c>
      <c r="Q729" s="28">
        <v>155</v>
      </c>
      <c r="R729" s="25">
        <v>0</v>
      </c>
      <c r="S729" s="28">
        <v>0.7</v>
      </c>
      <c r="T729" s="28">
        <v>26</v>
      </c>
      <c r="U729" s="28">
        <v>0</v>
      </c>
      <c r="V729" s="28">
        <v>0</v>
      </c>
      <c r="W729" s="28">
        <v>0</v>
      </c>
      <c r="X729" s="28">
        <v>0</v>
      </c>
      <c r="Y729" s="28">
        <v>0</v>
      </c>
      <c r="Z729" s="28">
        <v>0</v>
      </c>
      <c r="AA729" s="25">
        <v>27</v>
      </c>
      <c r="AB729" s="25">
        <v>0</v>
      </c>
      <c r="AC729" s="25">
        <v>0</v>
      </c>
      <c r="AD729" s="28">
        <v>0</v>
      </c>
      <c r="AE729" s="28">
        <v>0</v>
      </c>
      <c r="AF729" s="28">
        <v>0</v>
      </c>
      <c r="AG729" s="28">
        <v>0</v>
      </c>
      <c r="AH729" s="24">
        <v>0</v>
      </c>
      <c r="AI729" s="28">
        <v>77</v>
      </c>
      <c r="AJ729" s="13" t="str">
        <f xml:space="preserve"> IF(AD729&gt;F729,"Exceso en grasa saturada",IFERROR(IF(F729=0,"No tiene sello",IF((AD729*9)*100/F729&gt;10,"Exceso en grasa saturada","No tiene sello")),"No tiene sello"))</f>
        <v>No tiene sello</v>
      </c>
      <c r="AK729" s="13">
        <f>IF(AJ729="No tiene sello",0,1)</f>
        <v>0</v>
      </c>
      <c r="AL729" s="13" t="str">
        <f>IF(Q729&gt;=300,"Exceso en sodio",IFERROR(IF(AND(F729=0,Q729&gt;0),"No tiene sello",IF(Q729/F729&gt;1,"Exceso en sodio","No tiene sello")),"No tiene sello"))</f>
        <v>No tiene sello</v>
      </c>
      <c r="AM729" s="13" t="str">
        <f>IFERROR(IF(F729=0,"No tiene sello",IF(+(AG729/1000)*9*100/F729&gt;1,"Exceso en grasa trans", "No tiene sello")),"No tiene sello")</f>
        <v>No tiene sello</v>
      </c>
    </row>
    <row r="730" spans="1:39" ht="13.5" customHeight="1" x14ac:dyDescent="0.25">
      <c r="A730" s="20" t="s">
        <v>262</v>
      </c>
      <c r="B730" s="20" t="s">
        <v>263</v>
      </c>
      <c r="C730" s="20" t="s">
        <v>154</v>
      </c>
      <c r="D730" s="46">
        <v>100</v>
      </c>
      <c r="E730" s="23">
        <v>53.4</v>
      </c>
      <c r="F730" s="24">
        <v>231</v>
      </c>
      <c r="G730" s="23">
        <v>968</v>
      </c>
      <c r="H730" s="24">
        <v>4.4000000000000004</v>
      </c>
      <c r="I730" s="24">
        <v>10</v>
      </c>
      <c r="J730" s="24">
        <v>30.8</v>
      </c>
      <c r="K730" s="23">
        <v>0</v>
      </c>
      <c r="L730" s="23">
        <v>3.08</v>
      </c>
      <c r="M730" s="24">
        <v>0</v>
      </c>
      <c r="N730" s="23">
        <v>1.4</v>
      </c>
      <c r="O730" s="25">
        <v>38</v>
      </c>
      <c r="P730" s="25">
        <v>1</v>
      </c>
      <c r="Q730" s="23">
        <v>0</v>
      </c>
      <c r="R730" s="25">
        <v>83</v>
      </c>
      <c r="S730" s="23">
        <v>0</v>
      </c>
      <c r="T730" s="23">
        <v>0</v>
      </c>
      <c r="U730" s="23">
        <v>0</v>
      </c>
      <c r="V730" s="23">
        <v>0.19</v>
      </c>
      <c r="W730" s="23">
        <v>0.05</v>
      </c>
      <c r="X730" s="23">
        <v>1</v>
      </c>
      <c r="Y730" s="23">
        <v>0</v>
      </c>
      <c r="Z730" s="23">
        <v>0</v>
      </c>
      <c r="AA730" s="25">
        <v>5</v>
      </c>
      <c r="AB730" s="25">
        <v>3260</v>
      </c>
      <c r="AC730" s="25">
        <v>0</v>
      </c>
      <c r="AD730" s="23">
        <v>0</v>
      </c>
      <c r="AE730" s="23">
        <v>0</v>
      </c>
      <c r="AF730" s="23">
        <v>0</v>
      </c>
      <c r="AG730" s="23">
        <v>0</v>
      </c>
      <c r="AH730" s="24">
        <v>0</v>
      </c>
      <c r="AI730" s="23">
        <v>70</v>
      </c>
      <c r="AJ730" s="13" t="str">
        <f xml:space="preserve"> IF(AD730&gt;F730,"Exceso en grasa saturada",IFERROR(IF(F730=0,"No tiene sello",IF((AD730*9)*100/F730&gt;10,"Exceso en grasa saturada","No tiene sello")),"No tiene sello"))</f>
        <v>No tiene sello</v>
      </c>
      <c r="AK730" s="13">
        <f>IF(AJ730="No tiene sello",0,1)</f>
        <v>0</v>
      </c>
      <c r="AL730" s="13" t="str">
        <f>IF(Q730&gt;=300,"Exceso en sodio",IFERROR(IF(AND(F730=0,Q730&gt;0),"No tiene sello",IF(Q730/F730&gt;1,"Exceso en sodio","No tiene sello")),"No tiene sello"))</f>
        <v>No tiene sello</v>
      </c>
      <c r="AM730" s="13" t="str">
        <f>IFERROR(IF(F730=0,"No tiene sello",IF(+(AG730/1000)*9*100/F730&gt;1,"Exceso en grasa trans", "No tiene sello")),"No tiene sello")</f>
        <v>No tiene sello</v>
      </c>
    </row>
    <row r="731" spans="1:39" ht="13.5" customHeight="1" x14ac:dyDescent="0.25">
      <c r="A731" s="26" t="s">
        <v>260</v>
      </c>
      <c r="B731" s="26" t="s">
        <v>261</v>
      </c>
      <c r="C731" s="26" t="s">
        <v>154</v>
      </c>
      <c r="D731" s="47">
        <v>100</v>
      </c>
      <c r="E731" s="28">
        <v>82.1</v>
      </c>
      <c r="F731" s="24">
        <v>74</v>
      </c>
      <c r="G731" s="28">
        <v>311</v>
      </c>
      <c r="H731" s="24">
        <v>0.7</v>
      </c>
      <c r="I731" s="24">
        <v>0.1</v>
      </c>
      <c r="J731" s="24">
        <v>16.2</v>
      </c>
      <c r="K731" s="28">
        <v>13.9</v>
      </c>
      <c r="L731" s="28">
        <v>1.62</v>
      </c>
      <c r="M731" s="24">
        <v>2.2999999999999998</v>
      </c>
      <c r="N731" s="28">
        <v>0.8</v>
      </c>
      <c r="O731" s="25">
        <v>9</v>
      </c>
      <c r="P731" s="25">
        <v>0.6</v>
      </c>
      <c r="Q731" s="28">
        <v>0</v>
      </c>
      <c r="R731" s="25">
        <v>27</v>
      </c>
      <c r="S731" s="28">
        <v>0.1</v>
      </c>
      <c r="T731" s="28">
        <v>7</v>
      </c>
      <c r="U731" s="28">
        <v>171</v>
      </c>
      <c r="V731" s="28">
        <v>0.08</v>
      </c>
      <c r="W731" s="28">
        <v>0.02</v>
      </c>
      <c r="X731" s="28">
        <v>0.5</v>
      </c>
      <c r="Y731" s="28">
        <v>5</v>
      </c>
      <c r="Z731" s="28">
        <v>0</v>
      </c>
      <c r="AA731" s="25">
        <v>16</v>
      </c>
      <c r="AB731" s="25">
        <v>14</v>
      </c>
      <c r="AC731" s="25">
        <v>0</v>
      </c>
      <c r="AD731" s="28">
        <v>0</v>
      </c>
      <c r="AE731" s="28">
        <v>0</v>
      </c>
      <c r="AF731" s="28">
        <v>0</v>
      </c>
      <c r="AG731" s="28">
        <v>0</v>
      </c>
      <c r="AH731" s="24">
        <v>0</v>
      </c>
      <c r="AI731" s="28">
        <v>20</v>
      </c>
      <c r="AJ731" s="13" t="str">
        <f xml:space="preserve"> IF(AD731&gt;F731,"Exceso en grasa saturada",IFERROR(IF(F731=0,"No tiene sello",IF((AD731*9)*100/F731&gt;10,"Exceso en grasa saturada","No tiene sello")),"No tiene sello"))</f>
        <v>No tiene sello</v>
      </c>
      <c r="AK731" s="13">
        <f>IF(AJ731="No tiene sello",0,1)</f>
        <v>0</v>
      </c>
      <c r="AL731" s="13" t="str">
        <f>IF(Q731&gt;=300,"Exceso en sodio",IFERROR(IF(AND(F731=0,Q731&gt;0),"No tiene sello",IF(Q731/F731&gt;1,"Exceso en sodio","No tiene sello")),"No tiene sello"))</f>
        <v>No tiene sello</v>
      </c>
      <c r="AM731" s="13" t="str">
        <f>IFERROR(IF(F731=0,"No tiene sello",IF(+(AG731/1000)*9*100/F731&gt;1,"Exceso en grasa trans", "No tiene sello")),"No tiene sello")</f>
        <v>No tiene sello</v>
      </c>
    </row>
    <row r="732" spans="1:39" s="5" customFormat="1" ht="13.5" customHeight="1" x14ac:dyDescent="0.25">
      <c r="A732" s="29" t="s">
        <v>258</v>
      </c>
      <c r="B732" s="29" t="s">
        <v>259</v>
      </c>
      <c r="C732" s="29" t="s">
        <v>154</v>
      </c>
      <c r="D732" s="46">
        <v>100</v>
      </c>
      <c r="E732" s="31">
        <v>79</v>
      </c>
      <c r="F732" s="24">
        <v>85</v>
      </c>
      <c r="G732" s="31">
        <v>359</v>
      </c>
      <c r="H732" s="24">
        <v>0.7</v>
      </c>
      <c r="I732" s="24">
        <v>0.1</v>
      </c>
      <c r="J732" s="24">
        <v>19.5</v>
      </c>
      <c r="K732" s="31">
        <v>17.899999999999999</v>
      </c>
      <c r="L732" s="31">
        <v>1.95</v>
      </c>
      <c r="M732" s="24">
        <v>1.6</v>
      </c>
      <c r="N732" s="31">
        <v>0.7</v>
      </c>
      <c r="O732" s="31">
        <v>121</v>
      </c>
      <c r="P732" s="31">
        <v>4.7</v>
      </c>
      <c r="Q732" s="31">
        <v>4</v>
      </c>
      <c r="R732" s="31">
        <v>1</v>
      </c>
      <c r="S732" s="31">
        <v>0.1</v>
      </c>
      <c r="T732" s="31">
        <v>9</v>
      </c>
      <c r="U732" s="31">
        <v>1710</v>
      </c>
      <c r="V732" s="31">
        <v>0.06</v>
      </c>
      <c r="W732" s="31">
        <v>0.04</v>
      </c>
      <c r="X732" s="31">
        <v>1.5</v>
      </c>
      <c r="Y732" s="31">
        <v>7</v>
      </c>
      <c r="Z732" s="31">
        <v>0</v>
      </c>
      <c r="AA732" s="31">
        <v>14</v>
      </c>
      <c r="AB732" s="31">
        <v>92</v>
      </c>
      <c r="AC732" s="31">
        <v>0</v>
      </c>
      <c r="AD732" s="31">
        <v>0</v>
      </c>
      <c r="AE732" s="31">
        <v>0</v>
      </c>
      <c r="AF732" s="31">
        <v>0</v>
      </c>
      <c r="AG732" s="31">
        <v>0</v>
      </c>
      <c r="AH732" s="31">
        <v>0</v>
      </c>
      <c r="AI732" s="31">
        <v>74</v>
      </c>
      <c r="AJ732" s="13" t="str">
        <f xml:space="preserve"> IF(AD732&gt;F732,"Exceso en grasa saturada",IFERROR(IF(F732=0,"No tiene sello",IF((AD732*9)*100/F732&gt;10,"Exceso en grasa saturada","No tiene sello")),"No tiene sello"))</f>
        <v>No tiene sello</v>
      </c>
      <c r="AK732" s="13">
        <f>IF(AJ732="No tiene sello",0,1)</f>
        <v>0</v>
      </c>
      <c r="AL732" s="13" t="str">
        <f>IF(Q732&gt;=300,"Exceso en sodio",IFERROR(IF(AND(F732=0,Q732&gt;0),"No tiene sello",IF(Q732/F732&gt;1,"Exceso en sodio","No tiene sello")),"No tiene sello"))</f>
        <v>No tiene sello</v>
      </c>
      <c r="AM732" s="13" t="str">
        <f>IFERROR(IF(F732=0,"No tiene sello",IF(+(AG732/1000)*9*100/F732&gt;1,"Exceso en grasa trans", "No tiene sello")),"No tiene sello")</f>
        <v>No tiene sello</v>
      </c>
    </row>
    <row r="733" spans="1:39" ht="13.5" customHeight="1" x14ac:dyDescent="0.25">
      <c r="A733" s="26" t="s">
        <v>256</v>
      </c>
      <c r="B733" s="26" t="s">
        <v>257</v>
      </c>
      <c r="C733" s="26" t="s">
        <v>154</v>
      </c>
      <c r="D733" s="47">
        <v>100</v>
      </c>
      <c r="E733" s="28">
        <v>80.8</v>
      </c>
      <c r="F733" s="24">
        <v>78</v>
      </c>
      <c r="G733" s="28">
        <v>331</v>
      </c>
      <c r="H733" s="24">
        <v>1.9</v>
      </c>
      <c r="I733" s="24">
        <v>0.7</v>
      </c>
      <c r="J733" s="24">
        <v>14.7</v>
      </c>
      <c r="K733" s="28">
        <v>11.6</v>
      </c>
      <c r="L733" s="28">
        <v>1.47</v>
      </c>
      <c r="M733" s="24">
        <v>3.1</v>
      </c>
      <c r="N733" s="28">
        <v>2</v>
      </c>
      <c r="O733" s="25">
        <v>45</v>
      </c>
      <c r="P733" s="25">
        <v>0.7</v>
      </c>
      <c r="Q733" s="28">
        <v>0</v>
      </c>
      <c r="R733" s="25">
        <v>38</v>
      </c>
      <c r="S733" s="28">
        <v>0.2</v>
      </c>
      <c r="T733" s="28">
        <v>45</v>
      </c>
      <c r="U733" s="28">
        <v>0</v>
      </c>
      <c r="V733" s="28">
        <v>0</v>
      </c>
      <c r="W733" s="28">
        <v>0.08</v>
      </c>
      <c r="X733" s="28">
        <v>0.4</v>
      </c>
      <c r="Y733" s="28">
        <v>0</v>
      </c>
      <c r="Z733" s="28">
        <v>0</v>
      </c>
      <c r="AA733" s="25">
        <v>0</v>
      </c>
      <c r="AB733" s="25">
        <v>0</v>
      </c>
      <c r="AC733" s="25">
        <v>0</v>
      </c>
      <c r="AD733" s="28">
        <v>0</v>
      </c>
      <c r="AE733" s="28">
        <v>0</v>
      </c>
      <c r="AF733" s="28">
        <v>0</v>
      </c>
      <c r="AG733" s="28">
        <v>0</v>
      </c>
      <c r="AH733" s="24">
        <v>0</v>
      </c>
      <c r="AI733" s="28">
        <v>34</v>
      </c>
      <c r="AJ733" s="13" t="str">
        <f xml:space="preserve"> IF(AD733&gt;F733,"Exceso en grasa saturada",IFERROR(IF(F733=0,"No tiene sello",IF((AD733*9)*100/F733&gt;10,"Exceso en grasa saturada","No tiene sello")),"No tiene sello"))</f>
        <v>No tiene sello</v>
      </c>
      <c r="AK733" s="13">
        <f>IF(AJ733="No tiene sello",0,1)</f>
        <v>0</v>
      </c>
      <c r="AL733" s="13" t="str">
        <f>IF(Q733&gt;=300,"Exceso en sodio",IFERROR(IF(AND(F733=0,Q733&gt;0),"No tiene sello",IF(Q733/F733&gt;1,"Exceso en sodio","No tiene sello")),"No tiene sello"))</f>
        <v>No tiene sello</v>
      </c>
      <c r="AM733" s="13" t="str">
        <f>IFERROR(IF(F733=0,"No tiene sello",IF(+(AG733/1000)*9*100/F733&gt;1,"Exceso en grasa trans", "No tiene sello")),"No tiene sello")</f>
        <v>No tiene sello</v>
      </c>
    </row>
    <row r="734" spans="1:39" ht="13.5" customHeight="1" x14ac:dyDescent="0.25">
      <c r="A734" s="20" t="s">
        <v>254</v>
      </c>
      <c r="B734" s="20" t="s">
        <v>255</v>
      </c>
      <c r="C734" s="20" t="s">
        <v>154</v>
      </c>
      <c r="D734" s="46">
        <v>100</v>
      </c>
      <c r="E734" s="23">
        <v>80.8</v>
      </c>
      <c r="F734" s="24">
        <v>92</v>
      </c>
      <c r="G734" s="23">
        <v>388</v>
      </c>
      <c r="H734" s="24">
        <v>2.2000000000000002</v>
      </c>
      <c r="I734" s="24">
        <v>0.9</v>
      </c>
      <c r="J734" s="24">
        <v>14.9</v>
      </c>
      <c r="K734" s="23">
        <v>7.2</v>
      </c>
      <c r="L734" s="23">
        <v>1.49</v>
      </c>
      <c r="M734" s="24">
        <v>7.7</v>
      </c>
      <c r="N734" s="23">
        <v>1.1000000000000001</v>
      </c>
      <c r="O734" s="25">
        <v>39</v>
      </c>
      <c r="P734" s="25">
        <v>0.8</v>
      </c>
      <c r="Q734" s="23">
        <v>0</v>
      </c>
      <c r="R734" s="25">
        <v>68</v>
      </c>
      <c r="S734" s="23">
        <v>0.4</v>
      </c>
      <c r="T734" s="23">
        <v>45</v>
      </c>
      <c r="U734" s="23">
        <v>335</v>
      </c>
      <c r="V734" s="23">
        <v>0.06</v>
      </c>
      <c r="W734" s="23">
        <v>0.05</v>
      </c>
      <c r="X734" s="23">
        <v>0</v>
      </c>
      <c r="Y734" s="23">
        <v>0</v>
      </c>
      <c r="Z734" s="23">
        <v>0</v>
      </c>
      <c r="AA734" s="25">
        <v>0</v>
      </c>
      <c r="AB734" s="25">
        <v>1</v>
      </c>
      <c r="AC734" s="25">
        <v>0</v>
      </c>
      <c r="AD734" s="23">
        <v>0</v>
      </c>
      <c r="AE734" s="23">
        <v>0</v>
      </c>
      <c r="AF734" s="23">
        <v>0</v>
      </c>
      <c r="AG734" s="23">
        <v>0</v>
      </c>
      <c r="AH734" s="24">
        <v>0</v>
      </c>
      <c r="AI734" s="23">
        <v>73</v>
      </c>
      <c r="AJ734" s="13" t="str">
        <f xml:space="preserve"> IF(AD734&gt;F734,"Exceso en grasa saturada",IFERROR(IF(F734=0,"No tiene sello",IF((AD734*9)*100/F734&gt;10,"Exceso en grasa saturada","No tiene sello")),"No tiene sello"))</f>
        <v>No tiene sello</v>
      </c>
      <c r="AK734" s="13">
        <f>IF(AJ734="No tiene sello",0,1)</f>
        <v>0</v>
      </c>
      <c r="AL734" s="13" t="str">
        <f>IF(Q734&gt;=300,"Exceso en sodio",IFERROR(IF(AND(F734=0,Q734&gt;0),"No tiene sello",IF(Q734/F734&gt;1,"Exceso en sodio","No tiene sello")),"No tiene sello"))</f>
        <v>No tiene sello</v>
      </c>
      <c r="AM734" s="13" t="str">
        <f>IFERROR(IF(F734=0,"No tiene sello",IF(+(AG734/1000)*9*100/F734&gt;1,"Exceso en grasa trans", "No tiene sello")),"No tiene sello")</f>
        <v>No tiene sello</v>
      </c>
    </row>
    <row r="735" spans="1:39" ht="13.5" customHeight="1" x14ac:dyDescent="0.25">
      <c r="A735" s="26" t="s">
        <v>252</v>
      </c>
      <c r="B735" s="26" t="s">
        <v>253</v>
      </c>
      <c r="C735" s="26" t="s">
        <v>143</v>
      </c>
      <c r="D735" s="47">
        <v>100</v>
      </c>
      <c r="E735" s="28">
        <v>74.3</v>
      </c>
      <c r="F735" s="24">
        <v>105</v>
      </c>
      <c r="G735" s="28">
        <v>445</v>
      </c>
      <c r="H735" s="24">
        <v>4.3</v>
      </c>
      <c r="I735" s="24">
        <v>0.2</v>
      </c>
      <c r="J735" s="24">
        <v>19.100000000000001</v>
      </c>
      <c r="K735" s="28">
        <v>13.9</v>
      </c>
      <c r="L735" s="28">
        <v>1.91</v>
      </c>
      <c r="M735" s="24">
        <v>5.2</v>
      </c>
      <c r="N735" s="28">
        <v>2.2000000000000002</v>
      </c>
      <c r="O735" s="25">
        <v>15</v>
      </c>
      <c r="P735" s="25">
        <v>1.1000000000000001</v>
      </c>
      <c r="Q735" s="28">
        <v>12</v>
      </c>
      <c r="R735" s="25">
        <v>0</v>
      </c>
      <c r="S735" s="28">
        <v>0</v>
      </c>
      <c r="T735" s="28">
        <v>0</v>
      </c>
      <c r="U735" s="28">
        <v>669</v>
      </c>
      <c r="V735" s="28">
        <v>0</v>
      </c>
      <c r="W735" s="28">
        <v>0</v>
      </c>
      <c r="X735" s="28">
        <v>0</v>
      </c>
      <c r="Y735" s="28">
        <v>0</v>
      </c>
      <c r="Z735" s="28">
        <v>0</v>
      </c>
      <c r="AA735" s="25">
        <v>16</v>
      </c>
      <c r="AB735" s="25">
        <v>0</v>
      </c>
      <c r="AC735" s="25">
        <v>0</v>
      </c>
      <c r="AD735" s="28">
        <v>0</v>
      </c>
      <c r="AE735" s="28">
        <v>0</v>
      </c>
      <c r="AF735" s="28">
        <v>0</v>
      </c>
      <c r="AG735" s="28">
        <v>0</v>
      </c>
      <c r="AH735" s="24">
        <v>0</v>
      </c>
      <c r="AI735" s="28"/>
      <c r="AJ735" s="13" t="str">
        <f xml:space="preserve"> IF(AD735&gt;F735,"Exceso en grasa saturada",IFERROR(IF(F735=0,"No tiene sello",IF((AD735*9)*100/F735&gt;10,"Exceso en grasa saturada","No tiene sello")),"No tiene sello"))</f>
        <v>No tiene sello</v>
      </c>
      <c r="AK735" s="13">
        <f>IF(AJ735="No tiene sello",0,1)</f>
        <v>0</v>
      </c>
      <c r="AL735" s="13" t="str">
        <f>IF(Q735&gt;=300,"Exceso en sodio",IFERROR(IF(AND(F735=0,Q735&gt;0),"No tiene sello",IF(Q735/F735&gt;1,"Exceso en sodio","No tiene sello")),"No tiene sello"))</f>
        <v>No tiene sello</v>
      </c>
      <c r="AM735" s="13" t="str">
        <f>IFERROR(IF(F735=0,"No tiene sello",IF(+(AG735/1000)*9*100/F735&gt;1,"Exceso en grasa trans", "No tiene sello")),"No tiene sello")</f>
        <v>No tiene sello</v>
      </c>
    </row>
    <row r="736" spans="1:39" ht="13.5" customHeight="1" x14ac:dyDescent="0.25">
      <c r="A736" s="20" t="s">
        <v>250</v>
      </c>
      <c r="B736" s="20" t="s">
        <v>251</v>
      </c>
      <c r="C736" s="20" t="s">
        <v>154</v>
      </c>
      <c r="D736" s="46">
        <v>100</v>
      </c>
      <c r="E736" s="23">
        <v>89</v>
      </c>
      <c r="F736" s="24">
        <v>50</v>
      </c>
      <c r="G736" s="23">
        <v>211</v>
      </c>
      <c r="H736" s="24">
        <v>1.2</v>
      </c>
      <c r="I736" s="24">
        <v>1</v>
      </c>
      <c r="J736" s="24">
        <v>7.5</v>
      </c>
      <c r="K736" s="23">
        <v>4.5</v>
      </c>
      <c r="L736" s="23">
        <v>0.75</v>
      </c>
      <c r="M736" s="24">
        <v>3.1</v>
      </c>
      <c r="N736" s="23">
        <v>1.2</v>
      </c>
      <c r="O736" s="25">
        <v>60</v>
      </c>
      <c r="P736" s="25">
        <v>0.5</v>
      </c>
      <c r="Q736" s="23">
        <v>3</v>
      </c>
      <c r="R736" s="25">
        <v>21</v>
      </c>
      <c r="S736" s="23">
        <v>0.3</v>
      </c>
      <c r="T736" s="23">
        <v>18</v>
      </c>
      <c r="U736" s="23">
        <v>331</v>
      </c>
      <c r="V736" s="23">
        <v>0.37</v>
      </c>
      <c r="W736" s="23">
        <v>0.04</v>
      </c>
      <c r="X736" s="23">
        <v>4.3</v>
      </c>
      <c r="Y736" s="23">
        <v>0</v>
      </c>
      <c r="Z736" s="23">
        <v>0</v>
      </c>
      <c r="AA736" s="25">
        <v>23</v>
      </c>
      <c r="AB736" s="25">
        <v>0</v>
      </c>
      <c r="AC736" s="25">
        <v>0</v>
      </c>
      <c r="AD736" s="23">
        <v>0</v>
      </c>
      <c r="AE736" s="23">
        <v>0</v>
      </c>
      <c r="AF736" s="23">
        <v>0</v>
      </c>
      <c r="AG736" s="23">
        <v>0</v>
      </c>
      <c r="AH736" s="24">
        <v>0</v>
      </c>
      <c r="AI736" s="23">
        <v>62</v>
      </c>
      <c r="AJ736" s="13" t="str">
        <f xml:space="preserve"> IF(AD736&gt;F736,"Exceso en grasa saturada",IFERROR(IF(F736=0,"No tiene sello",IF((AD736*9)*100/F736&gt;10,"Exceso en grasa saturada","No tiene sello")),"No tiene sello"))</f>
        <v>No tiene sello</v>
      </c>
      <c r="AK736" s="13">
        <f>IF(AJ736="No tiene sello",0,1)</f>
        <v>0</v>
      </c>
      <c r="AL736" s="13" t="str">
        <f>IF(Q736&gt;=300,"Exceso en sodio",IFERROR(IF(AND(F736=0,Q736&gt;0),"No tiene sello",IF(Q736/F736&gt;1,"Exceso en sodio","No tiene sello")),"No tiene sello"))</f>
        <v>No tiene sello</v>
      </c>
      <c r="AM736" s="13" t="str">
        <f>IFERROR(IF(F736=0,"No tiene sello",IF(+(AG736/1000)*9*100/F736&gt;1,"Exceso en grasa trans", "No tiene sello")),"No tiene sello")</f>
        <v>No tiene sello</v>
      </c>
    </row>
    <row r="737" spans="1:39" ht="13.5" customHeight="1" x14ac:dyDescent="0.25">
      <c r="A737" s="26" t="s">
        <v>248</v>
      </c>
      <c r="B737" s="26" t="s">
        <v>249</v>
      </c>
      <c r="C737" s="26" t="s">
        <v>154</v>
      </c>
      <c r="D737" s="47">
        <v>100</v>
      </c>
      <c r="E737" s="28">
        <v>40.1</v>
      </c>
      <c r="F737" s="24">
        <v>381</v>
      </c>
      <c r="G737" s="28">
        <v>1583</v>
      </c>
      <c r="H737" s="24">
        <v>3.9</v>
      </c>
      <c r="I737" s="24">
        <v>29.5</v>
      </c>
      <c r="J737" s="24">
        <v>25</v>
      </c>
      <c r="K737" s="28">
        <v>0</v>
      </c>
      <c r="L737" s="28">
        <v>2.5</v>
      </c>
      <c r="M737" s="24">
        <v>0</v>
      </c>
      <c r="N737" s="28">
        <v>1.5</v>
      </c>
      <c r="O737" s="25">
        <v>30</v>
      </c>
      <c r="P737" s="25">
        <v>1</v>
      </c>
      <c r="Q737" s="28">
        <v>0</v>
      </c>
      <c r="R737" s="25">
        <v>40</v>
      </c>
      <c r="S737" s="28">
        <v>0</v>
      </c>
      <c r="T737" s="28">
        <v>0</v>
      </c>
      <c r="U737" s="28">
        <v>0</v>
      </c>
      <c r="V737" s="28">
        <v>0.12</v>
      </c>
      <c r="W737" s="28">
        <v>0.05</v>
      </c>
      <c r="X737" s="28">
        <v>1</v>
      </c>
      <c r="Y737" s="28">
        <v>0</v>
      </c>
      <c r="Z737" s="28">
        <v>0</v>
      </c>
      <c r="AA737" s="25">
        <v>5</v>
      </c>
      <c r="AB737" s="25">
        <v>0</v>
      </c>
      <c r="AC737" s="25">
        <v>0</v>
      </c>
      <c r="AD737" s="28">
        <v>0</v>
      </c>
      <c r="AE737" s="28">
        <v>0</v>
      </c>
      <c r="AF737" s="28">
        <v>0</v>
      </c>
      <c r="AG737" s="28">
        <v>0</v>
      </c>
      <c r="AH737" s="24">
        <v>0</v>
      </c>
      <c r="AI737" s="28">
        <v>60</v>
      </c>
      <c r="AJ737" s="13" t="str">
        <f xml:space="preserve"> IF(AD737&gt;F737,"Exceso en grasa saturada",IFERROR(IF(F737=0,"No tiene sello",IF((AD737*9)*100/F737&gt;10,"Exceso en grasa saturada","No tiene sello")),"No tiene sello"))</f>
        <v>No tiene sello</v>
      </c>
      <c r="AK737" s="13">
        <f>IF(AJ737="No tiene sello",0,1)</f>
        <v>0</v>
      </c>
      <c r="AL737" s="13" t="str">
        <f>IF(Q737&gt;=300,"Exceso en sodio",IFERROR(IF(AND(F737=0,Q737&gt;0),"No tiene sello",IF(Q737/F737&gt;1,"Exceso en sodio","No tiene sello")),"No tiene sello"))</f>
        <v>No tiene sello</v>
      </c>
      <c r="AM737" s="13" t="str">
        <f>IFERROR(IF(F737=0,"No tiene sello",IF(+(AG737/1000)*9*100/F737&gt;1,"Exceso en grasa trans", "No tiene sello")),"No tiene sello")</f>
        <v>No tiene sello</v>
      </c>
    </row>
    <row r="738" spans="1:39" ht="13.5" customHeight="1" x14ac:dyDescent="0.25">
      <c r="A738" s="20" t="s">
        <v>246</v>
      </c>
      <c r="B738" s="20" t="s">
        <v>247</v>
      </c>
      <c r="C738" s="20" t="s">
        <v>154</v>
      </c>
      <c r="D738" s="46">
        <v>100</v>
      </c>
      <c r="E738" s="23">
        <v>45.5</v>
      </c>
      <c r="F738" s="24">
        <v>337</v>
      </c>
      <c r="G738" s="23">
        <v>1402</v>
      </c>
      <c r="H738" s="24">
        <v>2.9</v>
      </c>
      <c r="I738" s="24">
        <v>20.399999999999999</v>
      </c>
      <c r="J738" s="24">
        <v>29.4</v>
      </c>
      <c r="K738" s="23">
        <v>16.899999999999999</v>
      </c>
      <c r="L738" s="23">
        <v>2.94</v>
      </c>
      <c r="M738" s="24">
        <v>12.5</v>
      </c>
      <c r="N738" s="23">
        <v>1.8</v>
      </c>
      <c r="O738" s="25">
        <v>25</v>
      </c>
      <c r="P738" s="25">
        <v>1</v>
      </c>
      <c r="Q738" s="23">
        <v>2</v>
      </c>
      <c r="R738" s="25">
        <v>67</v>
      </c>
      <c r="S738" s="23">
        <v>0.5</v>
      </c>
      <c r="T738" s="23">
        <v>24</v>
      </c>
      <c r="U738" s="23">
        <v>744</v>
      </c>
      <c r="V738" s="23">
        <v>0.03</v>
      </c>
      <c r="W738" s="23">
        <v>0.08</v>
      </c>
      <c r="X738" s="23">
        <v>0.7</v>
      </c>
      <c r="Y738" s="23">
        <v>50</v>
      </c>
      <c r="Z738" s="23">
        <v>0</v>
      </c>
      <c r="AA738" s="25">
        <v>0</v>
      </c>
      <c r="AB738" s="25">
        <v>1</v>
      </c>
      <c r="AC738" s="25">
        <v>0</v>
      </c>
      <c r="AD738" s="23">
        <v>0</v>
      </c>
      <c r="AE738" s="23">
        <v>0</v>
      </c>
      <c r="AF738" s="23">
        <v>0</v>
      </c>
      <c r="AG738" s="23">
        <v>0</v>
      </c>
      <c r="AH738" s="24">
        <v>0</v>
      </c>
      <c r="AI738" s="23">
        <v>32</v>
      </c>
      <c r="AJ738" s="13" t="str">
        <f xml:space="preserve"> IF(AD738&gt;F738,"Exceso en grasa saturada",IFERROR(IF(F738=0,"No tiene sello",IF((AD738*9)*100/F738&gt;10,"Exceso en grasa saturada","No tiene sello")),"No tiene sello"))</f>
        <v>No tiene sello</v>
      </c>
      <c r="AK738" s="13">
        <f>IF(AJ738="No tiene sello",0,1)</f>
        <v>0</v>
      </c>
      <c r="AL738" s="13" t="str">
        <f>IF(Q738&gt;=300,"Exceso en sodio",IFERROR(IF(AND(F738=0,Q738&gt;0),"No tiene sello",IF(Q738/F738&gt;1,"Exceso en sodio","No tiene sello")),"No tiene sello"))</f>
        <v>No tiene sello</v>
      </c>
      <c r="AM738" s="13" t="str">
        <f>IFERROR(IF(F738=0,"No tiene sello",IF(+(AG738/1000)*9*100/F738&gt;1,"Exceso en grasa trans", "No tiene sello")),"No tiene sello")</f>
        <v>No tiene sello</v>
      </c>
    </row>
    <row r="739" spans="1:39" ht="13.5" customHeight="1" x14ac:dyDescent="0.25">
      <c r="A739" s="26" t="s">
        <v>244</v>
      </c>
      <c r="B739" s="26" t="s">
        <v>245</v>
      </c>
      <c r="C739" s="26" t="s">
        <v>154</v>
      </c>
      <c r="D739" s="47">
        <v>100</v>
      </c>
      <c r="E739" s="28">
        <v>45.5</v>
      </c>
      <c r="F739" s="24">
        <v>334</v>
      </c>
      <c r="G739" s="28">
        <v>1387</v>
      </c>
      <c r="H739" s="24">
        <v>2.6</v>
      </c>
      <c r="I739" s="24">
        <v>19.399999999999999</v>
      </c>
      <c r="J739" s="24">
        <v>30.6</v>
      </c>
      <c r="K739" s="28">
        <v>17.399999999999999</v>
      </c>
      <c r="L739" s="28">
        <v>3.06</v>
      </c>
      <c r="M739" s="24">
        <v>13.2</v>
      </c>
      <c r="N739" s="28">
        <v>1.9</v>
      </c>
      <c r="O739" s="25">
        <v>25</v>
      </c>
      <c r="P739" s="25">
        <v>1.2</v>
      </c>
      <c r="Q739" s="28">
        <v>2</v>
      </c>
      <c r="R739" s="25">
        <v>72</v>
      </c>
      <c r="S739" s="28">
        <v>0.8</v>
      </c>
      <c r="T739" s="28">
        <v>28</v>
      </c>
      <c r="U739" s="28">
        <v>808</v>
      </c>
      <c r="V739" s="28">
        <v>0.38</v>
      </c>
      <c r="W739" s="28">
        <v>0.14000000000000001</v>
      </c>
      <c r="X739" s="28">
        <v>0.8</v>
      </c>
      <c r="Y739" s="28">
        <v>60</v>
      </c>
      <c r="Z739" s="28">
        <v>0</v>
      </c>
      <c r="AA739" s="25">
        <v>0</v>
      </c>
      <c r="AB739" s="25">
        <v>1</v>
      </c>
      <c r="AC739" s="25">
        <v>0</v>
      </c>
      <c r="AD739" s="28">
        <v>0</v>
      </c>
      <c r="AE739" s="28">
        <v>0</v>
      </c>
      <c r="AF739" s="28">
        <v>0</v>
      </c>
      <c r="AG739" s="28">
        <v>0</v>
      </c>
      <c r="AH739" s="24">
        <v>0</v>
      </c>
      <c r="AI739" s="28">
        <v>30</v>
      </c>
      <c r="AJ739" s="13" t="str">
        <f xml:space="preserve"> IF(AD739&gt;F739,"Exceso en grasa saturada",IFERROR(IF(F739=0,"No tiene sello",IF((AD739*9)*100/F739&gt;10,"Exceso en grasa saturada","No tiene sello")),"No tiene sello"))</f>
        <v>No tiene sello</v>
      </c>
      <c r="AK739" s="13">
        <f>IF(AJ739="No tiene sello",0,1)</f>
        <v>0</v>
      </c>
      <c r="AL739" s="13" t="str">
        <f>IF(Q739&gt;=300,"Exceso en sodio",IFERROR(IF(AND(F739=0,Q739&gt;0),"No tiene sello",IF(Q739/F739&gt;1,"Exceso en sodio","No tiene sello")),"No tiene sello"))</f>
        <v>No tiene sello</v>
      </c>
      <c r="AM739" s="13" t="str">
        <f>IFERROR(IF(F739=0,"No tiene sello",IF(+(AG739/1000)*9*100/F739&gt;1,"Exceso en grasa trans", "No tiene sello")),"No tiene sello")</f>
        <v>No tiene sello</v>
      </c>
    </row>
    <row r="740" spans="1:39" ht="13.5" customHeight="1" x14ac:dyDescent="0.25">
      <c r="A740" s="20" t="s">
        <v>242</v>
      </c>
      <c r="B740" s="20" t="s">
        <v>243</v>
      </c>
      <c r="C740" s="20" t="s">
        <v>3</v>
      </c>
      <c r="D740" s="46">
        <v>100</v>
      </c>
      <c r="E740" s="23">
        <v>43.8</v>
      </c>
      <c r="F740" s="24">
        <v>425</v>
      </c>
      <c r="G740" s="23">
        <v>1753</v>
      </c>
      <c r="H740" s="24">
        <v>4.0999999999999996</v>
      </c>
      <c r="I740" s="24">
        <v>36.1</v>
      </c>
      <c r="J740" s="24">
        <v>13.9</v>
      </c>
      <c r="K740" s="23">
        <v>0</v>
      </c>
      <c r="L740" s="23">
        <v>1.39</v>
      </c>
      <c r="M740" s="24">
        <v>13.9</v>
      </c>
      <c r="N740" s="23">
        <v>2.1</v>
      </c>
      <c r="O740" s="25">
        <v>49</v>
      </c>
      <c r="P740" s="25">
        <v>1.9</v>
      </c>
      <c r="Q740" s="23">
        <v>0</v>
      </c>
      <c r="R740" s="25">
        <v>326</v>
      </c>
      <c r="S740" s="23">
        <v>1.3</v>
      </c>
      <c r="T740" s="23">
        <v>99</v>
      </c>
      <c r="U740" s="23">
        <v>430</v>
      </c>
      <c r="V740" s="23">
        <v>0</v>
      </c>
      <c r="W740" s="23">
        <v>0.05</v>
      </c>
      <c r="X740" s="23">
        <v>0</v>
      </c>
      <c r="Y740" s="23">
        <v>50</v>
      </c>
      <c r="Z740" s="23">
        <v>0</v>
      </c>
      <c r="AA740" s="25">
        <v>0</v>
      </c>
      <c r="AB740" s="25">
        <v>0</v>
      </c>
      <c r="AC740" s="25">
        <v>0</v>
      </c>
      <c r="AD740" s="23">
        <v>0</v>
      </c>
      <c r="AE740" s="23">
        <v>0</v>
      </c>
      <c r="AF740" s="23">
        <v>0</v>
      </c>
      <c r="AG740" s="23">
        <v>0</v>
      </c>
      <c r="AH740" s="24">
        <v>0</v>
      </c>
      <c r="AI740" s="23">
        <v>19</v>
      </c>
      <c r="AJ740" s="13" t="str">
        <f xml:space="preserve"> IF(AD740&gt;F740,"Exceso en grasa saturada",IFERROR(IF(F740=0,"No tiene sello",IF((AD740*9)*100/F740&gt;10,"Exceso en grasa saturada","No tiene sello")),"No tiene sello"))</f>
        <v>No tiene sello</v>
      </c>
      <c r="AK740" s="13">
        <f>IF(AJ740="No tiene sello",0,1)</f>
        <v>0</v>
      </c>
      <c r="AL740" s="13" t="str">
        <f>IF(Q740&gt;=300,"Exceso en sodio",IFERROR(IF(AND(F740=0,Q740&gt;0),"No tiene sello",IF(Q740/F740&gt;1,"Exceso en sodio","No tiene sello")),"No tiene sello"))</f>
        <v>No tiene sello</v>
      </c>
      <c r="AM740" s="13" t="str">
        <f>IFERROR(IF(F740=0,"No tiene sello",IF(+(AG740/1000)*9*100/F740&gt;1,"Exceso en grasa trans", "No tiene sello")),"No tiene sello")</f>
        <v>No tiene sello</v>
      </c>
    </row>
    <row r="741" spans="1:39" ht="13.5" customHeight="1" x14ac:dyDescent="0.25">
      <c r="A741" s="26" t="s">
        <v>240</v>
      </c>
      <c r="B741" s="26" t="s">
        <v>241</v>
      </c>
      <c r="C741" s="26" t="s">
        <v>3</v>
      </c>
      <c r="D741" s="47">
        <v>100</v>
      </c>
      <c r="E741" s="28">
        <v>43.8</v>
      </c>
      <c r="F741" s="24">
        <v>376</v>
      </c>
      <c r="G741" s="28">
        <v>1560</v>
      </c>
      <c r="H741" s="24">
        <v>5.4</v>
      </c>
      <c r="I741" s="24">
        <v>23.6</v>
      </c>
      <c r="J741" s="24">
        <v>25.2</v>
      </c>
      <c r="K741" s="28">
        <v>4.4000000000000004</v>
      </c>
      <c r="L741" s="28">
        <v>2.52</v>
      </c>
      <c r="M741" s="24">
        <v>20.8</v>
      </c>
      <c r="N741" s="28">
        <v>2</v>
      </c>
      <c r="O741" s="25">
        <v>67</v>
      </c>
      <c r="P741" s="25">
        <v>2.8</v>
      </c>
      <c r="Q741" s="28">
        <v>1</v>
      </c>
      <c r="R741" s="25">
        <v>412</v>
      </c>
      <c r="S741" s="28">
        <v>1.7</v>
      </c>
      <c r="T741" s="28">
        <v>123</v>
      </c>
      <c r="U741" s="28">
        <v>541</v>
      </c>
      <c r="V741" s="28">
        <v>0</v>
      </c>
      <c r="W741" s="28">
        <v>0.08</v>
      </c>
      <c r="X741" s="28">
        <v>0</v>
      </c>
      <c r="Y741" s="28">
        <v>80</v>
      </c>
      <c r="Z741" s="28">
        <v>0</v>
      </c>
      <c r="AA741" s="25">
        <v>0</v>
      </c>
      <c r="AB741" s="25">
        <v>1</v>
      </c>
      <c r="AC741" s="25">
        <v>0</v>
      </c>
      <c r="AD741" s="28">
        <v>0</v>
      </c>
      <c r="AE741" s="28">
        <v>0</v>
      </c>
      <c r="AF741" s="28">
        <v>0</v>
      </c>
      <c r="AG741" s="28">
        <v>0</v>
      </c>
      <c r="AH741" s="24">
        <v>0</v>
      </c>
      <c r="AI741" s="28">
        <v>16</v>
      </c>
      <c r="AJ741" s="13" t="str">
        <f xml:space="preserve"> IF(AD741&gt;F741,"Exceso en grasa saturada",IFERROR(IF(F741=0,"No tiene sello",IF((AD741*9)*100/F741&gt;10,"Exceso en grasa saturada","No tiene sello")),"No tiene sello"))</f>
        <v>No tiene sello</v>
      </c>
      <c r="AK741" s="13">
        <f>IF(AJ741="No tiene sello",0,1)</f>
        <v>0</v>
      </c>
      <c r="AL741" s="13" t="str">
        <f>IF(Q741&gt;=300,"Exceso en sodio",IFERROR(IF(AND(F741=0,Q741&gt;0),"No tiene sello",IF(Q741/F741&gt;1,"Exceso en sodio","No tiene sello")),"No tiene sello"))</f>
        <v>No tiene sello</v>
      </c>
      <c r="AM741" s="13" t="str">
        <f>IFERROR(IF(F741=0,"No tiene sello",IF(+(AG741/1000)*9*100/F741&gt;1,"Exceso en grasa trans", "No tiene sello")),"No tiene sello")</f>
        <v>No tiene sello</v>
      </c>
    </row>
    <row r="742" spans="1:39" ht="13.5" customHeight="1" x14ac:dyDescent="0.25">
      <c r="A742" s="20" t="s">
        <v>238</v>
      </c>
      <c r="B742" s="20" t="s">
        <v>239</v>
      </c>
      <c r="C742" s="20" t="s">
        <v>187</v>
      </c>
      <c r="D742" s="46">
        <v>100</v>
      </c>
      <c r="E742" s="23">
        <v>78.3</v>
      </c>
      <c r="F742" s="24">
        <v>94</v>
      </c>
      <c r="G742" s="23">
        <v>397</v>
      </c>
      <c r="H742" s="24">
        <v>0.8</v>
      </c>
      <c r="I742" s="24">
        <v>0.1</v>
      </c>
      <c r="J742" s="24">
        <v>20.2</v>
      </c>
      <c r="K742" s="23">
        <v>15.8</v>
      </c>
      <c r="L742" s="23">
        <v>2.02</v>
      </c>
      <c r="M742" s="24">
        <v>4.4000000000000004</v>
      </c>
      <c r="N742" s="23">
        <v>0.6</v>
      </c>
      <c r="O742" s="25">
        <v>16</v>
      </c>
      <c r="P742" s="25">
        <v>0.4</v>
      </c>
      <c r="Q742" s="23">
        <v>0</v>
      </c>
      <c r="R742" s="25">
        <v>5</v>
      </c>
      <c r="S742" s="23">
        <v>0.3</v>
      </c>
      <c r="T742" s="23">
        <v>24</v>
      </c>
      <c r="U742" s="23">
        <v>201</v>
      </c>
      <c r="V742" s="23">
        <v>0.08</v>
      </c>
      <c r="W742" s="23">
        <v>0.05</v>
      </c>
      <c r="X742" s="23">
        <v>0</v>
      </c>
      <c r="Y742" s="23">
        <v>10</v>
      </c>
      <c r="Z742" s="23">
        <v>0</v>
      </c>
      <c r="AA742" s="25">
        <v>0</v>
      </c>
      <c r="AB742" s="25">
        <v>0</v>
      </c>
      <c r="AC742" s="25">
        <v>0</v>
      </c>
      <c r="AD742" s="23">
        <v>0</v>
      </c>
      <c r="AE742" s="23">
        <v>0</v>
      </c>
      <c r="AF742" s="23">
        <v>0</v>
      </c>
      <c r="AG742" s="23">
        <v>0</v>
      </c>
      <c r="AH742" s="24">
        <v>0</v>
      </c>
      <c r="AI742" s="23">
        <v>69</v>
      </c>
      <c r="AJ742" s="13" t="str">
        <f xml:space="preserve"> IF(AD742&gt;F742,"Exceso en grasa saturada",IFERROR(IF(F742=0,"No tiene sello",IF((AD742*9)*100/F742&gt;10,"Exceso en grasa saturada","No tiene sello")),"No tiene sello"))</f>
        <v>No tiene sello</v>
      </c>
      <c r="AK742" s="13">
        <f>IF(AJ742="No tiene sello",0,1)</f>
        <v>0</v>
      </c>
      <c r="AL742" s="13" t="str">
        <f>IF(Q742&gt;=300,"Exceso en sodio",IFERROR(IF(AND(F742=0,Q742&gt;0),"No tiene sello",IF(Q742/F742&gt;1,"Exceso en sodio","No tiene sello")),"No tiene sello"))</f>
        <v>No tiene sello</v>
      </c>
      <c r="AM742" s="13" t="str">
        <f>IFERROR(IF(F742=0,"No tiene sello",IF(+(AG742/1000)*9*100/F742&gt;1,"Exceso en grasa trans", "No tiene sello")),"No tiene sello")</f>
        <v>No tiene sello</v>
      </c>
    </row>
    <row r="743" spans="1:39" ht="13.5" customHeight="1" x14ac:dyDescent="0.25">
      <c r="A743" s="26" t="s">
        <v>236</v>
      </c>
      <c r="B743" s="26" t="s">
        <v>237</v>
      </c>
      <c r="C743" s="26" t="s">
        <v>187</v>
      </c>
      <c r="D743" s="47">
        <v>100</v>
      </c>
      <c r="E743" s="28">
        <v>78.2</v>
      </c>
      <c r="F743" s="24">
        <v>93</v>
      </c>
      <c r="G743" s="28">
        <v>393</v>
      </c>
      <c r="H743" s="24">
        <v>0.9</v>
      </c>
      <c r="I743" s="24">
        <v>0.1</v>
      </c>
      <c r="J743" s="24">
        <v>20.100000000000001</v>
      </c>
      <c r="K743" s="28">
        <v>16</v>
      </c>
      <c r="L743" s="28">
        <v>2.0099999999999998</v>
      </c>
      <c r="M743" s="24">
        <v>4</v>
      </c>
      <c r="N743" s="28">
        <v>0.7</v>
      </c>
      <c r="O743" s="25">
        <v>21</v>
      </c>
      <c r="P743" s="25">
        <v>0.5</v>
      </c>
      <c r="Q743" s="28">
        <v>0</v>
      </c>
      <c r="R743" s="25">
        <v>6</v>
      </c>
      <c r="S743" s="28">
        <v>0.4</v>
      </c>
      <c r="T743" s="28">
        <v>37</v>
      </c>
      <c r="U743" s="28">
        <v>258</v>
      </c>
      <c r="V743" s="28">
        <v>0</v>
      </c>
      <c r="W743" s="28">
        <v>0.05</v>
      </c>
      <c r="X743" s="28">
        <v>0.2</v>
      </c>
      <c r="Y743" s="28">
        <v>20</v>
      </c>
      <c r="Z743" s="28">
        <v>0</v>
      </c>
      <c r="AA743" s="25">
        <v>0</v>
      </c>
      <c r="AB743" s="25">
        <v>1</v>
      </c>
      <c r="AC743" s="25">
        <v>0</v>
      </c>
      <c r="AD743" s="28">
        <v>0</v>
      </c>
      <c r="AE743" s="28">
        <v>0</v>
      </c>
      <c r="AF743" s="28">
        <v>0</v>
      </c>
      <c r="AG743" s="28">
        <v>0</v>
      </c>
      <c r="AH743" s="24">
        <v>0</v>
      </c>
      <c r="AI743" s="28">
        <v>48</v>
      </c>
      <c r="AJ743" s="13" t="str">
        <f xml:space="preserve"> IF(AD743&gt;F743,"Exceso en grasa saturada",IFERROR(IF(F743=0,"No tiene sello",IF((AD743*9)*100/F743&gt;10,"Exceso en grasa saturada","No tiene sello")),"No tiene sello"))</f>
        <v>No tiene sello</v>
      </c>
      <c r="AK743" s="13">
        <f>IF(AJ743="No tiene sello",0,1)</f>
        <v>0</v>
      </c>
      <c r="AL743" s="13" t="str">
        <f>IF(Q743&gt;=300,"Exceso en sodio",IFERROR(IF(AND(F743=0,Q743&gt;0),"No tiene sello",IF(Q743/F743&gt;1,"Exceso en sodio","No tiene sello")),"No tiene sello"))</f>
        <v>No tiene sello</v>
      </c>
      <c r="AM743" s="13" t="str">
        <f>IFERROR(IF(F743=0,"No tiene sello",IF(+(AG743/1000)*9*100/F743&gt;1,"Exceso en grasa trans", "No tiene sello")),"No tiene sello")</f>
        <v>No tiene sello</v>
      </c>
    </row>
    <row r="744" spans="1:39" ht="13.5" customHeight="1" x14ac:dyDescent="0.25">
      <c r="A744" s="20" t="s">
        <v>234</v>
      </c>
      <c r="B744" s="20" t="s">
        <v>235</v>
      </c>
      <c r="C744" s="21"/>
      <c r="D744" s="46">
        <v>100</v>
      </c>
      <c r="E744" s="23">
        <v>7.4</v>
      </c>
      <c r="F744" s="24">
        <v>383</v>
      </c>
      <c r="G744" s="23">
        <v>1624</v>
      </c>
      <c r="H744" s="24">
        <v>0.9</v>
      </c>
      <c r="I744" s="24">
        <v>2.2000000000000002</v>
      </c>
      <c r="J744" s="24">
        <v>89.1</v>
      </c>
      <c r="K744" s="23">
        <v>87.7</v>
      </c>
      <c r="L744" s="23">
        <v>71.28</v>
      </c>
      <c r="M744" s="24">
        <v>1.4</v>
      </c>
      <c r="N744" s="23">
        <v>0.3</v>
      </c>
      <c r="O744" s="25">
        <v>0</v>
      </c>
      <c r="P744" s="25">
        <v>0</v>
      </c>
      <c r="Q744" s="23">
        <v>0</v>
      </c>
      <c r="R744" s="25">
        <v>0</v>
      </c>
      <c r="S744" s="23">
        <v>0</v>
      </c>
      <c r="T744" s="23">
        <v>0</v>
      </c>
      <c r="U744" s="23">
        <v>0</v>
      </c>
      <c r="V744" s="23">
        <v>0</v>
      </c>
      <c r="W744" s="23">
        <v>0</v>
      </c>
      <c r="X744" s="23">
        <v>0</v>
      </c>
      <c r="Y744" s="23">
        <v>0</v>
      </c>
      <c r="Z744" s="23">
        <v>0</v>
      </c>
      <c r="AA744" s="25">
        <v>0</v>
      </c>
      <c r="AB744" s="25">
        <v>0</v>
      </c>
      <c r="AC744" s="25">
        <v>0</v>
      </c>
      <c r="AD744" s="23">
        <v>0</v>
      </c>
      <c r="AE744" s="23">
        <v>0</v>
      </c>
      <c r="AF744" s="23">
        <v>0</v>
      </c>
      <c r="AG744" s="23">
        <v>0</v>
      </c>
      <c r="AH744" s="24">
        <v>0</v>
      </c>
      <c r="AI744" s="23">
        <v>100</v>
      </c>
      <c r="AJ744" s="13" t="str">
        <f xml:space="preserve"> IF(AD744&gt;F744,"Exceso en grasa saturada",IFERROR(IF(F744=0,"No tiene sello",IF((AD744*9)*100/F744&gt;10,"Exceso en grasa saturada","No tiene sello")),"No tiene sello"))</f>
        <v>No tiene sello</v>
      </c>
      <c r="AK744" s="13">
        <f>IF(AJ744="No tiene sello",0,1)</f>
        <v>0</v>
      </c>
      <c r="AL744" s="13" t="str">
        <f>IF(Q744&gt;=300,"Exceso en sodio",IFERROR(IF(AND(F744=0,Q744&gt;0),"No tiene sello",IF(Q744/F744&gt;1,"Exceso en sodio","No tiene sello")),"No tiene sello"))</f>
        <v>No tiene sello</v>
      </c>
      <c r="AM744" s="13" t="str">
        <f>IFERROR(IF(F744=0,"No tiene sello",IF(+(AG744/1000)*9*100/F744&gt;1,"Exceso en grasa trans", "No tiene sello")),"No tiene sello")</f>
        <v>No tiene sello</v>
      </c>
    </row>
    <row r="745" spans="1:39" ht="13.5" customHeight="1" x14ac:dyDescent="0.25">
      <c r="A745" s="26" t="s">
        <v>232</v>
      </c>
      <c r="B745" s="26" t="s">
        <v>233</v>
      </c>
      <c r="C745" s="27"/>
      <c r="D745" s="47">
        <v>100</v>
      </c>
      <c r="E745" s="28">
        <v>44</v>
      </c>
      <c r="F745" s="24">
        <v>252</v>
      </c>
      <c r="G745" s="28">
        <v>1064</v>
      </c>
      <c r="H745" s="24">
        <v>3.4</v>
      </c>
      <c r="I745" s="24">
        <v>6.7</v>
      </c>
      <c r="J745" s="24">
        <v>44.6</v>
      </c>
      <c r="K745" s="28">
        <v>0</v>
      </c>
      <c r="L745" s="28">
        <v>4.46</v>
      </c>
      <c r="M745" s="24">
        <v>0</v>
      </c>
      <c r="N745" s="28">
        <v>1.3</v>
      </c>
      <c r="O745" s="25">
        <v>58</v>
      </c>
      <c r="P745" s="25">
        <v>2.6</v>
      </c>
      <c r="Q745" s="28">
        <v>54</v>
      </c>
      <c r="R745" s="25">
        <v>84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>
        <v>0</v>
      </c>
      <c r="Y745" s="28">
        <v>0</v>
      </c>
      <c r="Z745" s="28">
        <v>0</v>
      </c>
      <c r="AA745" s="25">
        <v>0</v>
      </c>
      <c r="AB745" s="25">
        <v>0</v>
      </c>
      <c r="AC745" s="25">
        <v>0</v>
      </c>
      <c r="AD745" s="28">
        <v>0</v>
      </c>
      <c r="AE745" s="28">
        <v>0</v>
      </c>
      <c r="AF745" s="28">
        <v>0</v>
      </c>
      <c r="AG745" s="28">
        <v>0</v>
      </c>
      <c r="AH745" s="24">
        <v>0</v>
      </c>
      <c r="AI745" s="28"/>
      <c r="AJ745" s="13" t="str">
        <f xml:space="preserve"> IF(AD745&gt;F745,"Exceso en grasa saturada",IFERROR(IF(F745=0,"No tiene sello",IF((AD745*9)*100/F745&gt;10,"Exceso en grasa saturada","No tiene sello")),"No tiene sello"))</f>
        <v>No tiene sello</v>
      </c>
      <c r="AK745" s="13">
        <f>IF(AJ745="No tiene sello",0,1)</f>
        <v>0</v>
      </c>
      <c r="AL745" s="13" t="str">
        <f>IF(Q745&gt;=300,"Exceso en sodio",IFERROR(IF(AND(F745=0,Q745&gt;0),"No tiene sello",IF(Q745/F745&gt;1,"Exceso en sodio","No tiene sello")),"No tiene sello"))</f>
        <v>No tiene sello</v>
      </c>
      <c r="AM745" s="13" t="str">
        <f>IFERROR(IF(F745=0,"No tiene sello",IF(+(AG745/1000)*9*100/F745&gt;1,"Exceso en grasa trans", "No tiene sello")),"No tiene sello")</f>
        <v>No tiene sello</v>
      </c>
    </row>
    <row r="746" spans="1:39" ht="13.5" customHeight="1" x14ac:dyDescent="0.25">
      <c r="A746" s="20" t="s">
        <v>230</v>
      </c>
      <c r="B746" s="20" t="s">
        <v>231</v>
      </c>
      <c r="C746" s="20" t="s">
        <v>154</v>
      </c>
      <c r="D746" s="46">
        <v>100</v>
      </c>
      <c r="E746" s="23">
        <v>70.2</v>
      </c>
      <c r="F746" s="24">
        <v>143</v>
      </c>
      <c r="G746" s="23">
        <v>600</v>
      </c>
      <c r="H746" s="24">
        <v>2.6</v>
      </c>
      <c r="I746" s="24">
        <v>0.1</v>
      </c>
      <c r="J746" s="24">
        <v>26.4</v>
      </c>
      <c r="K746" s="23">
        <v>13.3</v>
      </c>
      <c r="L746" s="23">
        <v>2.64</v>
      </c>
      <c r="M746" s="24">
        <v>13.1</v>
      </c>
      <c r="N746" s="23">
        <v>0.8</v>
      </c>
      <c r="O746" s="25">
        <v>76</v>
      </c>
      <c r="P746" s="25">
        <v>0.6</v>
      </c>
      <c r="Q746" s="23">
        <v>7</v>
      </c>
      <c r="R746" s="25">
        <v>0</v>
      </c>
      <c r="S746" s="23">
        <v>0</v>
      </c>
      <c r="T746" s="23">
        <v>0</v>
      </c>
      <c r="U746" s="23">
        <v>260</v>
      </c>
      <c r="V746" s="23">
        <v>0</v>
      </c>
      <c r="W746" s="23">
        <v>0</v>
      </c>
      <c r="X746" s="23">
        <v>0</v>
      </c>
      <c r="Y746" s="23">
        <v>0</v>
      </c>
      <c r="Z746" s="23">
        <v>0</v>
      </c>
      <c r="AA746" s="25">
        <v>0</v>
      </c>
      <c r="AB746" s="25">
        <v>0</v>
      </c>
      <c r="AC746" s="25">
        <v>0</v>
      </c>
      <c r="AD746" s="23">
        <v>0</v>
      </c>
      <c r="AE746" s="23">
        <v>0</v>
      </c>
      <c r="AF746" s="23">
        <v>0</v>
      </c>
      <c r="AG746" s="23">
        <v>0</v>
      </c>
      <c r="AH746" s="24">
        <v>0</v>
      </c>
      <c r="AI746" s="23"/>
      <c r="AJ746" s="13" t="str">
        <f xml:space="preserve"> IF(AD746&gt;F746,"Exceso en grasa saturada",IFERROR(IF(F746=0,"No tiene sello",IF((AD746*9)*100/F746&gt;10,"Exceso en grasa saturada","No tiene sello")),"No tiene sello"))</f>
        <v>No tiene sello</v>
      </c>
      <c r="AK746" s="13">
        <f>IF(AJ746="No tiene sello",0,1)</f>
        <v>0</v>
      </c>
      <c r="AL746" s="13" t="str">
        <f>IF(Q746&gt;=300,"Exceso en sodio",IFERROR(IF(AND(F746=0,Q746&gt;0),"No tiene sello",IF(Q746/F746&gt;1,"Exceso en sodio","No tiene sello")),"No tiene sello"))</f>
        <v>No tiene sello</v>
      </c>
      <c r="AM746" s="13" t="str">
        <f>IFERROR(IF(F746=0,"No tiene sello",IF(+(AG746/1000)*9*100/F746&gt;1,"Exceso en grasa trans", "No tiene sello")),"No tiene sello")</f>
        <v>No tiene sello</v>
      </c>
    </row>
    <row r="747" spans="1:39" ht="13.5" customHeight="1" x14ac:dyDescent="0.25">
      <c r="A747" s="26" t="s">
        <v>228</v>
      </c>
      <c r="B747" s="26" t="s">
        <v>229</v>
      </c>
      <c r="C747" s="26" t="s">
        <v>154</v>
      </c>
      <c r="D747" s="47">
        <v>100</v>
      </c>
      <c r="E747" s="28">
        <v>59.6</v>
      </c>
      <c r="F747" s="24">
        <v>168</v>
      </c>
      <c r="G747" s="28">
        <v>711</v>
      </c>
      <c r="H747" s="24">
        <v>6.7</v>
      </c>
      <c r="I747" s="24">
        <v>2.2000000000000002</v>
      </c>
      <c r="J747" s="24">
        <v>29.3</v>
      </c>
      <c r="K747" s="28">
        <v>27</v>
      </c>
      <c r="L747" s="28">
        <v>2.93</v>
      </c>
      <c r="M747" s="24">
        <v>2.2999999999999998</v>
      </c>
      <c r="N747" s="28">
        <v>2.2000000000000002</v>
      </c>
      <c r="O747" s="25">
        <v>48</v>
      </c>
      <c r="P747" s="25">
        <v>1.3</v>
      </c>
      <c r="Q747" s="28">
        <v>7</v>
      </c>
      <c r="R747" s="25">
        <v>0</v>
      </c>
      <c r="S747" s="28">
        <v>0</v>
      </c>
      <c r="T747" s="28">
        <v>0</v>
      </c>
      <c r="U747" s="28">
        <v>929</v>
      </c>
      <c r="V747" s="28">
        <v>0</v>
      </c>
      <c r="W747" s="28">
        <v>0</v>
      </c>
      <c r="X747" s="28">
        <v>0</v>
      </c>
      <c r="Y747" s="28">
        <v>0</v>
      </c>
      <c r="Z747" s="28">
        <v>0</v>
      </c>
      <c r="AA747" s="25">
        <v>0</v>
      </c>
      <c r="AB747" s="25">
        <v>0</v>
      </c>
      <c r="AC747" s="25">
        <v>0</v>
      </c>
      <c r="AD747" s="28">
        <v>0</v>
      </c>
      <c r="AE747" s="28">
        <v>0</v>
      </c>
      <c r="AF747" s="28">
        <v>0</v>
      </c>
      <c r="AG747" s="28">
        <v>0</v>
      </c>
      <c r="AH747" s="24">
        <v>0</v>
      </c>
      <c r="AI747" s="28">
        <v>100</v>
      </c>
      <c r="AJ747" s="13" t="str">
        <f xml:space="preserve"> IF(AD747&gt;F747,"Exceso en grasa saturada",IFERROR(IF(F747=0,"No tiene sello",IF((AD747*9)*100/F747&gt;10,"Exceso en grasa saturada","No tiene sello")),"No tiene sello"))</f>
        <v>No tiene sello</v>
      </c>
      <c r="AK747" s="13">
        <f>IF(AJ747="No tiene sello",0,1)</f>
        <v>0</v>
      </c>
      <c r="AL747" s="13" t="str">
        <f>IF(Q747&gt;=300,"Exceso en sodio",IFERROR(IF(AND(F747=0,Q747&gt;0),"No tiene sello",IF(Q747/F747&gt;1,"Exceso en sodio","No tiene sello")),"No tiene sello"))</f>
        <v>No tiene sello</v>
      </c>
      <c r="AM747" s="13" t="str">
        <f>IFERROR(IF(F747=0,"No tiene sello",IF(+(AG747/1000)*9*100/F747&gt;1,"Exceso en grasa trans", "No tiene sello")),"No tiene sello")</f>
        <v>No tiene sello</v>
      </c>
    </row>
    <row r="748" spans="1:39" ht="13.5" customHeight="1" x14ac:dyDescent="0.25">
      <c r="A748" s="29" t="s">
        <v>226</v>
      </c>
      <c r="B748" s="29" t="s">
        <v>227</v>
      </c>
      <c r="C748" s="29" t="s">
        <v>154</v>
      </c>
      <c r="D748" s="46">
        <v>100</v>
      </c>
      <c r="E748" s="31">
        <v>91.1</v>
      </c>
      <c r="F748" s="24">
        <v>42</v>
      </c>
      <c r="G748" s="31">
        <v>177</v>
      </c>
      <c r="H748" s="24">
        <v>1.3</v>
      </c>
      <c r="I748" s="24">
        <v>0.2</v>
      </c>
      <c r="J748" s="24">
        <v>6.9</v>
      </c>
      <c r="K748" s="31">
        <v>2.8</v>
      </c>
      <c r="L748" s="31">
        <v>4.83</v>
      </c>
      <c r="M748" s="24">
        <v>4.0999999999999996</v>
      </c>
      <c r="N748" s="31">
        <v>0.6</v>
      </c>
      <c r="O748" s="31">
        <v>33</v>
      </c>
      <c r="P748" s="31">
        <v>0.3</v>
      </c>
      <c r="Q748" s="31">
        <v>12</v>
      </c>
      <c r="R748" s="31">
        <v>0</v>
      </c>
      <c r="S748" s="31">
        <v>0</v>
      </c>
      <c r="T748" s="31">
        <v>0</v>
      </c>
      <c r="U748" s="31">
        <v>238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31">
        <v>0</v>
      </c>
      <c r="AD748" s="31">
        <v>0</v>
      </c>
      <c r="AE748" s="31">
        <v>0</v>
      </c>
      <c r="AF748" s="31">
        <v>0</v>
      </c>
      <c r="AG748" s="31">
        <v>0</v>
      </c>
      <c r="AH748" s="31">
        <v>0</v>
      </c>
      <c r="AI748" s="31"/>
      <c r="AJ748" s="13" t="str">
        <f xml:space="preserve"> IF(AD748&gt;F748,"Exceso en grasa saturada",IFERROR(IF(F748=0,"No tiene sello",IF((AD748*9)*100/F748&gt;10,"Exceso en grasa saturada","No tiene sello")),"No tiene sello"))</f>
        <v>No tiene sello</v>
      </c>
      <c r="AK748" s="13">
        <f>IF(AJ748="No tiene sello",0,1)</f>
        <v>0</v>
      </c>
      <c r="AL748" s="13" t="str">
        <f>IF(Q748&gt;=300,"Exceso en sodio",IFERROR(IF(AND(F748=0,Q748&gt;0),"No tiene sello",IF(Q748/F748&gt;1,"Exceso en sodio","No tiene sello")),"No tiene sello"))</f>
        <v>No tiene sello</v>
      </c>
      <c r="AM748" s="13" t="str">
        <f>IFERROR(IF(F748=0,"No tiene sello",IF(+(AG748/1000)*9*100/F748&gt;1,"Exceso en grasa trans", "No tiene sello")),"No tiene sello")</f>
        <v>No tiene sello</v>
      </c>
    </row>
    <row r="749" spans="1:39" ht="13.5" customHeight="1" x14ac:dyDescent="0.25">
      <c r="A749" s="26" t="s">
        <v>224</v>
      </c>
      <c r="B749" s="26" t="s">
        <v>225</v>
      </c>
      <c r="C749" s="27"/>
      <c r="D749" s="47">
        <v>100</v>
      </c>
      <c r="E749" s="28">
        <v>9.4</v>
      </c>
      <c r="F749" s="24">
        <v>361</v>
      </c>
      <c r="G749" s="28">
        <v>1535</v>
      </c>
      <c r="H749" s="24">
        <v>0.2</v>
      </c>
      <c r="I749" s="24">
        <v>0</v>
      </c>
      <c r="J749" s="24">
        <v>90.1</v>
      </c>
      <c r="K749" s="28">
        <v>0</v>
      </c>
      <c r="L749" s="28">
        <v>9.01</v>
      </c>
      <c r="M749" s="24">
        <v>0</v>
      </c>
      <c r="N749" s="28">
        <v>0.3</v>
      </c>
      <c r="O749" s="25">
        <v>9</v>
      </c>
      <c r="P749" s="25">
        <v>3</v>
      </c>
      <c r="Q749" s="28">
        <v>0</v>
      </c>
      <c r="R749" s="25">
        <v>71</v>
      </c>
      <c r="S749" s="28">
        <v>0</v>
      </c>
      <c r="T749" s="28">
        <v>0</v>
      </c>
      <c r="U749" s="28">
        <v>0</v>
      </c>
      <c r="V749" s="28">
        <v>0</v>
      </c>
      <c r="W749" s="28">
        <v>0</v>
      </c>
      <c r="X749" s="28">
        <v>0</v>
      </c>
      <c r="Y749" s="28">
        <v>0</v>
      </c>
      <c r="Z749" s="28">
        <v>0</v>
      </c>
      <c r="AA749" s="25">
        <v>0</v>
      </c>
      <c r="AB749" s="25">
        <v>0</v>
      </c>
      <c r="AC749" s="25">
        <v>0</v>
      </c>
      <c r="AD749" s="28">
        <v>0</v>
      </c>
      <c r="AE749" s="28">
        <v>0</v>
      </c>
      <c r="AF749" s="28">
        <v>0</v>
      </c>
      <c r="AG749" s="28">
        <v>0</v>
      </c>
      <c r="AH749" s="24">
        <v>0</v>
      </c>
      <c r="AI749" s="28">
        <v>100</v>
      </c>
      <c r="AJ749" s="13" t="str">
        <f xml:space="preserve"> IF(AD749&gt;F749,"Exceso en grasa saturada",IFERROR(IF(F749=0,"No tiene sello",IF((AD749*9)*100/F749&gt;10,"Exceso en grasa saturada","No tiene sello")),"No tiene sello"))</f>
        <v>No tiene sello</v>
      </c>
      <c r="AK749" s="13">
        <f>IF(AJ749="No tiene sello",0,1)</f>
        <v>0</v>
      </c>
      <c r="AL749" s="13" t="str">
        <f>IF(Q749&gt;=300,"Exceso en sodio",IFERROR(IF(AND(F749=0,Q749&gt;0),"No tiene sello",IF(Q749/F749&gt;1,"Exceso en sodio","No tiene sello")),"No tiene sello"))</f>
        <v>No tiene sello</v>
      </c>
      <c r="AM749" s="13" t="str">
        <f>IFERROR(IF(F749=0,"No tiene sello",IF(+(AG749/1000)*9*100/F749&gt;1,"Exceso en grasa trans", "No tiene sello")),"No tiene sello")</f>
        <v>No tiene sello</v>
      </c>
    </row>
    <row r="750" spans="1:39" ht="13.5" customHeight="1" x14ac:dyDescent="0.25">
      <c r="A750" s="20" t="s">
        <v>222</v>
      </c>
      <c r="B750" s="20" t="s">
        <v>223</v>
      </c>
      <c r="C750" s="21"/>
      <c r="D750" s="46">
        <v>100</v>
      </c>
      <c r="E750" s="23">
        <v>5.6</v>
      </c>
      <c r="F750" s="24">
        <v>605</v>
      </c>
      <c r="G750" s="23">
        <v>2509</v>
      </c>
      <c r="H750" s="24">
        <v>27.7</v>
      </c>
      <c r="I750" s="24">
        <v>48.8</v>
      </c>
      <c r="J750" s="24">
        <v>12.9</v>
      </c>
      <c r="K750" s="23">
        <v>11.2</v>
      </c>
      <c r="L750" s="23">
        <v>1.29</v>
      </c>
      <c r="M750" s="24">
        <v>1.7</v>
      </c>
      <c r="N750" s="23">
        <v>5</v>
      </c>
      <c r="O750" s="25">
        <v>39</v>
      </c>
      <c r="P750" s="25">
        <v>11.7</v>
      </c>
      <c r="Q750" s="23">
        <v>6</v>
      </c>
      <c r="R750" s="25">
        <v>850</v>
      </c>
      <c r="S750" s="23">
        <v>6.6</v>
      </c>
      <c r="T750" s="23">
        <v>270</v>
      </c>
      <c r="U750" s="23">
        <v>814</v>
      </c>
      <c r="V750" s="23">
        <v>0.25</v>
      </c>
      <c r="W750" s="23">
        <v>0.21</v>
      </c>
      <c r="X750" s="23">
        <v>1.7</v>
      </c>
      <c r="Y750" s="23">
        <v>0</v>
      </c>
      <c r="Z750" s="23">
        <v>0</v>
      </c>
      <c r="AA750" s="25">
        <v>1</v>
      </c>
      <c r="AB750" s="25">
        <v>3</v>
      </c>
      <c r="AC750" s="25">
        <v>0</v>
      </c>
      <c r="AD750" s="23">
        <v>0</v>
      </c>
      <c r="AE750" s="23">
        <v>0</v>
      </c>
      <c r="AF750" s="23">
        <v>0</v>
      </c>
      <c r="AG750" s="23">
        <v>0</v>
      </c>
      <c r="AH750" s="24">
        <v>0</v>
      </c>
      <c r="AI750" s="23">
        <v>100</v>
      </c>
      <c r="AJ750" s="13" t="str">
        <f xml:space="preserve"> IF(AD750&gt;F750,"Exceso en grasa saturada",IFERROR(IF(F750=0,"No tiene sello",IF((AD750*9)*100/F750&gt;10,"Exceso en grasa saturada","No tiene sello")),"No tiene sello"))</f>
        <v>No tiene sello</v>
      </c>
      <c r="AK750" s="13">
        <f>IF(AJ750="No tiene sello",0,1)</f>
        <v>0</v>
      </c>
      <c r="AL750" s="13" t="str">
        <f>IF(Q750&gt;=300,"Exceso en sodio",IFERROR(IF(AND(F750=0,Q750&gt;0),"No tiene sello",IF(Q750/F750&gt;1,"Exceso en sodio","No tiene sello")),"No tiene sello"))</f>
        <v>No tiene sello</v>
      </c>
      <c r="AM750" s="13" t="str">
        <f>IFERROR(IF(F750=0,"No tiene sello",IF(+(AG750/1000)*9*100/F750&gt;1,"Exceso en grasa trans", "No tiene sello")),"No tiene sello")</f>
        <v>No tiene sello</v>
      </c>
    </row>
    <row r="751" spans="1:39" ht="13.5" customHeight="1" x14ac:dyDescent="0.25">
      <c r="A751" s="26" t="s">
        <v>220</v>
      </c>
      <c r="B751" s="26" t="s">
        <v>221</v>
      </c>
      <c r="C751" s="27"/>
      <c r="D751" s="47">
        <v>100</v>
      </c>
      <c r="E751" s="28">
        <v>13.9</v>
      </c>
      <c r="F751" s="24">
        <v>355</v>
      </c>
      <c r="G751" s="28">
        <v>1504</v>
      </c>
      <c r="H751" s="24">
        <v>1.7</v>
      </c>
      <c r="I751" s="24">
        <v>0.2</v>
      </c>
      <c r="J751" s="24">
        <v>83.3</v>
      </c>
      <c r="K751" s="28">
        <v>76.900000000000006</v>
      </c>
      <c r="L751" s="28">
        <v>4.17</v>
      </c>
      <c r="M751" s="24">
        <v>6.4</v>
      </c>
      <c r="N751" s="28">
        <v>0.9</v>
      </c>
      <c r="O751" s="25">
        <v>40</v>
      </c>
      <c r="P751" s="25">
        <v>1.1000000000000001</v>
      </c>
      <c r="Q751" s="28">
        <v>1</v>
      </c>
      <c r="R751" s="25">
        <v>42</v>
      </c>
      <c r="S751" s="28">
        <v>0.4</v>
      </c>
      <c r="T751" s="28">
        <v>37</v>
      </c>
      <c r="U751" s="28">
        <v>439</v>
      </c>
      <c r="V751" s="28">
        <v>0.11</v>
      </c>
      <c r="W751" s="28">
        <v>0.06</v>
      </c>
      <c r="X751" s="28">
        <v>1.6</v>
      </c>
      <c r="Y751" s="28">
        <v>59</v>
      </c>
      <c r="Z751" s="28">
        <v>0</v>
      </c>
      <c r="AA751" s="25">
        <v>0</v>
      </c>
      <c r="AB751" s="25">
        <v>17</v>
      </c>
      <c r="AC751" s="25">
        <v>0</v>
      </c>
      <c r="AD751" s="28">
        <v>0</v>
      </c>
      <c r="AE751" s="28">
        <v>0</v>
      </c>
      <c r="AF751" s="28">
        <v>0</v>
      </c>
      <c r="AG751" s="28">
        <v>0</v>
      </c>
      <c r="AH751" s="24">
        <v>0</v>
      </c>
      <c r="AI751" s="28">
        <v>100</v>
      </c>
      <c r="AJ751" s="13" t="str">
        <f xml:space="preserve"> IF(AD751&gt;F751,"Exceso en grasa saturada",IFERROR(IF(F751=0,"No tiene sello",IF((AD751*9)*100/F751&gt;10,"Exceso en grasa saturada","No tiene sello")),"No tiene sello"))</f>
        <v>No tiene sello</v>
      </c>
      <c r="AK751" s="13">
        <f>IF(AJ751="No tiene sello",0,1)</f>
        <v>0</v>
      </c>
      <c r="AL751" s="13" t="str">
        <f>IF(Q751&gt;=300,"Exceso en sodio",IFERROR(IF(AND(F751=0,Q751&gt;0),"No tiene sello",IF(Q751/F751&gt;1,"Exceso en sodio","No tiene sello")),"No tiene sello"))</f>
        <v>No tiene sello</v>
      </c>
      <c r="AM751" s="13" t="str">
        <f>IFERROR(IF(F751=0,"No tiene sello",IF(+(AG751/1000)*9*100/F751&gt;1,"Exceso en grasa trans", "No tiene sello")),"No tiene sello")</f>
        <v>No tiene sello</v>
      </c>
    </row>
    <row r="752" spans="1:39" ht="13.5" customHeight="1" x14ac:dyDescent="0.25">
      <c r="A752" s="20" t="s">
        <v>218</v>
      </c>
      <c r="B752" s="20" t="s">
        <v>219</v>
      </c>
      <c r="C752" s="20" t="s">
        <v>154</v>
      </c>
      <c r="D752" s="46">
        <v>100</v>
      </c>
      <c r="E752" s="23">
        <v>84.5</v>
      </c>
      <c r="F752" s="24">
        <v>72</v>
      </c>
      <c r="G752" s="23">
        <v>304</v>
      </c>
      <c r="H752" s="24">
        <v>1</v>
      </c>
      <c r="I752" s="24">
        <v>0.4</v>
      </c>
      <c r="J752" s="24">
        <v>13.5</v>
      </c>
      <c r="K752" s="23">
        <v>8.1</v>
      </c>
      <c r="L752" s="23">
        <v>1.35</v>
      </c>
      <c r="M752" s="24">
        <v>5.4</v>
      </c>
      <c r="N752" s="23">
        <v>0.6</v>
      </c>
      <c r="O752" s="25">
        <v>29</v>
      </c>
      <c r="P752" s="25">
        <v>0.5</v>
      </c>
      <c r="Q752" s="23">
        <v>1</v>
      </c>
      <c r="R752" s="25">
        <v>25</v>
      </c>
      <c r="S752" s="23">
        <v>0.6</v>
      </c>
      <c r="T752" s="23">
        <v>20</v>
      </c>
      <c r="U752" s="23">
        <v>270</v>
      </c>
      <c r="V752" s="23">
        <v>0.06</v>
      </c>
      <c r="W752" s="23">
        <v>0.02</v>
      </c>
      <c r="X752" s="23">
        <v>0.6</v>
      </c>
      <c r="Y752" s="23">
        <v>7</v>
      </c>
      <c r="Z752" s="23">
        <v>0</v>
      </c>
      <c r="AA752" s="25">
        <v>18</v>
      </c>
      <c r="AB752" s="25">
        <v>2</v>
      </c>
      <c r="AC752" s="25">
        <v>0</v>
      </c>
      <c r="AD752" s="23">
        <v>0</v>
      </c>
      <c r="AE752" s="23">
        <v>0</v>
      </c>
      <c r="AF752" s="23">
        <v>0</v>
      </c>
      <c r="AG752" s="23">
        <v>0</v>
      </c>
      <c r="AH752" s="24">
        <v>0</v>
      </c>
      <c r="AI752" s="23">
        <v>84</v>
      </c>
      <c r="AJ752" s="13" t="str">
        <f xml:space="preserve"> IF(AD752&gt;F752,"Exceso en grasa saturada",IFERROR(IF(F752=0,"No tiene sello",IF((AD752*9)*100/F752&gt;10,"Exceso en grasa saturada","No tiene sello")),"No tiene sello"))</f>
        <v>No tiene sello</v>
      </c>
      <c r="AK752" s="13">
        <f>IF(AJ752="No tiene sello",0,1)</f>
        <v>0</v>
      </c>
      <c r="AL752" s="13" t="str">
        <f>IF(Q752&gt;=300,"Exceso en sodio",IFERROR(IF(AND(F752=0,Q752&gt;0),"No tiene sello",IF(Q752/F752&gt;1,"Exceso en sodio","No tiene sello")),"No tiene sello"))</f>
        <v>No tiene sello</v>
      </c>
      <c r="AM752" s="13" t="str">
        <f>IFERROR(IF(F752=0,"No tiene sello",IF(+(AG752/1000)*9*100/F752&gt;1,"Exceso en grasa trans", "No tiene sello")),"No tiene sello")</f>
        <v>No tiene sello</v>
      </c>
    </row>
    <row r="753" spans="1:39" s="4" customFormat="1" ht="13.5" customHeight="1" x14ac:dyDescent="0.25">
      <c r="A753" s="26" t="s">
        <v>216</v>
      </c>
      <c r="B753" s="26" t="s">
        <v>217</v>
      </c>
      <c r="C753" s="27"/>
      <c r="D753" s="47">
        <v>100</v>
      </c>
      <c r="E753" s="28">
        <v>68.3</v>
      </c>
      <c r="F753" s="24">
        <v>123</v>
      </c>
      <c r="G753" s="28">
        <v>524</v>
      </c>
      <c r="H753" s="24">
        <v>2.2999999999999998</v>
      </c>
      <c r="I753" s="24">
        <v>0</v>
      </c>
      <c r="J753" s="24">
        <v>28.5</v>
      </c>
      <c r="K753" s="28">
        <v>0</v>
      </c>
      <c r="L753" s="28">
        <v>1.43</v>
      </c>
      <c r="M753" s="24">
        <v>0</v>
      </c>
      <c r="N753" s="28">
        <v>0.9</v>
      </c>
      <c r="O753" s="25">
        <v>17</v>
      </c>
      <c r="P753" s="25">
        <v>1.6</v>
      </c>
      <c r="Q753" s="28">
        <v>0</v>
      </c>
      <c r="R753" s="25">
        <v>59</v>
      </c>
      <c r="S753" s="28">
        <v>0</v>
      </c>
      <c r="T753" s="28">
        <v>0</v>
      </c>
      <c r="U753" s="28">
        <v>1</v>
      </c>
      <c r="V753" s="28">
        <v>0.01</v>
      </c>
      <c r="W753" s="28">
        <v>0.3</v>
      </c>
      <c r="X753" s="28">
        <v>0.2</v>
      </c>
      <c r="Y753" s="28">
        <v>0</v>
      </c>
      <c r="Z753" s="28">
        <v>0</v>
      </c>
      <c r="AA753" s="25">
        <v>0</v>
      </c>
      <c r="AB753" s="25">
        <v>0</v>
      </c>
      <c r="AC753" s="25">
        <v>0</v>
      </c>
      <c r="AD753" s="28">
        <v>0</v>
      </c>
      <c r="AE753" s="28">
        <v>0</v>
      </c>
      <c r="AF753" s="28">
        <v>0</v>
      </c>
      <c r="AG753" s="28">
        <v>0</v>
      </c>
      <c r="AH753" s="24">
        <v>0</v>
      </c>
      <c r="AI753" s="28">
        <v>100</v>
      </c>
      <c r="AJ753" s="13" t="str">
        <f xml:space="preserve"> IF(AD753&gt;F753,"Exceso en grasa saturada",IFERROR(IF(F753=0,"No tiene sello",IF((AD753*9)*100/F753&gt;10,"Exceso en grasa saturada","No tiene sello")),"No tiene sello"))</f>
        <v>No tiene sello</v>
      </c>
      <c r="AK753" s="13">
        <f>IF(AJ753="No tiene sello",0,1)</f>
        <v>0</v>
      </c>
      <c r="AL753" s="13" t="str">
        <f>IF(Q753&gt;=300,"Exceso en sodio",IFERROR(IF(AND(F753=0,Q753&gt;0),"No tiene sello",IF(Q753/F753&gt;1,"Exceso en sodio","No tiene sello")),"No tiene sello"))</f>
        <v>No tiene sello</v>
      </c>
      <c r="AM753" s="13" t="str">
        <f>IFERROR(IF(F753=0,"No tiene sello",IF(+(AG753/1000)*9*100/F753&gt;1,"Exceso en grasa trans", "No tiene sello")),"No tiene sello")</f>
        <v>No tiene sello</v>
      </c>
    </row>
    <row r="754" spans="1:39" ht="13.5" customHeight="1" x14ac:dyDescent="0.25">
      <c r="A754" s="20" t="s">
        <v>214</v>
      </c>
      <c r="B754" s="20" t="s">
        <v>215</v>
      </c>
      <c r="C754" s="20" t="s">
        <v>182</v>
      </c>
      <c r="D754" s="46">
        <v>100</v>
      </c>
      <c r="E754" s="23">
        <v>67.8</v>
      </c>
      <c r="F754" s="24">
        <v>135</v>
      </c>
      <c r="G754" s="23">
        <v>572</v>
      </c>
      <c r="H754" s="24">
        <v>5.8</v>
      </c>
      <c r="I754" s="24">
        <v>2.4</v>
      </c>
      <c r="J754" s="24">
        <v>22.6</v>
      </c>
      <c r="K754" s="23">
        <v>0</v>
      </c>
      <c r="L754" s="23">
        <v>2.2599999999999998</v>
      </c>
      <c r="M754" s="24">
        <v>0</v>
      </c>
      <c r="N754" s="23">
        <v>1.4</v>
      </c>
      <c r="O754" s="25">
        <v>12</v>
      </c>
      <c r="P754" s="25">
        <v>1</v>
      </c>
      <c r="Q754" s="23">
        <v>20</v>
      </c>
      <c r="R754" s="25">
        <v>67</v>
      </c>
      <c r="S754" s="23">
        <v>0.4</v>
      </c>
      <c r="T754" s="23">
        <v>0</v>
      </c>
      <c r="U754" s="23">
        <v>0</v>
      </c>
      <c r="V754" s="23">
        <v>0.1</v>
      </c>
      <c r="W754" s="23">
        <v>7.0000000000000007E-2</v>
      </c>
      <c r="X754" s="23">
        <v>1.3</v>
      </c>
      <c r="Y754" s="23">
        <v>0</v>
      </c>
      <c r="Z754" s="23">
        <v>0</v>
      </c>
      <c r="AA754" s="25">
        <v>11</v>
      </c>
      <c r="AB754" s="25">
        <v>0</v>
      </c>
      <c r="AC754" s="25">
        <v>0</v>
      </c>
      <c r="AD754" s="23">
        <v>0</v>
      </c>
      <c r="AE754" s="23">
        <v>0</v>
      </c>
      <c r="AF754" s="23">
        <v>0</v>
      </c>
      <c r="AG754" s="23">
        <v>0</v>
      </c>
      <c r="AH754" s="24">
        <v>0</v>
      </c>
      <c r="AI754" s="23">
        <v>95</v>
      </c>
      <c r="AJ754" s="13" t="str">
        <f xml:space="preserve"> IF(AD754&gt;F754,"Exceso en grasa saturada",IFERROR(IF(F754=0,"No tiene sello",IF((AD754*9)*100/F754&gt;10,"Exceso en grasa saturada","No tiene sello")),"No tiene sello"))</f>
        <v>No tiene sello</v>
      </c>
      <c r="AK754" s="13">
        <f>IF(AJ754="No tiene sello",0,1)</f>
        <v>0</v>
      </c>
      <c r="AL754" s="13" t="str">
        <f>IF(Q754&gt;=300,"Exceso en sodio",IFERROR(IF(AND(F754=0,Q754&gt;0),"No tiene sello",IF(Q754/F754&gt;1,"Exceso en sodio","No tiene sello")),"No tiene sello"))</f>
        <v>No tiene sello</v>
      </c>
      <c r="AM754" s="13" t="str">
        <f>IFERROR(IF(F754=0,"No tiene sello",IF(+(AG754/1000)*9*100/F754&gt;1,"Exceso en grasa trans", "No tiene sello")),"No tiene sello")</f>
        <v>No tiene sello</v>
      </c>
    </row>
    <row r="755" spans="1:39" ht="13.5" customHeight="1" x14ac:dyDescent="0.25">
      <c r="A755" s="26" t="s">
        <v>211</v>
      </c>
      <c r="B755" s="26" t="s">
        <v>213</v>
      </c>
      <c r="C755" s="26" t="s">
        <v>212</v>
      </c>
      <c r="D755" s="47">
        <v>100</v>
      </c>
      <c r="E755" s="28">
        <v>71.3</v>
      </c>
      <c r="F755" s="24">
        <v>120</v>
      </c>
      <c r="G755" s="28">
        <v>506</v>
      </c>
      <c r="H755" s="24">
        <v>1.5</v>
      </c>
      <c r="I755" s="24">
        <v>0.3</v>
      </c>
      <c r="J755" s="24">
        <v>25.8</v>
      </c>
      <c r="K755" s="28">
        <v>21.7</v>
      </c>
      <c r="L755" s="28">
        <v>2.58</v>
      </c>
      <c r="M755" s="24">
        <v>4.0999999999999996</v>
      </c>
      <c r="N755" s="28">
        <v>1.1000000000000001</v>
      </c>
      <c r="O755" s="25">
        <v>43</v>
      </c>
      <c r="P755" s="25">
        <v>0.6</v>
      </c>
      <c r="Q755" s="28">
        <v>11</v>
      </c>
      <c r="R755" s="25">
        <v>65</v>
      </c>
      <c r="S755" s="28">
        <v>0.2</v>
      </c>
      <c r="T755" s="28">
        <v>33</v>
      </c>
      <c r="U755" s="28">
        <v>554</v>
      </c>
      <c r="V755" s="28">
        <v>0.09</v>
      </c>
      <c r="W755" s="28">
        <v>0.03</v>
      </c>
      <c r="X755" s="28">
        <v>0.6</v>
      </c>
      <c r="Y755" s="28">
        <v>22</v>
      </c>
      <c r="Z755" s="28">
        <v>0</v>
      </c>
      <c r="AA755" s="25">
        <v>5</v>
      </c>
      <c r="AB755" s="25">
        <v>4</v>
      </c>
      <c r="AC755" s="25">
        <v>0</v>
      </c>
      <c r="AD755" s="28">
        <v>0</v>
      </c>
      <c r="AE755" s="28">
        <v>0</v>
      </c>
      <c r="AF755" s="28">
        <v>0</v>
      </c>
      <c r="AG755" s="28">
        <v>0</v>
      </c>
      <c r="AH755" s="24">
        <v>0</v>
      </c>
      <c r="AI755" s="28">
        <v>69</v>
      </c>
      <c r="AJ755" s="13" t="str">
        <f xml:space="preserve"> IF(AD755&gt;F755,"Exceso en grasa saturada",IFERROR(IF(F755=0,"No tiene sello",IF((AD755*9)*100/F755&gt;10,"Exceso en grasa saturada","No tiene sello")),"No tiene sello"))</f>
        <v>No tiene sello</v>
      </c>
      <c r="AK755" s="13">
        <f>IF(AJ755="No tiene sello",0,1)</f>
        <v>0</v>
      </c>
      <c r="AL755" s="13" t="str">
        <f>IF(Q755&gt;=300,"Exceso en sodio",IFERROR(IF(AND(F755=0,Q755&gt;0),"No tiene sello",IF(Q755/F755&gt;1,"Exceso en sodio","No tiene sello")),"No tiene sello"))</f>
        <v>No tiene sello</v>
      </c>
      <c r="AM755" s="13" t="str">
        <f>IFERROR(IF(F755=0,"No tiene sello",IF(+(AG755/1000)*9*100/F755&gt;1,"Exceso en grasa trans", "No tiene sello")),"No tiene sello")</f>
        <v>No tiene sello</v>
      </c>
    </row>
    <row r="756" spans="1:39" ht="30" x14ac:dyDescent="0.25">
      <c r="A756" s="20" t="s">
        <v>209</v>
      </c>
      <c r="B756" s="20" t="s">
        <v>210</v>
      </c>
      <c r="C756" s="21"/>
      <c r="D756" s="46">
        <v>100</v>
      </c>
      <c r="E756" s="23">
        <v>79</v>
      </c>
      <c r="F756" s="24">
        <v>82</v>
      </c>
      <c r="G756" s="23">
        <v>349</v>
      </c>
      <c r="H756" s="24">
        <v>1.2</v>
      </c>
      <c r="I756" s="24">
        <v>0.4</v>
      </c>
      <c r="J756" s="24">
        <v>18.5</v>
      </c>
      <c r="K756" s="23">
        <v>0</v>
      </c>
      <c r="L756" s="23">
        <v>1.85</v>
      </c>
      <c r="M756" s="24">
        <v>0</v>
      </c>
      <c r="N756" s="23">
        <v>0.9</v>
      </c>
      <c r="O756" s="25">
        <v>13</v>
      </c>
      <c r="P756" s="25">
        <v>0.9</v>
      </c>
      <c r="Q756" s="23">
        <v>12</v>
      </c>
      <c r="R756" s="25">
        <v>36</v>
      </c>
      <c r="S756" s="23">
        <v>0</v>
      </c>
      <c r="T756" s="23">
        <v>0</v>
      </c>
      <c r="U756" s="23">
        <v>0</v>
      </c>
      <c r="V756" s="23">
        <v>0</v>
      </c>
      <c r="W756" s="23">
        <v>0</v>
      </c>
      <c r="X756" s="23">
        <v>0</v>
      </c>
      <c r="Y756" s="23">
        <v>0</v>
      </c>
      <c r="Z756" s="23">
        <v>0</v>
      </c>
      <c r="AA756" s="25">
        <v>0</v>
      </c>
      <c r="AB756" s="25">
        <v>0</v>
      </c>
      <c r="AC756" s="25">
        <v>0</v>
      </c>
      <c r="AD756" s="23">
        <v>0</v>
      </c>
      <c r="AE756" s="23">
        <v>0</v>
      </c>
      <c r="AF756" s="23">
        <v>0</v>
      </c>
      <c r="AG756" s="23">
        <v>0</v>
      </c>
      <c r="AH756" s="24">
        <v>0</v>
      </c>
      <c r="AI756" s="23"/>
      <c r="AJ756" s="13" t="str">
        <f xml:space="preserve"> IF(AD756&gt;F756,"Exceso en grasa saturada",IFERROR(IF(F756=0,"No tiene sello",IF((AD756*9)*100/F756&gt;10,"Exceso en grasa saturada","No tiene sello")),"No tiene sello"))</f>
        <v>No tiene sello</v>
      </c>
      <c r="AK756" s="13">
        <f>IF(AJ756="No tiene sello",0,1)</f>
        <v>0</v>
      </c>
      <c r="AL756" s="13" t="str">
        <f>IF(Q756&gt;=300,"Exceso en sodio",IFERROR(IF(AND(F756=0,Q756&gt;0),"No tiene sello",IF(Q756/F756&gt;1,"Exceso en sodio","No tiene sello")),"No tiene sello"))</f>
        <v>No tiene sello</v>
      </c>
      <c r="AM756" s="13" t="str">
        <f>IFERROR(IF(F756=0,"No tiene sello",IF(+(AG756/1000)*9*100/F756&gt;1,"Exceso en grasa trans", "No tiene sello")),"No tiene sello")</f>
        <v>No tiene sello</v>
      </c>
    </row>
    <row r="757" spans="1:39" ht="30" x14ac:dyDescent="0.25">
      <c r="A757" s="26" t="s">
        <v>207</v>
      </c>
      <c r="B757" s="26" t="s">
        <v>208</v>
      </c>
      <c r="C757" s="27"/>
      <c r="D757" s="47">
        <v>100</v>
      </c>
      <c r="E757" s="28">
        <v>28</v>
      </c>
      <c r="F757" s="24">
        <v>304</v>
      </c>
      <c r="G757" s="28">
        <v>1286</v>
      </c>
      <c r="H757" s="24">
        <v>6.4</v>
      </c>
      <c r="I757" s="24">
        <v>4.3</v>
      </c>
      <c r="J757" s="24">
        <v>59.9</v>
      </c>
      <c r="K757" s="28">
        <v>0</v>
      </c>
      <c r="L757" s="28">
        <v>5.99</v>
      </c>
      <c r="M757" s="24">
        <v>0</v>
      </c>
      <c r="N757" s="28">
        <v>1.4</v>
      </c>
      <c r="O757" s="25">
        <v>54</v>
      </c>
      <c r="P757" s="25">
        <v>3.8</v>
      </c>
      <c r="Q757" s="28">
        <v>18</v>
      </c>
      <c r="R757" s="25">
        <v>219</v>
      </c>
      <c r="S757" s="28">
        <v>0</v>
      </c>
      <c r="T757" s="28">
        <v>0</v>
      </c>
      <c r="U757" s="28">
        <v>101</v>
      </c>
      <c r="V757" s="28">
        <v>0</v>
      </c>
      <c r="W757" s="28">
        <v>0</v>
      </c>
      <c r="X757" s="28">
        <v>0</v>
      </c>
      <c r="Y757" s="28">
        <v>0</v>
      </c>
      <c r="Z757" s="28">
        <v>0</v>
      </c>
      <c r="AA757" s="25">
        <v>0</v>
      </c>
      <c r="AB757" s="25">
        <v>0</v>
      </c>
      <c r="AC757" s="25">
        <v>0</v>
      </c>
      <c r="AD757" s="28">
        <v>0</v>
      </c>
      <c r="AE757" s="28">
        <v>0</v>
      </c>
      <c r="AF757" s="28">
        <v>0</v>
      </c>
      <c r="AG757" s="28">
        <v>0</v>
      </c>
      <c r="AH757" s="24">
        <v>0</v>
      </c>
      <c r="AI757" s="28"/>
      <c r="AJ757" s="13" t="str">
        <f xml:space="preserve"> IF(AD757&gt;F757,"Exceso en grasa saturada",IFERROR(IF(F757=0,"No tiene sello",IF((AD757*9)*100/F757&gt;10,"Exceso en grasa saturada","No tiene sello")),"No tiene sello"))</f>
        <v>No tiene sello</v>
      </c>
      <c r="AK757" s="13">
        <f>IF(AJ757="No tiene sello",0,1)</f>
        <v>0</v>
      </c>
      <c r="AL757" s="13" t="str">
        <f>IF(Q757&gt;=300,"Exceso en sodio",IFERROR(IF(AND(F757=0,Q757&gt;0),"No tiene sello",IF(Q757/F757&gt;1,"Exceso en sodio","No tiene sello")),"No tiene sello"))</f>
        <v>No tiene sello</v>
      </c>
      <c r="AM757" s="13" t="str">
        <f>IFERROR(IF(F757=0,"No tiene sello",IF(+(AG757/1000)*9*100/F757&gt;1,"Exceso en grasa trans", "No tiene sello")),"No tiene sello")</f>
        <v>No tiene sello</v>
      </c>
    </row>
    <row r="758" spans="1:39" ht="30" x14ac:dyDescent="0.25">
      <c r="A758" s="20" t="s">
        <v>205</v>
      </c>
      <c r="B758" s="20" t="s">
        <v>206</v>
      </c>
      <c r="C758" s="20" t="s">
        <v>154</v>
      </c>
      <c r="D758" s="46">
        <v>100</v>
      </c>
      <c r="E758" s="23">
        <v>50.6</v>
      </c>
      <c r="F758" s="24">
        <v>319</v>
      </c>
      <c r="G758" s="23">
        <v>1324</v>
      </c>
      <c r="H758" s="24">
        <v>3.3</v>
      </c>
      <c r="I758" s="24">
        <v>23.7</v>
      </c>
      <c r="J758" s="24">
        <v>19.399999999999999</v>
      </c>
      <c r="K758" s="23">
        <v>11.8</v>
      </c>
      <c r="L758" s="23">
        <v>1.94</v>
      </c>
      <c r="M758" s="24">
        <v>7.7</v>
      </c>
      <c r="N758" s="23">
        <v>3</v>
      </c>
      <c r="O758" s="25">
        <v>73</v>
      </c>
      <c r="P758" s="25">
        <v>2.2999999999999998</v>
      </c>
      <c r="Q758" s="23">
        <v>4</v>
      </c>
      <c r="R758" s="25">
        <v>67</v>
      </c>
      <c r="S758" s="23">
        <v>2</v>
      </c>
      <c r="T758" s="23">
        <v>128</v>
      </c>
      <c r="U758" s="23">
        <v>1</v>
      </c>
      <c r="V758" s="23">
        <v>0</v>
      </c>
      <c r="W758" s="23">
        <v>1.66</v>
      </c>
      <c r="X758" s="23">
        <v>3.2</v>
      </c>
      <c r="Y758" s="23">
        <v>620</v>
      </c>
      <c r="Z758" s="23">
        <v>0.08</v>
      </c>
      <c r="AA758" s="25">
        <v>0</v>
      </c>
      <c r="AB758" s="25">
        <v>5</v>
      </c>
      <c r="AC758" s="25">
        <v>0</v>
      </c>
      <c r="AD758" s="23">
        <v>0</v>
      </c>
      <c r="AE758" s="23">
        <v>0</v>
      </c>
      <c r="AF758" s="23">
        <v>0</v>
      </c>
      <c r="AG758" s="23">
        <v>0</v>
      </c>
      <c r="AH758" s="24">
        <v>0</v>
      </c>
      <c r="AI758" s="23">
        <v>35</v>
      </c>
      <c r="AJ758" s="13" t="str">
        <f xml:space="preserve"> IF(AD758&gt;F758,"Exceso en grasa saturada",IFERROR(IF(F758=0,"No tiene sello",IF((AD758*9)*100/F758&gt;10,"Exceso en grasa saturada","No tiene sello")),"No tiene sello"))</f>
        <v>No tiene sello</v>
      </c>
      <c r="AK758" s="13">
        <f>IF(AJ758="No tiene sello",0,1)</f>
        <v>0</v>
      </c>
      <c r="AL758" s="13" t="str">
        <f>IF(Q758&gt;=300,"Exceso en sodio",IFERROR(IF(AND(F758=0,Q758&gt;0),"No tiene sello",IF(Q758/F758&gt;1,"Exceso en sodio","No tiene sello")),"No tiene sello"))</f>
        <v>No tiene sello</v>
      </c>
      <c r="AM758" s="13" t="str">
        <f>IFERROR(IF(F758=0,"No tiene sello",IF(+(AG758/1000)*9*100/F758&gt;1,"Exceso en grasa trans", "No tiene sello")),"No tiene sello")</f>
        <v>No tiene sello</v>
      </c>
    </row>
    <row r="759" spans="1:39" ht="30" x14ac:dyDescent="0.25">
      <c r="A759" s="26" t="s">
        <v>203</v>
      </c>
      <c r="B759" s="26" t="s">
        <v>204</v>
      </c>
      <c r="C759" s="26" t="s">
        <v>154</v>
      </c>
      <c r="D759" s="47">
        <v>100</v>
      </c>
      <c r="E759" s="28">
        <v>40.799999999999997</v>
      </c>
      <c r="F759" s="24">
        <v>403</v>
      </c>
      <c r="G759" s="28">
        <v>1671</v>
      </c>
      <c r="H759" s="24">
        <v>3.2</v>
      </c>
      <c r="I759" s="24">
        <v>29.4</v>
      </c>
      <c r="J759" s="24">
        <v>24.7</v>
      </c>
      <c r="K759" s="28">
        <v>11.2</v>
      </c>
      <c r="L759" s="28">
        <v>2.4700000000000002</v>
      </c>
      <c r="M759" s="24">
        <v>13.4</v>
      </c>
      <c r="N759" s="28">
        <v>1.8</v>
      </c>
      <c r="O759" s="25">
        <v>51</v>
      </c>
      <c r="P759" s="25">
        <v>2.1</v>
      </c>
      <c r="Q759" s="28">
        <v>2</v>
      </c>
      <c r="R759" s="25">
        <v>41</v>
      </c>
      <c r="S759" s="28">
        <v>1.3</v>
      </c>
      <c r="T759" s="28">
        <v>83</v>
      </c>
      <c r="U759" s="28">
        <v>1</v>
      </c>
      <c r="V759" s="28">
        <v>0</v>
      </c>
      <c r="W759" s="28">
        <v>2.09</v>
      </c>
      <c r="X759" s="28">
        <v>0</v>
      </c>
      <c r="Y759" s="28">
        <v>390</v>
      </c>
      <c r="Z759" s="28">
        <v>0</v>
      </c>
      <c r="AA759" s="25">
        <v>0</v>
      </c>
      <c r="AB759" s="25">
        <v>0</v>
      </c>
      <c r="AC759" s="25">
        <v>0</v>
      </c>
      <c r="AD759" s="28">
        <v>0</v>
      </c>
      <c r="AE759" s="28">
        <v>0</v>
      </c>
      <c r="AF759" s="28">
        <v>0</v>
      </c>
      <c r="AG759" s="28">
        <v>0</v>
      </c>
      <c r="AH759" s="24">
        <v>0</v>
      </c>
      <c r="AI759" s="28">
        <v>35</v>
      </c>
      <c r="AJ759" s="13" t="str">
        <f xml:space="preserve"> IF(AD759&gt;F759,"Exceso en grasa saturada",IFERROR(IF(F759=0,"No tiene sello",IF((AD759*9)*100/F759&gt;10,"Exceso en grasa saturada","No tiene sello")),"No tiene sello"))</f>
        <v>No tiene sello</v>
      </c>
      <c r="AK759" s="13">
        <f>IF(AJ759="No tiene sello",0,1)</f>
        <v>0</v>
      </c>
      <c r="AL759" s="13" t="str">
        <f>IF(Q759&gt;=300,"Exceso en sodio",IFERROR(IF(AND(F759=0,Q759&gt;0),"No tiene sello",IF(Q759/F759&gt;1,"Exceso en sodio","No tiene sello")),"No tiene sello"))</f>
        <v>No tiene sello</v>
      </c>
      <c r="AM759" s="13" t="str">
        <f>IFERROR(IF(F759=0,"No tiene sello",IF(+(AG759/1000)*9*100/F759&gt;1,"Exceso en grasa trans", "No tiene sello")),"No tiene sello")</f>
        <v>No tiene sello</v>
      </c>
    </row>
    <row r="760" spans="1:39" ht="30" x14ac:dyDescent="0.25">
      <c r="A760" s="20" t="s">
        <v>201</v>
      </c>
      <c r="B760" s="20" t="s">
        <v>202</v>
      </c>
      <c r="C760" s="20" t="s">
        <v>154</v>
      </c>
      <c r="D760" s="46">
        <v>100</v>
      </c>
      <c r="E760" s="23">
        <v>59.9</v>
      </c>
      <c r="F760" s="24">
        <v>296</v>
      </c>
      <c r="G760" s="23">
        <v>1224</v>
      </c>
      <c r="H760" s="24">
        <v>2.2999999999999998</v>
      </c>
      <c r="I760" s="24">
        <v>25.1</v>
      </c>
      <c r="J760" s="24">
        <v>11.8</v>
      </c>
      <c r="K760" s="23">
        <v>4.9000000000000004</v>
      </c>
      <c r="L760" s="23">
        <v>1.18</v>
      </c>
      <c r="M760" s="24">
        <v>7</v>
      </c>
      <c r="N760" s="23">
        <v>0.9</v>
      </c>
      <c r="O760" s="25">
        <v>77</v>
      </c>
      <c r="P760" s="25">
        <v>0.8</v>
      </c>
      <c r="Q760" s="23">
        <v>12</v>
      </c>
      <c r="R760" s="25">
        <v>27</v>
      </c>
      <c r="S760" s="23">
        <v>1.7</v>
      </c>
      <c r="T760" s="23">
        <v>20</v>
      </c>
      <c r="U760" s="23">
        <v>232</v>
      </c>
      <c r="V760" s="23">
        <v>0.12</v>
      </c>
      <c r="W760" s="23">
        <v>0.17</v>
      </c>
      <c r="X760" s="23">
        <v>0.3</v>
      </c>
      <c r="Y760" s="23">
        <v>0</v>
      </c>
      <c r="Z760" s="23">
        <v>0</v>
      </c>
      <c r="AA760" s="25">
        <v>0</v>
      </c>
      <c r="AB760" s="25">
        <v>0</v>
      </c>
      <c r="AC760" s="25">
        <v>0</v>
      </c>
      <c r="AD760" s="23">
        <v>0</v>
      </c>
      <c r="AE760" s="23">
        <v>0</v>
      </c>
      <c r="AF760" s="23">
        <v>0</v>
      </c>
      <c r="AG760" s="23">
        <v>0</v>
      </c>
      <c r="AH760" s="24">
        <v>0</v>
      </c>
      <c r="AI760" s="23">
        <v>23</v>
      </c>
      <c r="AJ760" s="13" t="str">
        <f xml:space="preserve"> IF(AD760&gt;F760,"Exceso en grasa saturada",IFERROR(IF(F760=0,"No tiene sello",IF((AD760*9)*100/F760&gt;10,"Exceso en grasa saturada","No tiene sello")),"No tiene sello"))</f>
        <v>No tiene sello</v>
      </c>
      <c r="AK760" s="13">
        <f>IF(AJ760="No tiene sello",0,1)</f>
        <v>0</v>
      </c>
      <c r="AL760" s="13" t="str">
        <f>IF(Q760&gt;=300,"Exceso en sodio",IFERROR(IF(AND(F760=0,Q760&gt;0),"No tiene sello",IF(Q760/F760&gt;1,"Exceso en sodio","No tiene sello")),"No tiene sello"))</f>
        <v>No tiene sello</v>
      </c>
      <c r="AM760" s="13" t="str">
        <f>IFERROR(IF(F760=0,"No tiene sello",IF(+(AG760/1000)*9*100/F760&gt;1,"Exceso en grasa trans", "No tiene sello")),"No tiene sello")</f>
        <v>No tiene sello</v>
      </c>
    </row>
    <row r="761" spans="1:39" ht="15" customHeight="1" x14ac:dyDescent="0.25">
      <c r="A761" s="26" t="s">
        <v>199</v>
      </c>
      <c r="B761" s="26" t="s">
        <v>200</v>
      </c>
      <c r="C761" s="26" t="s">
        <v>154</v>
      </c>
      <c r="D761" s="47">
        <v>100</v>
      </c>
      <c r="E761" s="28">
        <v>88</v>
      </c>
      <c r="F761" s="24">
        <v>51</v>
      </c>
      <c r="G761" s="28">
        <v>217</v>
      </c>
      <c r="H761" s="24">
        <v>0.4</v>
      </c>
      <c r="I761" s="24">
        <v>0.2</v>
      </c>
      <c r="J761" s="24">
        <v>11</v>
      </c>
      <c r="K761" s="28">
        <v>9</v>
      </c>
      <c r="L761" s="28">
        <v>1.1000000000000001</v>
      </c>
      <c r="M761" s="24">
        <v>2</v>
      </c>
      <c r="N761" s="28">
        <v>0.4</v>
      </c>
      <c r="O761" s="25">
        <v>24</v>
      </c>
      <c r="P761" s="25">
        <v>0.3</v>
      </c>
      <c r="Q761" s="28">
        <v>1</v>
      </c>
      <c r="R761" s="25">
        <v>14</v>
      </c>
      <c r="S761" s="28">
        <v>0</v>
      </c>
      <c r="T761" s="28">
        <v>12</v>
      </c>
      <c r="U761" s="28">
        <v>266</v>
      </c>
      <c r="V761" s="28">
        <v>0.03</v>
      </c>
      <c r="W761" s="28">
        <v>0.05</v>
      </c>
      <c r="X761" s="28">
        <v>0.3</v>
      </c>
      <c r="Y761" s="28">
        <v>14</v>
      </c>
      <c r="Z761" s="28">
        <v>0</v>
      </c>
      <c r="AA761" s="25">
        <v>2</v>
      </c>
      <c r="AB761" s="25">
        <v>79</v>
      </c>
      <c r="AC761" s="25">
        <v>0</v>
      </c>
      <c r="AD761" s="28">
        <v>0</v>
      </c>
      <c r="AE761" s="28">
        <v>0</v>
      </c>
      <c r="AF761" s="28">
        <v>0</v>
      </c>
      <c r="AG761" s="28">
        <v>0</v>
      </c>
      <c r="AH761" s="24">
        <v>0</v>
      </c>
      <c r="AI761" s="28">
        <v>65</v>
      </c>
      <c r="AJ761" s="13" t="str">
        <f xml:space="preserve"> IF(AD761&gt;F761,"Exceso en grasa saturada",IFERROR(IF(F761=0,"No tiene sello",IF((AD761*9)*100/F761&gt;10,"Exceso en grasa saturada","No tiene sello")),"No tiene sello"))</f>
        <v>No tiene sello</v>
      </c>
      <c r="AK761" s="13">
        <f>IF(AJ761="No tiene sello",0,1)</f>
        <v>0</v>
      </c>
      <c r="AL761" s="13" t="str">
        <f>IF(Q761&gt;=300,"Exceso en sodio",IFERROR(IF(AND(F761=0,Q761&gt;0),"No tiene sello",IF(Q761/F761&gt;1,"Exceso en sodio","No tiene sello")),"No tiene sello"))</f>
        <v>No tiene sello</v>
      </c>
      <c r="AM761" s="13" t="str">
        <f>IFERROR(IF(F761=0,"No tiene sello",IF(+(AG761/1000)*9*100/F761&gt;1,"Exceso en grasa trans", "No tiene sello")),"No tiene sello")</f>
        <v>No tiene sello</v>
      </c>
    </row>
    <row r="762" spans="1:39" ht="15" customHeight="1" x14ac:dyDescent="0.25">
      <c r="A762" s="20" t="s">
        <v>197</v>
      </c>
      <c r="B762" s="20" t="s">
        <v>198</v>
      </c>
      <c r="C762" s="20" t="s">
        <v>165</v>
      </c>
      <c r="D762" s="22">
        <v>100</v>
      </c>
      <c r="E762" s="23">
        <v>5</v>
      </c>
      <c r="F762" s="24">
        <v>582</v>
      </c>
      <c r="G762" s="23">
        <v>2419</v>
      </c>
      <c r="H762" s="24">
        <v>29.9</v>
      </c>
      <c r="I762" s="24">
        <v>42.8</v>
      </c>
      <c r="J762" s="24">
        <v>19.399999999999999</v>
      </c>
      <c r="K762" s="23">
        <v>0</v>
      </c>
      <c r="L762" s="23">
        <v>1.94</v>
      </c>
      <c r="M762" s="24">
        <v>0</v>
      </c>
      <c r="N762" s="23">
        <v>3.1</v>
      </c>
      <c r="O762" s="25">
        <v>60</v>
      </c>
      <c r="P762" s="25">
        <v>2.7</v>
      </c>
      <c r="Q762" s="23">
        <v>8</v>
      </c>
      <c r="R762" s="25">
        <v>0</v>
      </c>
      <c r="S762" s="23">
        <v>0</v>
      </c>
      <c r="T762" s="23">
        <v>97</v>
      </c>
      <c r="U762" s="23">
        <v>44</v>
      </c>
      <c r="V762" s="23">
        <v>0</v>
      </c>
      <c r="W762" s="23">
        <v>0</v>
      </c>
      <c r="X762" s="23">
        <v>0</v>
      </c>
      <c r="Y762" s="23">
        <v>0</v>
      </c>
      <c r="Z762" s="23">
        <v>0</v>
      </c>
      <c r="AA762" s="25">
        <v>0</v>
      </c>
      <c r="AB762" s="25">
        <v>0</v>
      </c>
      <c r="AC762" s="25">
        <v>0</v>
      </c>
      <c r="AD762" s="23">
        <v>0</v>
      </c>
      <c r="AE762" s="23">
        <v>0</v>
      </c>
      <c r="AF762" s="23">
        <v>0</v>
      </c>
      <c r="AG762" s="23">
        <v>0</v>
      </c>
      <c r="AH762" s="24">
        <v>0</v>
      </c>
      <c r="AI762" s="23">
        <v>100</v>
      </c>
      <c r="AJ762" s="13" t="str">
        <f xml:space="preserve"> IF(AD762&gt;F762,"Exceso en grasa saturada",IFERROR(IF(F762=0,"No tiene sello",IF((AD762*9)*100/F762&gt;10,"Exceso en grasa saturada","No tiene sello")),"No tiene sello"))</f>
        <v>No tiene sello</v>
      </c>
      <c r="AK762" s="13">
        <f>IF(AJ762="No tiene sello",0,1)</f>
        <v>0</v>
      </c>
      <c r="AL762" s="13" t="str">
        <f>IF(Q762&gt;=300,"Exceso en sodio",IFERROR(IF(AND(F762=0,Q762&gt;0),"No tiene sello",IF(Q762/F762&gt;1,"Exceso en sodio","No tiene sello")),"No tiene sello"))</f>
        <v>No tiene sello</v>
      </c>
      <c r="AM762" s="13" t="str">
        <f>IFERROR(IF(F762=0,"No tiene sello",IF(+(AG762/1000)*9*100/F762&gt;1,"Exceso en grasa trans", "No tiene sello")),"No tiene sello")</f>
        <v>No tiene sello</v>
      </c>
    </row>
    <row r="763" spans="1:39" ht="15" customHeight="1" x14ac:dyDescent="0.25">
      <c r="A763" s="26" t="s">
        <v>195</v>
      </c>
      <c r="B763" s="26" t="s">
        <v>196</v>
      </c>
      <c r="C763" s="26" t="s">
        <v>182</v>
      </c>
      <c r="D763" s="47">
        <v>100</v>
      </c>
      <c r="E763" s="28">
        <v>68.900000000000006</v>
      </c>
      <c r="F763" s="24">
        <v>131</v>
      </c>
      <c r="G763" s="28">
        <v>554</v>
      </c>
      <c r="H763" s="24">
        <v>2.2000000000000002</v>
      </c>
      <c r="I763" s="24">
        <v>0.4</v>
      </c>
      <c r="J763" s="24">
        <v>27.6</v>
      </c>
      <c r="K763" s="28">
        <v>23.5</v>
      </c>
      <c r="L763" s="28">
        <v>2.76</v>
      </c>
      <c r="M763" s="24">
        <v>4.0999999999999996</v>
      </c>
      <c r="N763" s="28">
        <v>0.9</v>
      </c>
      <c r="O763" s="25">
        <v>8</v>
      </c>
      <c r="P763" s="25">
        <v>0.7</v>
      </c>
      <c r="Q763" s="28">
        <v>0</v>
      </c>
      <c r="R763" s="25">
        <v>41</v>
      </c>
      <c r="S763" s="28">
        <v>0.2</v>
      </c>
      <c r="T763" s="28">
        <v>0</v>
      </c>
      <c r="U763" s="28">
        <v>0</v>
      </c>
      <c r="V763" s="28">
        <v>0.14000000000000001</v>
      </c>
      <c r="W763" s="28">
        <v>0.03</v>
      </c>
      <c r="X763" s="28">
        <v>0.3</v>
      </c>
      <c r="Y763" s="28">
        <v>0</v>
      </c>
      <c r="Z763" s="28">
        <v>0</v>
      </c>
      <c r="AA763" s="25">
        <v>6</v>
      </c>
      <c r="AB763" s="25">
        <v>7</v>
      </c>
      <c r="AC763" s="25">
        <v>0</v>
      </c>
      <c r="AD763" s="28">
        <v>0</v>
      </c>
      <c r="AE763" s="28">
        <v>0</v>
      </c>
      <c r="AF763" s="28">
        <v>0</v>
      </c>
      <c r="AG763" s="28">
        <v>0</v>
      </c>
      <c r="AH763" s="24">
        <v>0</v>
      </c>
      <c r="AI763" s="28">
        <v>100</v>
      </c>
      <c r="AJ763" s="13" t="str">
        <f xml:space="preserve"> IF(AD763&gt;F763,"Exceso en grasa saturada",IFERROR(IF(F763=0,"No tiene sello",IF((AD763*9)*100/F763&gt;10,"Exceso en grasa saturada","No tiene sello")),"No tiene sello"))</f>
        <v>No tiene sello</v>
      </c>
      <c r="AK763" s="13">
        <f>IF(AJ763="No tiene sello",0,1)</f>
        <v>0</v>
      </c>
      <c r="AL763" s="13" t="str">
        <f>IF(Q763&gt;=300,"Exceso en sodio",IFERROR(IF(AND(F763=0,Q763&gt;0),"No tiene sello",IF(Q763/F763&gt;1,"Exceso en sodio","No tiene sello")),"No tiene sello"))</f>
        <v>No tiene sello</v>
      </c>
      <c r="AM763" s="13" t="str">
        <f>IFERROR(IF(F763=0,"No tiene sello",IF(+(AG763/1000)*9*100/F763&gt;1,"Exceso en grasa trans", "No tiene sello")),"No tiene sello")</f>
        <v>No tiene sello</v>
      </c>
    </row>
    <row r="764" spans="1:39" ht="15" customHeight="1" x14ac:dyDescent="0.25">
      <c r="A764" s="20" t="s">
        <v>193</v>
      </c>
      <c r="B764" s="20" t="s">
        <v>194</v>
      </c>
      <c r="C764" s="20" t="s">
        <v>187</v>
      </c>
      <c r="D764" s="22">
        <v>100</v>
      </c>
      <c r="E764" s="23">
        <v>70.099999999999994</v>
      </c>
      <c r="F764" s="24">
        <v>125</v>
      </c>
      <c r="G764" s="23">
        <v>530</v>
      </c>
      <c r="H764" s="24">
        <v>1.5</v>
      </c>
      <c r="I764" s="24">
        <v>0.1</v>
      </c>
      <c r="J764" s="24">
        <v>27.6</v>
      </c>
      <c r="K764" s="23">
        <v>23.7</v>
      </c>
      <c r="L764" s="23">
        <v>2.76</v>
      </c>
      <c r="M764" s="24">
        <v>3.9</v>
      </c>
      <c r="N764" s="23">
        <v>0.7</v>
      </c>
      <c r="O764" s="25">
        <v>14</v>
      </c>
      <c r="P764" s="25">
        <v>0.5</v>
      </c>
      <c r="Q764" s="23">
        <v>8</v>
      </c>
      <c r="R764" s="25">
        <v>49</v>
      </c>
      <c r="S764" s="23">
        <v>0.2</v>
      </c>
      <c r="T764" s="23">
        <v>18</v>
      </c>
      <c r="U764" s="23">
        <v>670</v>
      </c>
      <c r="V764" s="23">
        <v>0.09</v>
      </c>
      <c r="W764" s="23">
        <v>0.02</v>
      </c>
      <c r="X764" s="23">
        <v>0.6</v>
      </c>
      <c r="Y764" s="23">
        <v>16</v>
      </c>
      <c r="Z764" s="23">
        <v>0</v>
      </c>
      <c r="AA764" s="25">
        <v>12</v>
      </c>
      <c r="AB764" s="25">
        <v>0</v>
      </c>
      <c r="AC764" s="25">
        <v>0</v>
      </c>
      <c r="AD764" s="23">
        <v>0</v>
      </c>
      <c r="AE764" s="23">
        <v>0</v>
      </c>
      <c r="AF764" s="23">
        <v>0</v>
      </c>
      <c r="AG764" s="23">
        <v>0</v>
      </c>
      <c r="AH764" s="24">
        <v>0</v>
      </c>
      <c r="AI764" s="23">
        <v>100</v>
      </c>
      <c r="AJ764" s="13" t="str">
        <f xml:space="preserve"> IF(AD764&gt;F764,"Exceso en grasa saturada",IFERROR(IF(F764=0,"No tiene sello",IF((AD764*9)*100/F764&gt;10,"Exceso en grasa saturada","No tiene sello")),"No tiene sello"))</f>
        <v>No tiene sello</v>
      </c>
      <c r="AK764" s="13">
        <f>IF(AJ764="No tiene sello",0,1)</f>
        <v>0</v>
      </c>
      <c r="AL764" s="13" t="str">
        <f>IF(Q764&gt;=300,"Exceso en sodio",IFERROR(IF(AND(F764=0,Q764&gt;0),"No tiene sello",IF(Q764/F764&gt;1,"Exceso en sodio","No tiene sello")),"No tiene sello"))</f>
        <v>No tiene sello</v>
      </c>
      <c r="AM764" s="13" t="str">
        <f>IFERROR(IF(F764=0,"No tiene sello",IF(+(AG764/1000)*9*100/F764&gt;1,"Exceso en grasa trans", "No tiene sello")),"No tiene sello")</f>
        <v>No tiene sello</v>
      </c>
    </row>
    <row r="765" spans="1:39" ht="15" customHeight="1" x14ac:dyDescent="0.25">
      <c r="A765" s="26" t="s">
        <v>191</v>
      </c>
      <c r="B765" s="26" t="s">
        <v>192</v>
      </c>
      <c r="C765" s="26" t="s">
        <v>187</v>
      </c>
      <c r="D765" s="47">
        <v>100</v>
      </c>
      <c r="E765" s="28">
        <v>71.099999999999994</v>
      </c>
      <c r="F765" s="24">
        <v>121</v>
      </c>
      <c r="G765" s="28">
        <v>512</v>
      </c>
      <c r="H765" s="24">
        <v>2</v>
      </c>
      <c r="I765" s="24">
        <v>0.2</v>
      </c>
      <c r="J765" s="24">
        <v>25.9</v>
      </c>
      <c r="K765" s="28">
        <v>21.8</v>
      </c>
      <c r="L765" s="28">
        <v>2.59</v>
      </c>
      <c r="M765" s="24">
        <v>4.0999999999999996</v>
      </c>
      <c r="N765" s="28">
        <v>0.9</v>
      </c>
      <c r="O765" s="25">
        <v>16</v>
      </c>
      <c r="P765" s="25">
        <v>0.5</v>
      </c>
      <c r="Q765" s="28">
        <v>9</v>
      </c>
      <c r="R765" s="25">
        <v>55</v>
      </c>
      <c r="S765" s="28">
        <v>0.2</v>
      </c>
      <c r="T765" s="28">
        <v>21</v>
      </c>
      <c r="U765" s="28">
        <v>816</v>
      </c>
      <c r="V765" s="28">
        <v>0.12</v>
      </c>
      <c r="W765" s="28">
        <v>0.03</v>
      </c>
      <c r="X765" s="28">
        <v>0.6</v>
      </c>
      <c r="Y765" s="28">
        <v>23</v>
      </c>
      <c r="Z765" s="28">
        <v>0</v>
      </c>
      <c r="AA765" s="25">
        <v>13</v>
      </c>
      <c r="AB765" s="25">
        <v>7</v>
      </c>
      <c r="AC765" s="25">
        <v>0</v>
      </c>
      <c r="AD765" s="28">
        <v>0</v>
      </c>
      <c r="AE765" s="28">
        <v>0</v>
      </c>
      <c r="AF765" s="28">
        <v>0</v>
      </c>
      <c r="AG765" s="28">
        <v>0</v>
      </c>
      <c r="AH765" s="24">
        <v>0</v>
      </c>
      <c r="AI765" s="28">
        <v>85</v>
      </c>
      <c r="AJ765" s="13" t="str">
        <f xml:space="preserve"> IF(AD765&gt;F765,"Exceso en grasa saturada",IFERROR(IF(F765=0,"No tiene sello",IF((AD765*9)*100/F765&gt;10,"Exceso en grasa saturada","No tiene sello")),"No tiene sello"))</f>
        <v>No tiene sello</v>
      </c>
      <c r="AK765" s="13">
        <f>IF(AJ765="No tiene sello",0,1)</f>
        <v>0</v>
      </c>
      <c r="AL765" s="13" t="str">
        <f>IF(Q765&gt;=300,"Exceso en sodio",IFERROR(IF(AND(F765=0,Q765&gt;0),"No tiene sello",IF(Q765/F765&gt;1,"Exceso en sodio","No tiene sello")),"No tiene sello"))</f>
        <v>No tiene sello</v>
      </c>
      <c r="AM765" s="13" t="str">
        <f>IFERROR(IF(F765=0,"No tiene sello",IF(+(AG765/1000)*9*100/F765&gt;1,"Exceso en grasa trans", "No tiene sello")),"No tiene sello")</f>
        <v>No tiene sello</v>
      </c>
    </row>
    <row r="766" spans="1:39" ht="15" customHeight="1" x14ac:dyDescent="0.25">
      <c r="A766" s="20" t="s">
        <v>189</v>
      </c>
      <c r="B766" s="20" t="s">
        <v>190</v>
      </c>
      <c r="C766" s="20" t="s">
        <v>182</v>
      </c>
      <c r="D766" s="22">
        <v>100</v>
      </c>
      <c r="E766" s="23">
        <v>84.5</v>
      </c>
      <c r="F766" s="24">
        <v>77</v>
      </c>
      <c r="G766" s="23">
        <v>322</v>
      </c>
      <c r="H766" s="24">
        <v>1.1000000000000001</v>
      </c>
      <c r="I766" s="24">
        <v>0.1</v>
      </c>
      <c r="J766" s="24">
        <v>13.3</v>
      </c>
      <c r="K766" s="23">
        <v>4.0999999999999996</v>
      </c>
      <c r="L766" s="23">
        <v>1.33</v>
      </c>
      <c r="M766" s="24">
        <v>9.1999999999999993</v>
      </c>
      <c r="N766" s="23">
        <v>0.9</v>
      </c>
      <c r="O766" s="25">
        <v>8</v>
      </c>
      <c r="P766" s="25">
        <v>0.9</v>
      </c>
      <c r="Q766" s="23">
        <v>0</v>
      </c>
      <c r="R766" s="25">
        <v>42</v>
      </c>
      <c r="S766" s="23">
        <v>0</v>
      </c>
      <c r="T766" s="23">
        <v>0</v>
      </c>
      <c r="U766" s="23">
        <v>0</v>
      </c>
      <c r="V766" s="23">
        <v>0.04</v>
      </c>
      <c r="W766" s="23">
        <v>0.03</v>
      </c>
      <c r="X766" s="23">
        <v>0.4</v>
      </c>
      <c r="Y766" s="23">
        <v>0</v>
      </c>
      <c r="Z766" s="23">
        <v>0</v>
      </c>
      <c r="AA766" s="25">
        <v>31</v>
      </c>
      <c r="AB766" s="25">
        <v>3</v>
      </c>
      <c r="AC766" s="25">
        <v>0</v>
      </c>
      <c r="AD766" s="23">
        <v>0</v>
      </c>
      <c r="AE766" s="23">
        <v>0</v>
      </c>
      <c r="AF766" s="23">
        <v>0</v>
      </c>
      <c r="AG766" s="23">
        <v>0</v>
      </c>
      <c r="AH766" s="24">
        <v>0</v>
      </c>
      <c r="AI766" s="23">
        <v>100</v>
      </c>
      <c r="AJ766" s="13" t="str">
        <f xml:space="preserve"> IF(AD766&gt;F766,"Exceso en grasa saturada",IFERROR(IF(F766=0,"No tiene sello",IF((AD766*9)*100/F766&gt;10,"Exceso en grasa saturada","No tiene sello")),"No tiene sello"))</f>
        <v>No tiene sello</v>
      </c>
      <c r="AK766" s="13">
        <f>IF(AJ766="No tiene sello",0,1)</f>
        <v>0</v>
      </c>
      <c r="AL766" s="13" t="str">
        <f>IF(Q766&gt;=300,"Exceso en sodio",IFERROR(IF(AND(F766=0,Q766&gt;0),"No tiene sello",IF(Q766/F766&gt;1,"Exceso en sodio","No tiene sello")),"No tiene sello"))</f>
        <v>No tiene sello</v>
      </c>
      <c r="AM766" s="13" t="str">
        <f>IFERROR(IF(F766=0,"No tiene sello",IF(+(AG766/1000)*9*100/F766&gt;1,"Exceso en grasa trans", "No tiene sello")),"No tiene sello")</f>
        <v>No tiene sello</v>
      </c>
    </row>
    <row r="767" spans="1:39" ht="15" customHeight="1" x14ac:dyDescent="0.25">
      <c r="A767" s="26" t="s">
        <v>186</v>
      </c>
      <c r="B767" s="26" t="s">
        <v>188</v>
      </c>
      <c r="C767" s="26" t="s">
        <v>187</v>
      </c>
      <c r="D767" s="47">
        <v>100</v>
      </c>
      <c r="E767" s="28">
        <v>87.2</v>
      </c>
      <c r="F767" s="24">
        <v>52</v>
      </c>
      <c r="G767" s="28">
        <v>220</v>
      </c>
      <c r="H767" s="24">
        <v>1.4</v>
      </c>
      <c r="I767" s="24">
        <v>0.4</v>
      </c>
      <c r="J767" s="24">
        <v>10.7</v>
      </c>
      <c r="K767" s="28">
        <v>0</v>
      </c>
      <c r="L767" s="28">
        <v>1.07</v>
      </c>
      <c r="M767" s="24">
        <v>0</v>
      </c>
      <c r="N767" s="28">
        <v>0.3</v>
      </c>
      <c r="O767" s="25">
        <v>0</v>
      </c>
      <c r="P767" s="25">
        <v>0</v>
      </c>
      <c r="Q767" s="28">
        <v>7</v>
      </c>
      <c r="R767" s="25">
        <v>0</v>
      </c>
      <c r="S767" s="28">
        <v>0.1</v>
      </c>
      <c r="T767" s="28">
        <v>0</v>
      </c>
      <c r="U767" s="28">
        <v>0</v>
      </c>
      <c r="V767" s="28">
        <v>0</v>
      </c>
      <c r="W767" s="28">
        <v>0</v>
      </c>
      <c r="X767" s="28">
        <v>0</v>
      </c>
      <c r="Y767" s="28">
        <v>0</v>
      </c>
      <c r="Z767" s="28">
        <v>0</v>
      </c>
      <c r="AA767" s="25">
        <v>382</v>
      </c>
      <c r="AB767" s="25">
        <v>0</v>
      </c>
      <c r="AC767" s="25">
        <v>0</v>
      </c>
      <c r="AD767" s="28">
        <v>0</v>
      </c>
      <c r="AE767" s="28">
        <v>0</v>
      </c>
      <c r="AF767" s="28">
        <v>0</v>
      </c>
      <c r="AG767" s="28">
        <v>0</v>
      </c>
      <c r="AH767" s="24">
        <v>0</v>
      </c>
      <c r="AI767" s="28">
        <v>95</v>
      </c>
      <c r="AJ767" s="13" t="str">
        <f xml:space="preserve"> IF(AD767&gt;F767,"Exceso en grasa saturada",IFERROR(IF(F767=0,"No tiene sello",IF((AD767*9)*100/F767&gt;10,"Exceso en grasa saturada","No tiene sello")),"No tiene sello"))</f>
        <v>No tiene sello</v>
      </c>
      <c r="AK767" s="13">
        <f>IF(AJ767="No tiene sello",0,1)</f>
        <v>0</v>
      </c>
      <c r="AL767" s="13" t="str">
        <f>IF(Q767&gt;=300,"Exceso en sodio",IFERROR(IF(AND(F767=0,Q767&gt;0),"No tiene sello",IF(Q767/F767&gt;1,"Exceso en sodio","No tiene sello")),"No tiene sello"))</f>
        <v>No tiene sello</v>
      </c>
      <c r="AM767" s="13" t="str">
        <f>IFERROR(IF(F767=0,"No tiene sello",IF(+(AG767/1000)*9*100/F767&gt;1,"Exceso en grasa trans", "No tiene sello")),"No tiene sello")</f>
        <v>No tiene sello</v>
      </c>
    </row>
    <row r="768" spans="1:39" ht="15" customHeight="1" x14ac:dyDescent="0.25">
      <c r="A768" s="20" t="s">
        <v>184</v>
      </c>
      <c r="B768" s="20" t="s">
        <v>185</v>
      </c>
      <c r="C768" s="20" t="s">
        <v>182</v>
      </c>
      <c r="D768" s="22">
        <v>100</v>
      </c>
      <c r="E768" s="23">
        <v>87.7</v>
      </c>
      <c r="F768" s="24">
        <v>50</v>
      </c>
      <c r="G768" s="23">
        <v>211</v>
      </c>
      <c r="H768" s="24">
        <v>1.4</v>
      </c>
      <c r="I768" s="24">
        <v>0.5</v>
      </c>
      <c r="J768" s="24">
        <v>9.6999999999999993</v>
      </c>
      <c r="K768" s="23">
        <v>9.4</v>
      </c>
      <c r="L768" s="23">
        <v>0.97</v>
      </c>
      <c r="M768" s="24">
        <v>0.3</v>
      </c>
      <c r="N768" s="23">
        <v>0.6</v>
      </c>
      <c r="O768" s="25">
        <v>15</v>
      </c>
      <c r="P768" s="25">
        <v>0.7</v>
      </c>
      <c r="Q768" s="23">
        <v>0</v>
      </c>
      <c r="R768" s="25">
        <v>57</v>
      </c>
      <c r="S768" s="23">
        <v>0</v>
      </c>
      <c r="T768" s="23">
        <v>0</v>
      </c>
      <c r="U768" s="23">
        <v>577</v>
      </c>
      <c r="V768" s="23">
        <v>0.04</v>
      </c>
      <c r="W768" s="23">
        <v>0.03</v>
      </c>
      <c r="X768" s="23">
        <v>0.4</v>
      </c>
      <c r="Y768" s="23">
        <v>0</v>
      </c>
      <c r="Z768" s="23">
        <v>0</v>
      </c>
      <c r="AA768" s="25">
        <v>20</v>
      </c>
      <c r="AB768" s="25">
        <v>0</v>
      </c>
      <c r="AC768" s="25">
        <v>0</v>
      </c>
      <c r="AD768" s="23">
        <v>0</v>
      </c>
      <c r="AE768" s="23">
        <v>0</v>
      </c>
      <c r="AF768" s="23">
        <v>0</v>
      </c>
      <c r="AG768" s="23">
        <v>0</v>
      </c>
      <c r="AH768" s="24">
        <v>0</v>
      </c>
      <c r="AI768" s="23">
        <v>100</v>
      </c>
      <c r="AJ768" s="13" t="str">
        <f xml:space="preserve"> IF(AD768&gt;F768,"Exceso en grasa saturada",IFERROR(IF(F768=0,"No tiene sello",IF((AD768*9)*100/F768&gt;10,"Exceso en grasa saturada","No tiene sello")),"No tiene sello"))</f>
        <v>No tiene sello</v>
      </c>
      <c r="AK768" s="13">
        <f>IF(AJ768="No tiene sello",0,1)</f>
        <v>0</v>
      </c>
      <c r="AL768" s="13" t="str">
        <f>IF(Q768&gt;=300,"Exceso en sodio",IFERROR(IF(AND(F768=0,Q768&gt;0),"No tiene sello",IF(Q768/F768&gt;1,"Exceso en sodio","No tiene sello")),"No tiene sello"))</f>
        <v>No tiene sello</v>
      </c>
      <c r="AM768" s="13" t="str">
        <f>IFERROR(IF(F768=0,"No tiene sello",IF(+(AG768/1000)*9*100/F768&gt;1,"Exceso en grasa trans", "No tiene sello")),"No tiene sello")</f>
        <v>No tiene sello</v>
      </c>
    </row>
    <row r="769" spans="1:39" ht="15" customHeight="1" x14ac:dyDescent="0.25">
      <c r="A769" s="26" t="s">
        <v>181</v>
      </c>
      <c r="B769" s="26" t="s">
        <v>183</v>
      </c>
      <c r="C769" s="26" t="s">
        <v>182</v>
      </c>
      <c r="D769" s="47">
        <v>100</v>
      </c>
      <c r="E769" s="28">
        <v>84.1</v>
      </c>
      <c r="F769" s="24">
        <v>60</v>
      </c>
      <c r="G769" s="28">
        <v>257</v>
      </c>
      <c r="H769" s="24">
        <v>1.5</v>
      </c>
      <c r="I769" s="24">
        <v>0</v>
      </c>
      <c r="J769" s="24">
        <v>13.6</v>
      </c>
      <c r="K769" s="28">
        <v>0</v>
      </c>
      <c r="L769" s="28">
        <v>1.36</v>
      </c>
      <c r="M769" s="24">
        <v>0</v>
      </c>
      <c r="N769" s="28">
        <v>0.8</v>
      </c>
      <c r="O769" s="25">
        <v>3</v>
      </c>
      <c r="P769" s="25">
        <v>1.1000000000000001</v>
      </c>
      <c r="Q769" s="28">
        <v>11</v>
      </c>
      <c r="R769" s="25">
        <v>28</v>
      </c>
      <c r="S769" s="28">
        <v>0.3</v>
      </c>
      <c r="T769" s="28">
        <v>0</v>
      </c>
      <c r="U769" s="28">
        <v>0</v>
      </c>
      <c r="V769" s="28">
        <v>0.05</v>
      </c>
      <c r="W769" s="28">
        <v>0.03</v>
      </c>
      <c r="X769" s="28">
        <v>0.2</v>
      </c>
      <c r="Y769" s="28">
        <v>0</v>
      </c>
      <c r="Z769" s="28">
        <v>0</v>
      </c>
      <c r="AA769" s="25">
        <v>11</v>
      </c>
      <c r="AB769" s="25">
        <v>0</v>
      </c>
      <c r="AC769" s="25">
        <v>0</v>
      </c>
      <c r="AD769" s="28">
        <v>0</v>
      </c>
      <c r="AE769" s="28">
        <v>0</v>
      </c>
      <c r="AF769" s="28">
        <v>0</v>
      </c>
      <c r="AG769" s="28">
        <v>0</v>
      </c>
      <c r="AH769" s="24">
        <v>0</v>
      </c>
      <c r="AI769" s="28">
        <v>85</v>
      </c>
      <c r="AJ769" s="13" t="str">
        <f xml:space="preserve"> IF(AD769&gt;F769,"Exceso en grasa saturada",IFERROR(IF(F769=0,"No tiene sello",IF((AD769*9)*100/F769&gt;10,"Exceso en grasa saturada","No tiene sello")),"No tiene sello"))</f>
        <v>No tiene sello</v>
      </c>
      <c r="AK769" s="13">
        <f>IF(AJ769="No tiene sello",0,1)</f>
        <v>0</v>
      </c>
      <c r="AL769" s="13" t="str">
        <f>IF(Q769&gt;=300,"Exceso en sodio",IFERROR(IF(AND(F769=0,Q769&gt;0),"No tiene sello",IF(Q769/F769&gt;1,"Exceso en sodio","No tiene sello")),"No tiene sello"))</f>
        <v>No tiene sello</v>
      </c>
      <c r="AM769" s="13" t="str">
        <f>IFERROR(IF(F769=0,"No tiene sello",IF(+(AG769/1000)*9*100/F769&gt;1,"Exceso en grasa trans", "No tiene sello")),"No tiene sello")</f>
        <v>No tiene sello</v>
      </c>
    </row>
    <row r="770" spans="1:39" ht="15" customHeight="1" x14ac:dyDescent="0.25">
      <c r="A770" s="20" t="s">
        <v>178</v>
      </c>
      <c r="B770" s="20" t="s">
        <v>180</v>
      </c>
      <c r="C770" s="20" t="s">
        <v>179</v>
      </c>
      <c r="D770" s="22">
        <v>100</v>
      </c>
      <c r="E770" s="23">
        <v>87.7</v>
      </c>
      <c r="F770" s="24">
        <v>60</v>
      </c>
      <c r="G770" s="23">
        <v>253</v>
      </c>
      <c r="H770" s="24">
        <v>0.7</v>
      </c>
      <c r="I770" s="24">
        <v>0</v>
      </c>
      <c r="J770" s="24">
        <v>10.8</v>
      </c>
      <c r="K770" s="23">
        <v>3.9</v>
      </c>
      <c r="L770" s="23">
        <v>1.08</v>
      </c>
      <c r="M770" s="24">
        <v>6.9</v>
      </c>
      <c r="N770" s="23">
        <v>0.8</v>
      </c>
      <c r="O770" s="25">
        <v>144</v>
      </c>
      <c r="P770" s="25">
        <v>0.2</v>
      </c>
      <c r="Q770" s="23">
        <v>4</v>
      </c>
      <c r="R770" s="25">
        <v>71</v>
      </c>
      <c r="S770" s="23">
        <v>0.3</v>
      </c>
      <c r="T770" s="23">
        <v>57</v>
      </c>
      <c r="U770" s="23">
        <v>137</v>
      </c>
      <c r="V770" s="23">
        <v>0.01</v>
      </c>
      <c r="W770" s="23">
        <v>0.16</v>
      </c>
      <c r="X770" s="23">
        <v>0.4</v>
      </c>
      <c r="Y770" s="23">
        <v>14</v>
      </c>
      <c r="Z770" s="23">
        <v>0</v>
      </c>
      <c r="AA770" s="25">
        <v>0</v>
      </c>
      <c r="AB770" s="25">
        <v>101</v>
      </c>
      <c r="AC770" s="25">
        <v>0</v>
      </c>
      <c r="AD770" s="23">
        <v>0</v>
      </c>
      <c r="AE770" s="23">
        <v>0</v>
      </c>
      <c r="AF770" s="23">
        <v>0</v>
      </c>
      <c r="AG770" s="23">
        <v>0</v>
      </c>
      <c r="AH770" s="24">
        <v>0</v>
      </c>
      <c r="AI770" s="23"/>
      <c r="AJ770" s="13" t="str">
        <f xml:space="preserve"> IF(AD770&gt;F770,"Exceso en grasa saturada",IFERROR(IF(F770=0,"No tiene sello",IF((AD770*9)*100/F770&gt;10,"Exceso en grasa saturada","No tiene sello")),"No tiene sello"))</f>
        <v>No tiene sello</v>
      </c>
      <c r="AK770" s="13">
        <f>IF(AJ770="No tiene sello",0,1)</f>
        <v>0</v>
      </c>
      <c r="AL770" s="13" t="str">
        <f>IF(Q770&gt;=300,"Exceso en sodio",IFERROR(IF(AND(F770=0,Q770&gt;0),"No tiene sello",IF(Q770/F770&gt;1,"Exceso en sodio","No tiene sello")),"No tiene sello"))</f>
        <v>No tiene sello</v>
      </c>
      <c r="AM770" s="13" t="str">
        <f>IFERROR(IF(F770=0,"No tiene sello",IF(+(AG770/1000)*9*100/F770&gt;1,"Exceso en grasa trans", "No tiene sello")),"No tiene sello")</f>
        <v>No tiene sello</v>
      </c>
    </row>
    <row r="771" spans="1:39" ht="15" customHeight="1" x14ac:dyDescent="0.25">
      <c r="A771" s="26" t="s">
        <v>175</v>
      </c>
      <c r="B771" s="26" t="s">
        <v>177</v>
      </c>
      <c r="C771" s="26" t="s">
        <v>176</v>
      </c>
      <c r="D771" s="47">
        <v>100</v>
      </c>
      <c r="E771" s="28">
        <v>90.5</v>
      </c>
      <c r="F771" s="24">
        <v>42</v>
      </c>
      <c r="G771" s="28">
        <v>176</v>
      </c>
      <c r="H771" s="24">
        <v>3.4</v>
      </c>
      <c r="I771" s="24">
        <v>2</v>
      </c>
      <c r="J771" s="24">
        <v>2.6</v>
      </c>
      <c r="K771" s="28">
        <v>0</v>
      </c>
      <c r="L771" s="28">
        <v>0.26</v>
      </c>
      <c r="M771" s="24">
        <v>0</v>
      </c>
      <c r="N771" s="28">
        <v>1.5</v>
      </c>
      <c r="O771" s="25">
        <v>100</v>
      </c>
      <c r="P771" s="25">
        <v>1</v>
      </c>
      <c r="Q771" s="28">
        <v>0</v>
      </c>
      <c r="R771" s="25">
        <v>100</v>
      </c>
      <c r="S771" s="28">
        <v>0</v>
      </c>
      <c r="T771" s="28">
        <v>0</v>
      </c>
      <c r="U771" s="28">
        <v>0</v>
      </c>
      <c r="V771" s="28">
        <v>0.04</v>
      </c>
      <c r="W771" s="28">
        <v>0.1</v>
      </c>
      <c r="X771" s="28">
        <v>0.4</v>
      </c>
      <c r="Y771" s="28">
        <v>0</v>
      </c>
      <c r="Z771" s="28">
        <v>0</v>
      </c>
      <c r="AA771" s="25">
        <v>1</v>
      </c>
      <c r="AB771" s="25">
        <v>0</v>
      </c>
      <c r="AC771" s="25">
        <v>0</v>
      </c>
      <c r="AD771" s="28">
        <v>0</v>
      </c>
      <c r="AE771" s="28">
        <v>0</v>
      </c>
      <c r="AF771" s="28">
        <v>0</v>
      </c>
      <c r="AG771" s="28">
        <v>0</v>
      </c>
      <c r="AH771" s="24">
        <v>0</v>
      </c>
      <c r="AI771" s="28">
        <v>90</v>
      </c>
      <c r="AJ771" s="13" t="str">
        <f xml:space="preserve"> IF(AD771&gt;F771,"Exceso en grasa saturada",IFERROR(IF(F771=0,"No tiene sello",IF((AD771*9)*100/F771&gt;10,"Exceso en grasa saturada","No tiene sello")),"No tiene sello"))</f>
        <v>No tiene sello</v>
      </c>
      <c r="AK771" s="13">
        <f>IF(AJ771="No tiene sello",0,1)</f>
        <v>0</v>
      </c>
      <c r="AL771" s="13" t="str">
        <f>IF(Q771&gt;=300,"Exceso en sodio",IFERROR(IF(AND(F771=0,Q771&gt;0),"No tiene sello",IF(Q771/F771&gt;1,"Exceso en sodio","No tiene sello")),"No tiene sello"))</f>
        <v>No tiene sello</v>
      </c>
      <c r="AM771" s="13" t="str">
        <f>IFERROR(IF(F771=0,"No tiene sello",IF(+(AG771/1000)*9*100/F771&gt;1,"Exceso en grasa trans", "No tiene sello")),"No tiene sello")</f>
        <v>No tiene sello</v>
      </c>
    </row>
    <row r="772" spans="1:39" ht="15" customHeight="1" x14ac:dyDescent="0.25">
      <c r="A772" s="20" t="s">
        <v>173</v>
      </c>
      <c r="B772" s="20" t="s">
        <v>174</v>
      </c>
      <c r="C772" s="20" t="s">
        <v>154</v>
      </c>
      <c r="D772" s="22">
        <v>100</v>
      </c>
      <c r="E772" s="23">
        <v>95.8</v>
      </c>
      <c r="F772" s="24">
        <v>17</v>
      </c>
      <c r="G772" s="23">
        <v>72</v>
      </c>
      <c r="H772" s="24">
        <v>0.8</v>
      </c>
      <c r="I772" s="24">
        <v>0.1</v>
      </c>
      <c r="J772" s="24">
        <v>2.9</v>
      </c>
      <c r="K772" s="23">
        <v>2.2000000000000002</v>
      </c>
      <c r="L772" s="23">
        <v>0.28999999999999998</v>
      </c>
      <c r="M772" s="24">
        <v>0.7</v>
      </c>
      <c r="N772" s="23">
        <v>0.4</v>
      </c>
      <c r="O772" s="25">
        <v>18</v>
      </c>
      <c r="P772" s="25">
        <v>0.3</v>
      </c>
      <c r="Q772" s="23">
        <v>38</v>
      </c>
      <c r="R772" s="25">
        <v>30</v>
      </c>
      <c r="S772" s="23">
        <v>0</v>
      </c>
      <c r="T772" s="23">
        <v>0</v>
      </c>
      <c r="U772" s="23">
        <v>0</v>
      </c>
      <c r="V772" s="23">
        <v>0.02</v>
      </c>
      <c r="W772" s="23">
        <v>0.03</v>
      </c>
      <c r="X772" s="23">
        <v>0.2</v>
      </c>
      <c r="Y772" s="23">
        <v>0</v>
      </c>
      <c r="Z772" s="23">
        <v>0</v>
      </c>
      <c r="AA772" s="25">
        <v>11</v>
      </c>
      <c r="AB772" s="25">
        <v>35</v>
      </c>
      <c r="AC772" s="25">
        <v>0</v>
      </c>
      <c r="AD772" s="23">
        <v>0</v>
      </c>
      <c r="AE772" s="23">
        <v>0</v>
      </c>
      <c r="AF772" s="23">
        <v>0</v>
      </c>
      <c r="AG772" s="23">
        <v>0</v>
      </c>
      <c r="AH772" s="24">
        <v>0</v>
      </c>
      <c r="AI772" s="23"/>
      <c r="AJ772" s="13" t="str">
        <f xml:space="preserve"> IF(AD772&gt;F772,"Exceso en grasa saturada",IFERROR(IF(F772=0,"No tiene sello",IF((AD772*9)*100/F772&gt;10,"Exceso en grasa saturada","No tiene sello")),"No tiene sello"))</f>
        <v>No tiene sello</v>
      </c>
      <c r="AK772" s="13">
        <f>IF(AJ772="No tiene sello",0,1)</f>
        <v>0</v>
      </c>
      <c r="AL772" s="13" t="str">
        <f>IF(Q772&gt;=300,"Exceso en sodio",IFERROR(IF(AND(F772=0,Q772&gt;0),"No tiene sello",IF(Q772/F772&gt;1,"Exceso en sodio","No tiene sello")),"No tiene sello"))</f>
        <v>Exceso en sodio</v>
      </c>
      <c r="AM772" s="13" t="str">
        <f>IFERROR(IF(F772=0,"No tiene sello",IF(+(AG772/1000)*9*100/F772&gt;1,"Exceso en grasa trans", "No tiene sello")),"No tiene sello")</f>
        <v>No tiene sello</v>
      </c>
    </row>
    <row r="773" spans="1:39" ht="15" customHeight="1" x14ac:dyDescent="0.25">
      <c r="A773" s="26" t="s">
        <v>171</v>
      </c>
      <c r="B773" s="26" t="s">
        <v>172</v>
      </c>
      <c r="C773" s="27"/>
      <c r="D773" s="47">
        <v>100</v>
      </c>
      <c r="E773" s="28">
        <v>67.900000000000006</v>
      </c>
      <c r="F773" s="24">
        <v>124</v>
      </c>
      <c r="G773" s="28">
        <v>528</v>
      </c>
      <c r="H773" s="24">
        <v>2.2999999999999998</v>
      </c>
      <c r="I773" s="24">
        <v>0.1</v>
      </c>
      <c r="J773" s="24">
        <v>28.5</v>
      </c>
      <c r="K773" s="28">
        <v>0</v>
      </c>
      <c r="L773" s="28">
        <v>2.85</v>
      </c>
      <c r="M773" s="24">
        <v>0</v>
      </c>
      <c r="N773" s="28">
        <v>1.2</v>
      </c>
      <c r="O773" s="25">
        <v>15</v>
      </c>
      <c r="P773" s="25">
        <v>3.5</v>
      </c>
      <c r="Q773" s="28">
        <v>15</v>
      </c>
      <c r="R773" s="25">
        <v>36</v>
      </c>
      <c r="S773" s="28">
        <v>0</v>
      </c>
      <c r="T773" s="28">
        <v>0</v>
      </c>
      <c r="U773" s="28">
        <v>0</v>
      </c>
      <c r="V773" s="28">
        <v>0</v>
      </c>
      <c r="W773" s="28">
        <v>0</v>
      </c>
      <c r="X773" s="28">
        <v>0</v>
      </c>
      <c r="Y773" s="28">
        <v>0</v>
      </c>
      <c r="Z773" s="28">
        <v>0</v>
      </c>
      <c r="AA773" s="25">
        <v>0</v>
      </c>
      <c r="AB773" s="25">
        <v>0</v>
      </c>
      <c r="AC773" s="25">
        <v>0</v>
      </c>
      <c r="AD773" s="28">
        <v>0</v>
      </c>
      <c r="AE773" s="28">
        <v>0</v>
      </c>
      <c r="AF773" s="28">
        <v>0</v>
      </c>
      <c r="AG773" s="28">
        <v>0</v>
      </c>
      <c r="AH773" s="24">
        <v>0</v>
      </c>
      <c r="AI773" s="28"/>
      <c r="AJ773" s="13" t="str">
        <f xml:space="preserve"> IF(AD773&gt;F773,"Exceso en grasa saturada",IFERROR(IF(F773=0,"No tiene sello",IF((AD773*9)*100/F773&gt;10,"Exceso en grasa saturada","No tiene sello")),"No tiene sello"))</f>
        <v>No tiene sello</v>
      </c>
      <c r="AK773" s="13">
        <f>IF(AJ773="No tiene sello",0,1)</f>
        <v>0</v>
      </c>
      <c r="AL773" s="13" t="str">
        <f>IF(Q773&gt;=300,"Exceso en sodio",IFERROR(IF(AND(F773=0,Q773&gt;0),"No tiene sello",IF(Q773/F773&gt;1,"Exceso en sodio","No tiene sello")),"No tiene sello"))</f>
        <v>No tiene sello</v>
      </c>
      <c r="AM773" s="13" t="str">
        <f>IFERROR(IF(F773=0,"No tiene sello",IF(+(AG773/1000)*9*100/F773&gt;1,"Exceso en grasa trans", "No tiene sello")),"No tiene sello")</f>
        <v>No tiene sello</v>
      </c>
    </row>
    <row r="774" spans="1:39" ht="15" customHeight="1" x14ac:dyDescent="0.25">
      <c r="A774" s="20" t="s">
        <v>169</v>
      </c>
      <c r="B774" s="20" t="s">
        <v>170</v>
      </c>
      <c r="C774" s="20" t="s">
        <v>143</v>
      </c>
      <c r="D774" s="22">
        <v>100</v>
      </c>
      <c r="E774" s="23">
        <v>87.1</v>
      </c>
      <c r="F774" s="24">
        <v>54</v>
      </c>
      <c r="G774" s="23">
        <v>229</v>
      </c>
      <c r="H774" s="24">
        <v>0.5</v>
      </c>
      <c r="I774" s="24">
        <v>0.2</v>
      </c>
      <c r="J774" s="24">
        <v>12</v>
      </c>
      <c r="K774" s="23">
        <v>10.7</v>
      </c>
      <c r="L774" s="23">
        <v>8.4</v>
      </c>
      <c r="M774" s="24">
        <v>1.3</v>
      </c>
      <c r="N774" s="23">
        <v>0.3</v>
      </c>
      <c r="O774" s="25">
        <v>134</v>
      </c>
      <c r="P774" s="25">
        <v>6</v>
      </c>
      <c r="Q774" s="23">
        <v>2</v>
      </c>
      <c r="R774" s="25">
        <v>1</v>
      </c>
      <c r="S774" s="23">
        <v>0.1</v>
      </c>
      <c r="T774" s="23">
        <v>13</v>
      </c>
      <c r="U774" s="23">
        <v>2445</v>
      </c>
      <c r="V774" s="23">
        <v>7.0000000000000007E-2</v>
      </c>
      <c r="W774" s="23">
        <v>0.03</v>
      </c>
      <c r="X774" s="23">
        <v>0.4</v>
      </c>
      <c r="Y774" s="23">
        <v>11</v>
      </c>
      <c r="Z774" s="23">
        <v>0</v>
      </c>
      <c r="AA774" s="25">
        <v>14</v>
      </c>
      <c r="AB774" s="25">
        <v>3</v>
      </c>
      <c r="AC774" s="25">
        <v>0</v>
      </c>
      <c r="AD774" s="23">
        <v>0</v>
      </c>
      <c r="AE774" s="23">
        <v>0</v>
      </c>
      <c r="AF774" s="23">
        <v>0</v>
      </c>
      <c r="AG774" s="23">
        <v>0</v>
      </c>
      <c r="AH774" s="24">
        <v>0</v>
      </c>
      <c r="AI774" s="23">
        <v>62</v>
      </c>
      <c r="AJ774" s="13" t="str">
        <f xml:space="preserve"> IF(AD774&gt;F774,"Exceso en grasa saturada",IFERROR(IF(F774=0,"No tiene sello",IF((AD774*9)*100/F774&gt;10,"Exceso en grasa saturada","No tiene sello")),"No tiene sello"))</f>
        <v>No tiene sello</v>
      </c>
      <c r="AK774" s="13">
        <f>IF(AJ774="No tiene sello",0,1)</f>
        <v>0</v>
      </c>
      <c r="AL774" s="13" t="str">
        <f>IF(Q774&gt;=300,"Exceso en sodio",IFERROR(IF(AND(F774=0,Q774&gt;0),"No tiene sello",IF(Q774/F774&gt;1,"Exceso en sodio","No tiene sello")),"No tiene sello"))</f>
        <v>No tiene sello</v>
      </c>
      <c r="AM774" s="13" t="str">
        <f>IFERROR(IF(F774=0,"No tiene sello",IF(+(AG774/1000)*9*100/F774&gt;1,"Exceso en grasa trans", "No tiene sello")),"No tiene sello")</f>
        <v>No tiene sello</v>
      </c>
    </row>
    <row r="775" spans="1:39" ht="15" customHeight="1" x14ac:dyDescent="0.25">
      <c r="A775" s="26" t="s">
        <v>167</v>
      </c>
      <c r="B775" s="26" t="s">
        <v>168</v>
      </c>
      <c r="C775" s="27"/>
      <c r="D775" s="47">
        <v>100</v>
      </c>
      <c r="E775" s="28">
        <v>77.599999999999994</v>
      </c>
      <c r="F775" s="24">
        <v>82</v>
      </c>
      <c r="G775" s="28">
        <v>350</v>
      </c>
      <c r="H775" s="24">
        <v>3.6</v>
      </c>
      <c r="I775" s="24">
        <v>0.1</v>
      </c>
      <c r="J775" s="24">
        <v>16.7</v>
      </c>
      <c r="K775" s="28">
        <v>0</v>
      </c>
      <c r="L775" s="28">
        <v>11.69</v>
      </c>
      <c r="M775" s="24">
        <v>0</v>
      </c>
      <c r="N775" s="28">
        <v>2</v>
      </c>
      <c r="O775" s="25">
        <v>210</v>
      </c>
      <c r="P775" s="25">
        <v>5.0999999999999996</v>
      </c>
      <c r="Q775" s="28">
        <v>7</v>
      </c>
      <c r="R775" s="25">
        <v>2</v>
      </c>
      <c r="S775" s="28">
        <v>0.8</v>
      </c>
      <c r="T775" s="28">
        <v>72</v>
      </c>
      <c r="U775" s="28">
        <v>2692</v>
      </c>
      <c r="V775" s="28">
        <v>0</v>
      </c>
      <c r="W775" s="28">
        <v>0</v>
      </c>
      <c r="X775" s="28">
        <v>0</v>
      </c>
      <c r="Y775" s="28">
        <v>0</v>
      </c>
      <c r="Z775" s="28">
        <v>0</v>
      </c>
      <c r="AA775" s="25">
        <v>13</v>
      </c>
      <c r="AB775" s="25">
        <v>0</v>
      </c>
      <c r="AC775" s="25">
        <v>0</v>
      </c>
      <c r="AD775" s="28">
        <v>0</v>
      </c>
      <c r="AE775" s="28">
        <v>0</v>
      </c>
      <c r="AF775" s="28">
        <v>0</v>
      </c>
      <c r="AG775" s="28">
        <v>0</v>
      </c>
      <c r="AH775" s="24">
        <v>0</v>
      </c>
      <c r="AI775" s="28"/>
      <c r="AJ775" s="13" t="str">
        <f xml:space="preserve"> IF(AD775&gt;F775,"Exceso en grasa saturada",IFERROR(IF(F775=0,"No tiene sello",IF((AD775*9)*100/F775&gt;10,"Exceso en grasa saturada","No tiene sello")),"No tiene sello"))</f>
        <v>No tiene sello</v>
      </c>
      <c r="AK775" s="13">
        <f>IF(AJ775="No tiene sello",0,1)</f>
        <v>0</v>
      </c>
      <c r="AL775" s="13" t="str">
        <f>IF(Q775&gt;=300,"Exceso en sodio",IFERROR(IF(AND(F775=0,Q775&gt;0),"No tiene sello",IF(Q775/F775&gt;1,"Exceso en sodio","No tiene sello")),"No tiene sello"))</f>
        <v>No tiene sello</v>
      </c>
      <c r="AM775" s="13" t="str">
        <f>IFERROR(IF(F775=0,"No tiene sello",IF(+(AG775/1000)*9*100/F775&gt;1,"Exceso en grasa trans", "No tiene sello")),"No tiene sello")</f>
        <v>No tiene sello</v>
      </c>
    </row>
    <row r="776" spans="1:39" ht="15" customHeight="1" x14ac:dyDescent="0.25">
      <c r="A776" s="20" t="s">
        <v>164</v>
      </c>
      <c r="B776" s="20" t="s">
        <v>166</v>
      </c>
      <c r="C776" s="20" t="s">
        <v>165</v>
      </c>
      <c r="D776" s="22">
        <v>100</v>
      </c>
      <c r="E776" s="23">
        <v>5.2</v>
      </c>
      <c r="F776" s="24">
        <v>667</v>
      </c>
      <c r="G776" s="23">
        <v>2758</v>
      </c>
      <c r="H776" s="24">
        <v>15.8</v>
      </c>
      <c r="I776" s="24">
        <v>60.2</v>
      </c>
      <c r="J776" s="24">
        <v>15.5</v>
      </c>
      <c r="K776" s="23">
        <v>0</v>
      </c>
      <c r="L776" s="23">
        <v>1.55</v>
      </c>
      <c r="M776" s="24">
        <v>0</v>
      </c>
      <c r="N776" s="23">
        <v>3.4</v>
      </c>
      <c r="O776" s="25">
        <v>0</v>
      </c>
      <c r="P776" s="25">
        <v>0</v>
      </c>
      <c r="Q776" s="23">
        <v>0</v>
      </c>
      <c r="R776" s="25">
        <v>0</v>
      </c>
      <c r="S776" s="23">
        <v>0</v>
      </c>
      <c r="T776" s="23">
        <v>0</v>
      </c>
      <c r="U776" s="23">
        <v>0</v>
      </c>
      <c r="V776" s="23">
        <v>0</v>
      </c>
      <c r="W776" s="23">
        <v>0</v>
      </c>
      <c r="X776" s="23">
        <v>0</v>
      </c>
      <c r="Y776" s="23">
        <v>0</v>
      </c>
      <c r="Z776" s="23">
        <v>0</v>
      </c>
      <c r="AA776" s="25">
        <v>0</v>
      </c>
      <c r="AB776" s="25">
        <v>0</v>
      </c>
      <c r="AC776" s="25">
        <v>0</v>
      </c>
      <c r="AD776" s="23">
        <v>0</v>
      </c>
      <c r="AE776" s="23">
        <v>0</v>
      </c>
      <c r="AF776" s="23">
        <v>0</v>
      </c>
      <c r="AG776" s="23">
        <v>0</v>
      </c>
      <c r="AH776" s="24">
        <v>0</v>
      </c>
      <c r="AI776" s="23">
        <v>100</v>
      </c>
      <c r="AJ776" s="13" t="str">
        <f xml:space="preserve"> IF(AD776&gt;F776,"Exceso en grasa saturada",IFERROR(IF(F776=0,"No tiene sello",IF((AD776*9)*100/F776&gt;10,"Exceso en grasa saturada","No tiene sello")),"No tiene sello"))</f>
        <v>No tiene sello</v>
      </c>
      <c r="AK776" s="13">
        <f>IF(AJ776="No tiene sello",0,1)</f>
        <v>0</v>
      </c>
      <c r="AL776" s="13" t="str">
        <f>IF(Q776&gt;=300,"Exceso en sodio",IFERROR(IF(AND(F776=0,Q776&gt;0),"No tiene sello",IF(Q776/F776&gt;1,"Exceso en sodio","No tiene sello")),"No tiene sello"))</f>
        <v>No tiene sello</v>
      </c>
      <c r="AM776" s="13" t="str">
        <f>IFERROR(IF(F776=0,"No tiene sello",IF(+(AG776/1000)*9*100/F776&gt;1,"Exceso en grasa trans", "No tiene sello")),"No tiene sello")</f>
        <v>No tiene sello</v>
      </c>
    </row>
    <row r="777" spans="1:39" ht="15" customHeight="1" x14ac:dyDescent="0.25">
      <c r="A777" s="26" t="s">
        <v>162</v>
      </c>
      <c r="B777" s="26" t="s">
        <v>163</v>
      </c>
      <c r="C777" s="27"/>
      <c r="D777" s="47">
        <v>100</v>
      </c>
      <c r="E777" s="28">
        <v>44.2</v>
      </c>
      <c r="F777" s="24">
        <v>237</v>
      </c>
      <c r="G777" s="28">
        <v>998</v>
      </c>
      <c r="H777" s="24">
        <v>33.1</v>
      </c>
      <c r="I777" s="24">
        <v>1.3</v>
      </c>
      <c r="J777" s="24">
        <v>16</v>
      </c>
      <c r="K777" s="28">
        <v>1.5</v>
      </c>
      <c r="L777" s="28">
        <v>1.6</v>
      </c>
      <c r="M777" s="24">
        <v>14.4</v>
      </c>
      <c r="N777" s="28">
        <v>5.5</v>
      </c>
      <c r="O777" s="25">
        <v>44</v>
      </c>
      <c r="P777" s="25">
        <v>92.2</v>
      </c>
      <c r="Q777" s="28">
        <v>1264</v>
      </c>
      <c r="R777" s="25">
        <v>408</v>
      </c>
      <c r="S777" s="28">
        <v>5.7</v>
      </c>
      <c r="T777" s="28">
        <v>66</v>
      </c>
      <c r="U777" s="28">
        <v>477</v>
      </c>
      <c r="V777" s="28">
        <v>0</v>
      </c>
      <c r="W777" s="28">
        <v>0.11</v>
      </c>
      <c r="X777" s="28">
        <v>0</v>
      </c>
      <c r="Y777" s="28">
        <v>0</v>
      </c>
      <c r="Z777" s="28">
        <v>0.01</v>
      </c>
      <c r="AA777" s="25">
        <v>0</v>
      </c>
      <c r="AB777" s="25">
        <v>0</v>
      </c>
      <c r="AC777" s="25">
        <v>0</v>
      </c>
      <c r="AD777" s="28">
        <v>0</v>
      </c>
      <c r="AE777" s="28">
        <v>0</v>
      </c>
      <c r="AF777" s="28">
        <v>0</v>
      </c>
      <c r="AG777" s="28">
        <v>0</v>
      </c>
      <c r="AH777" s="24">
        <v>0</v>
      </c>
      <c r="AI777" s="28">
        <v>100</v>
      </c>
      <c r="AJ777" s="13" t="str">
        <f xml:space="preserve"> IF(AD777&gt;F777,"Exceso en grasa saturada",IFERROR(IF(F777=0,"No tiene sello",IF((AD777*9)*100/F777&gt;10,"Exceso en grasa saturada","No tiene sello")),"No tiene sello"))</f>
        <v>No tiene sello</v>
      </c>
      <c r="AK777" s="13">
        <f>IF(AJ777="No tiene sello",0,1)</f>
        <v>0</v>
      </c>
      <c r="AL777" s="13" t="str">
        <f>IF(Q777&gt;=300,"Exceso en sodio",IFERROR(IF(AND(F777=0,Q777&gt;0),"No tiene sello",IF(Q777/F777&gt;1,"Exceso en sodio","No tiene sello")),"No tiene sello"))</f>
        <v>Exceso en sodio</v>
      </c>
      <c r="AM777" s="13" t="str">
        <f>IFERROR(IF(F777=0,"No tiene sello",IF(+(AG777/1000)*9*100/F777&gt;1,"Exceso en grasa trans", "No tiene sello")),"No tiene sello")</f>
        <v>No tiene sello</v>
      </c>
    </row>
    <row r="778" spans="1:39" ht="15" customHeight="1" x14ac:dyDescent="0.25">
      <c r="A778" s="20" t="s">
        <v>160</v>
      </c>
      <c r="B778" s="20" t="s">
        <v>161</v>
      </c>
      <c r="C778" s="21"/>
      <c r="D778" s="22">
        <v>100</v>
      </c>
      <c r="E778" s="23">
        <v>44.2</v>
      </c>
      <c r="F778" s="24">
        <v>247</v>
      </c>
      <c r="G778" s="23">
        <v>1040</v>
      </c>
      <c r="H778" s="24">
        <v>35</v>
      </c>
      <c r="I778" s="24">
        <v>0.6</v>
      </c>
      <c r="J778" s="24">
        <v>17.600000000000001</v>
      </c>
      <c r="K778" s="23">
        <v>2.2000000000000002</v>
      </c>
      <c r="L778" s="23">
        <v>1.76</v>
      </c>
      <c r="M778" s="24">
        <v>15.4</v>
      </c>
      <c r="N778" s="23">
        <v>2.6</v>
      </c>
      <c r="O778" s="25">
        <v>50</v>
      </c>
      <c r="P778" s="25">
        <v>82.1</v>
      </c>
      <c r="Q778" s="23">
        <v>29</v>
      </c>
      <c r="R778" s="25">
        <v>366</v>
      </c>
      <c r="S778" s="23">
        <v>6.3</v>
      </c>
      <c r="T778" s="23">
        <v>78</v>
      </c>
      <c r="U778" s="23">
        <v>652</v>
      </c>
      <c r="V778" s="23">
        <v>0</v>
      </c>
      <c r="W778" s="23">
        <v>0.04</v>
      </c>
      <c r="X778" s="23">
        <v>0</v>
      </c>
      <c r="Y778" s="23">
        <v>60</v>
      </c>
      <c r="Z778" s="23">
        <v>0</v>
      </c>
      <c r="AA778" s="25">
        <v>0</v>
      </c>
      <c r="AB778" s="25">
        <v>0</v>
      </c>
      <c r="AC778" s="25">
        <v>0</v>
      </c>
      <c r="AD778" s="23">
        <v>0</v>
      </c>
      <c r="AE778" s="23">
        <v>0</v>
      </c>
      <c r="AF778" s="23">
        <v>0</v>
      </c>
      <c r="AG778" s="23">
        <v>0</v>
      </c>
      <c r="AH778" s="24">
        <v>0</v>
      </c>
      <c r="AI778" s="23">
        <v>100</v>
      </c>
      <c r="AJ778" s="13" t="str">
        <f xml:space="preserve"> IF(AD778&gt;F778,"Exceso en grasa saturada",IFERROR(IF(F778=0,"No tiene sello",IF((AD778*9)*100/F778&gt;10,"Exceso en grasa saturada","No tiene sello")),"No tiene sello"))</f>
        <v>No tiene sello</v>
      </c>
      <c r="AK778" s="13">
        <f>IF(AJ778="No tiene sello",0,1)</f>
        <v>0</v>
      </c>
      <c r="AL778" s="13" t="str">
        <f>IF(Q778&gt;=300,"Exceso en sodio",IFERROR(IF(AND(F778=0,Q778&gt;0),"No tiene sello",IF(Q778/F778&gt;1,"Exceso en sodio","No tiene sello")),"No tiene sello"))</f>
        <v>No tiene sello</v>
      </c>
      <c r="AM778" s="13" t="str">
        <f>IFERROR(IF(F778=0,"No tiene sello",IF(+(AG778/1000)*9*100/F778&gt;1,"Exceso en grasa trans", "No tiene sello")),"No tiene sello")</f>
        <v>No tiene sello</v>
      </c>
    </row>
    <row r="779" spans="1:39" ht="15" customHeight="1" x14ac:dyDescent="0.25">
      <c r="A779" s="26" t="s">
        <v>158</v>
      </c>
      <c r="B779" s="26" t="s">
        <v>159</v>
      </c>
      <c r="C779" s="26" t="s">
        <v>3</v>
      </c>
      <c r="D779" s="47">
        <v>100</v>
      </c>
      <c r="E779" s="28">
        <v>14.8</v>
      </c>
      <c r="F779" s="24">
        <v>344</v>
      </c>
      <c r="G779" s="28">
        <v>1460</v>
      </c>
      <c r="H779" s="24">
        <v>11.4</v>
      </c>
      <c r="I779" s="24">
        <v>1.7</v>
      </c>
      <c r="J779" s="24">
        <v>70.7</v>
      </c>
      <c r="K779" s="28">
        <v>0</v>
      </c>
      <c r="L779" s="28">
        <v>7.07</v>
      </c>
      <c r="M779" s="24">
        <v>0</v>
      </c>
      <c r="N779" s="28">
        <v>1.3</v>
      </c>
      <c r="O779" s="25">
        <v>12</v>
      </c>
      <c r="P779" s="25">
        <v>11</v>
      </c>
      <c r="Q779" s="28">
        <v>12</v>
      </c>
      <c r="R779" s="25">
        <v>0</v>
      </c>
      <c r="S779" s="28">
        <v>3.1</v>
      </c>
      <c r="T779" s="28">
        <v>107</v>
      </c>
      <c r="U779" s="28">
        <v>371</v>
      </c>
      <c r="V779" s="28">
        <v>0</v>
      </c>
      <c r="W779" s="28">
        <v>0</v>
      </c>
      <c r="X779" s="28">
        <v>0</v>
      </c>
      <c r="Y779" s="28">
        <v>0</v>
      </c>
      <c r="Z779" s="28">
        <v>0</v>
      </c>
      <c r="AA779" s="25">
        <v>0</v>
      </c>
      <c r="AB779" s="25">
        <v>0</v>
      </c>
      <c r="AC779" s="25">
        <v>0</v>
      </c>
      <c r="AD779" s="28">
        <v>0</v>
      </c>
      <c r="AE779" s="28">
        <v>0</v>
      </c>
      <c r="AF779" s="28">
        <v>0</v>
      </c>
      <c r="AG779" s="28">
        <v>0</v>
      </c>
      <c r="AH779" s="24">
        <v>0</v>
      </c>
      <c r="AI779" s="28"/>
      <c r="AJ779" s="13" t="str">
        <f xml:space="preserve"> IF(AD779&gt;F779,"Exceso en grasa saturada",IFERROR(IF(F779=0,"No tiene sello",IF((AD779*9)*100/F779&gt;10,"Exceso en grasa saturada","No tiene sello")),"No tiene sello"))</f>
        <v>No tiene sello</v>
      </c>
      <c r="AK779" s="13">
        <f>IF(AJ779="No tiene sello",0,1)</f>
        <v>0</v>
      </c>
      <c r="AL779" s="13" t="str">
        <f>IF(Q779&gt;=300,"Exceso en sodio",IFERROR(IF(AND(F779=0,Q779&gt;0),"No tiene sello",IF(Q779/F779&gt;1,"Exceso en sodio","No tiene sello")),"No tiene sello"))</f>
        <v>No tiene sello</v>
      </c>
      <c r="AM779" s="13" t="str">
        <f>IFERROR(IF(F779=0,"No tiene sello",IF(+(AG779/1000)*9*100/F779&gt;1,"Exceso en grasa trans", "No tiene sello")),"No tiene sello")</f>
        <v>No tiene sello</v>
      </c>
    </row>
    <row r="780" spans="1:39" ht="15" customHeight="1" x14ac:dyDescent="0.25">
      <c r="A780" s="20" t="s">
        <v>156</v>
      </c>
      <c r="B780" s="20" t="s">
        <v>157</v>
      </c>
      <c r="C780" s="20" t="s">
        <v>3</v>
      </c>
      <c r="D780" s="22">
        <v>100</v>
      </c>
      <c r="E780" s="23">
        <v>10.9</v>
      </c>
      <c r="F780" s="24">
        <v>390</v>
      </c>
      <c r="G780" s="23">
        <v>1646</v>
      </c>
      <c r="H780" s="24">
        <v>14.4</v>
      </c>
      <c r="I780" s="24">
        <v>1.9</v>
      </c>
      <c r="J780" s="24">
        <v>68.8</v>
      </c>
      <c r="K780" s="23">
        <v>48.7</v>
      </c>
      <c r="L780" s="23">
        <v>6.88</v>
      </c>
      <c r="M780" s="24">
        <v>20.100000000000001</v>
      </c>
      <c r="N780" s="23">
        <v>4</v>
      </c>
      <c r="O780" s="25">
        <v>222</v>
      </c>
      <c r="P780" s="25">
        <v>4.2</v>
      </c>
      <c r="Q780" s="23">
        <v>148</v>
      </c>
      <c r="R780" s="25">
        <v>0</v>
      </c>
      <c r="S780" s="23">
        <v>0</v>
      </c>
      <c r="T780" s="23">
        <v>0</v>
      </c>
      <c r="U780" s="23">
        <v>277</v>
      </c>
      <c r="V780" s="23">
        <v>0</v>
      </c>
      <c r="W780" s="23">
        <v>0</v>
      </c>
      <c r="X780" s="23">
        <v>0</v>
      </c>
      <c r="Y780" s="23">
        <v>0</v>
      </c>
      <c r="Z780" s="23">
        <v>0</v>
      </c>
      <c r="AA780" s="25">
        <v>0</v>
      </c>
      <c r="AB780" s="25">
        <v>0</v>
      </c>
      <c r="AC780" s="25">
        <v>0</v>
      </c>
      <c r="AD780" s="23">
        <v>0</v>
      </c>
      <c r="AE780" s="23">
        <v>0</v>
      </c>
      <c r="AF780" s="23">
        <v>0</v>
      </c>
      <c r="AG780" s="23">
        <v>0</v>
      </c>
      <c r="AH780" s="24">
        <v>0</v>
      </c>
      <c r="AI780" s="23"/>
      <c r="AJ780" s="13" t="str">
        <f xml:space="preserve"> IF(AD780&gt;F780,"Exceso en grasa saturada",IFERROR(IF(F780=0,"No tiene sello",IF((AD780*9)*100/F780&gt;10,"Exceso en grasa saturada","No tiene sello")),"No tiene sello"))</f>
        <v>No tiene sello</v>
      </c>
      <c r="AK780" s="13">
        <f>IF(AJ780="No tiene sello",0,1)</f>
        <v>0</v>
      </c>
      <c r="AL780" s="13" t="str">
        <f>IF(Q780&gt;=300,"Exceso en sodio",IFERROR(IF(AND(F780=0,Q780&gt;0),"No tiene sello",IF(Q780/F780&gt;1,"Exceso en sodio","No tiene sello")),"No tiene sello"))</f>
        <v>No tiene sello</v>
      </c>
      <c r="AM780" s="13" t="str">
        <f>IFERROR(IF(F780=0,"No tiene sello",IF(+(AG780/1000)*9*100/F780&gt;1,"Exceso en grasa trans", "No tiene sello")),"No tiene sello")</f>
        <v>No tiene sello</v>
      </c>
    </row>
    <row r="781" spans="1:39" ht="15" customHeight="1" x14ac:dyDescent="0.25">
      <c r="A781" s="26" t="s">
        <v>153</v>
      </c>
      <c r="B781" s="26" t="s">
        <v>155</v>
      </c>
      <c r="C781" s="26" t="s">
        <v>154</v>
      </c>
      <c r="D781" s="47">
        <v>100</v>
      </c>
      <c r="E781" s="28">
        <v>83.7</v>
      </c>
      <c r="F781" s="24">
        <v>72</v>
      </c>
      <c r="G781" s="28">
        <v>304</v>
      </c>
      <c r="H781" s="24">
        <v>1.2</v>
      </c>
      <c r="I781" s="24">
        <v>0.2</v>
      </c>
      <c r="J781" s="24">
        <v>13.9</v>
      </c>
      <c r="K781" s="28">
        <v>8.9</v>
      </c>
      <c r="L781" s="28">
        <v>1.39</v>
      </c>
      <c r="M781" s="24">
        <v>5</v>
      </c>
      <c r="N781" s="28">
        <v>1</v>
      </c>
      <c r="O781" s="25">
        <v>26</v>
      </c>
      <c r="P781" s="25">
        <v>0.7</v>
      </c>
      <c r="Q781" s="28">
        <v>4</v>
      </c>
      <c r="R781" s="25">
        <v>28</v>
      </c>
      <c r="S781" s="28">
        <v>0.3</v>
      </c>
      <c r="T781" s="28">
        <v>40</v>
      </c>
      <c r="U781" s="28">
        <v>270</v>
      </c>
      <c r="V781" s="28">
        <v>0.1</v>
      </c>
      <c r="W781" s="28">
        <v>0.03</v>
      </c>
      <c r="X781" s="28">
        <v>0.5</v>
      </c>
      <c r="Y781" s="28">
        <v>7</v>
      </c>
      <c r="Z781" s="28">
        <v>0</v>
      </c>
      <c r="AA781" s="25">
        <v>22</v>
      </c>
      <c r="AB781" s="25">
        <v>10</v>
      </c>
      <c r="AC781" s="25">
        <v>0</v>
      </c>
      <c r="AD781" s="28">
        <v>0</v>
      </c>
      <c r="AE781" s="28">
        <v>0</v>
      </c>
      <c r="AF781" s="28">
        <v>0</v>
      </c>
      <c r="AG781" s="28">
        <v>0</v>
      </c>
      <c r="AH781" s="24">
        <v>0</v>
      </c>
      <c r="AI781" s="28">
        <v>84</v>
      </c>
      <c r="AJ781" s="13" t="str">
        <f xml:space="preserve"> IF(AD781&gt;F781,"Exceso en grasa saturada",IFERROR(IF(F781=0,"No tiene sello",IF((AD781*9)*100/F781&gt;10,"Exceso en grasa saturada","No tiene sello")),"No tiene sello"))</f>
        <v>No tiene sello</v>
      </c>
      <c r="AK781" s="13">
        <f>IF(AJ781="No tiene sello",0,1)</f>
        <v>0</v>
      </c>
      <c r="AL781" s="13" t="str">
        <f>IF(Q781&gt;=300,"Exceso en sodio",IFERROR(IF(AND(F781=0,Q781&gt;0),"No tiene sello",IF(Q781/F781&gt;1,"Exceso en sodio","No tiene sello")),"No tiene sello"))</f>
        <v>No tiene sello</v>
      </c>
      <c r="AM781" s="13" t="str">
        <f>IFERROR(IF(F781=0,"No tiene sello",IF(+(AG781/1000)*9*100/F781&gt;1,"Exceso en grasa trans", "No tiene sello")),"No tiene sello")</f>
        <v>No tiene sello</v>
      </c>
    </row>
    <row r="782" spans="1:39" ht="15" customHeight="1" x14ac:dyDescent="0.25">
      <c r="A782" s="20" t="s">
        <v>151</v>
      </c>
      <c r="B782" s="20" t="s">
        <v>152</v>
      </c>
      <c r="C782" s="20" t="s">
        <v>3</v>
      </c>
      <c r="D782" s="22">
        <v>100</v>
      </c>
      <c r="E782" s="23">
        <v>60.8</v>
      </c>
      <c r="F782" s="24">
        <v>152</v>
      </c>
      <c r="G782" s="23">
        <v>545</v>
      </c>
      <c r="H782" s="24">
        <v>3.4</v>
      </c>
      <c r="I782" s="24">
        <v>0.7</v>
      </c>
      <c r="J782" s="24">
        <v>33</v>
      </c>
      <c r="K782" s="23">
        <v>0</v>
      </c>
      <c r="L782" s="23">
        <v>3.3</v>
      </c>
      <c r="M782" s="24">
        <v>0</v>
      </c>
      <c r="N782" s="23">
        <v>2.1</v>
      </c>
      <c r="O782" s="25">
        <v>13</v>
      </c>
      <c r="P782" s="25">
        <v>1.6</v>
      </c>
      <c r="Q782" s="23">
        <v>0</v>
      </c>
      <c r="R782" s="25">
        <v>32</v>
      </c>
      <c r="S782" s="23">
        <v>0</v>
      </c>
      <c r="T782" s="23">
        <v>27</v>
      </c>
      <c r="U782" s="23">
        <v>278</v>
      </c>
      <c r="V782" s="23">
        <v>0.15</v>
      </c>
      <c r="W782" s="23">
        <v>0.03</v>
      </c>
      <c r="X782" s="23">
        <v>1.6</v>
      </c>
      <c r="Y782" s="23">
        <v>0</v>
      </c>
      <c r="Z782" s="23">
        <v>0</v>
      </c>
      <c r="AA782" s="25">
        <v>65</v>
      </c>
      <c r="AB782" s="25">
        <v>0</v>
      </c>
      <c r="AC782" s="25">
        <v>0</v>
      </c>
      <c r="AD782" s="23">
        <v>0</v>
      </c>
      <c r="AE782" s="23">
        <v>0</v>
      </c>
      <c r="AF782" s="23">
        <v>0</v>
      </c>
      <c r="AG782" s="23">
        <v>0</v>
      </c>
      <c r="AH782" s="24">
        <v>0</v>
      </c>
      <c r="AI782" s="23">
        <v>100</v>
      </c>
      <c r="AJ782" s="13" t="str">
        <f xml:space="preserve"> IF(AD782&gt;F782,"Exceso en grasa saturada",IFERROR(IF(F782=0,"No tiene sello",IF((AD782*9)*100/F782&gt;10,"Exceso en grasa saturada","No tiene sello")),"No tiene sello"))</f>
        <v>No tiene sello</v>
      </c>
      <c r="AK782" s="13">
        <f>IF(AJ782="No tiene sello",0,1)</f>
        <v>0</v>
      </c>
      <c r="AL782" s="13" t="str">
        <f>IF(Q782&gt;=300,"Exceso en sodio",IFERROR(IF(AND(F782=0,Q782&gt;0),"No tiene sello",IF(Q782/F782&gt;1,"Exceso en sodio","No tiene sello")),"No tiene sello"))</f>
        <v>No tiene sello</v>
      </c>
      <c r="AM782" s="13" t="str">
        <f>IFERROR(IF(F782=0,"No tiene sello",IF(+(AG782/1000)*9*100/F782&gt;1,"Exceso en grasa trans", "No tiene sello")),"No tiene sello")</f>
        <v>No tiene sello</v>
      </c>
    </row>
    <row r="783" spans="1:39" ht="15" customHeight="1" x14ac:dyDescent="0.25">
      <c r="A783" s="26" t="s">
        <v>149</v>
      </c>
      <c r="B783" s="26" t="s">
        <v>150</v>
      </c>
      <c r="C783" s="27"/>
      <c r="D783" s="47">
        <v>100</v>
      </c>
      <c r="E783" s="28">
        <v>65</v>
      </c>
      <c r="F783" s="24">
        <v>139</v>
      </c>
      <c r="G783" s="28">
        <v>591</v>
      </c>
      <c r="H783" s="24">
        <v>4</v>
      </c>
      <c r="I783" s="24">
        <v>0.6</v>
      </c>
      <c r="J783" s="24">
        <v>29.5</v>
      </c>
      <c r="K783" s="28">
        <v>0</v>
      </c>
      <c r="L783" s="28">
        <v>2.95</v>
      </c>
      <c r="M783" s="24">
        <v>0</v>
      </c>
      <c r="N783" s="28">
        <v>1</v>
      </c>
      <c r="O783" s="25">
        <v>32</v>
      </c>
      <c r="P783" s="25">
        <v>2.6</v>
      </c>
      <c r="Q783" s="28">
        <v>15</v>
      </c>
      <c r="R783" s="25">
        <v>49</v>
      </c>
      <c r="S783" s="28">
        <v>0</v>
      </c>
      <c r="T783" s="28">
        <v>32</v>
      </c>
      <c r="U783" s="28">
        <v>298</v>
      </c>
      <c r="V783" s="28">
        <v>0</v>
      </c>
      <c r="W783" s="28">
        <v>0</v>
      </c>
      <c r="X783" s="28">
        <v>0</v>
      </c>
      <c r="Y783" s="28">
        <v>0</v>
      </c>
      <c r="Z783" s="28">
        <v>0</v>
      </c>
      <c r="AA783" s="25">
        <v>0</v>
      </c>
      <c r="AB783" s="25">
        <v>0</v>
      </c>
      <c r="AC783" s="25">
        <v>0</v>
      </c>
      <c r="AD783" s="28">
        <v>0</v>
      </c>
      <c r="AE783" s="28">
        <v>0</v>
      </c>
      <c r="AF783" s="28">
        <v>0</v>
      </c>
      <c r="AG783" s="28">
        <v>0</v>
      </c>
      <c r="AH783" s="24">
        <v>0</v>
      </c>
      <c r="AI783" s="28"/>
      <c r="AJ783" s="13" t="str">
        <f xml:space="preserve"> IF(AD783&gt;F783,"Exceso en grasa saturada",IFERROR(IF(F783=0,"No tiene sello",IF((AD783*9)*100/F783&gt;10,"Exceso en grasa saturada","No tiene sello")),"No tiene sello"))</f>
        <v>No tiene sello</v>
      </c>
      <c r="AK783" s="13">
        <f>IF(AJ783="No tiene sello",0,1)</f>
        <v>0</v>
      </c>
      <c r="AL783" s="13" t="str">
        <f>IF(Q783&gt;=300,"Exceso en sodio",IFERROR(IF(AND(F783=0,Q783&gt;0),"No tiene sello",IF(Q783/F783&gt;1,"Exceso en sodio","No tiene sello")),"No tiene sello"))</f>
        <v>No tiene sello</v>
      </c>
      <c r="AM783" s="13" t="str">
        <f>IFERROR(IF(F783=0,"No tiene sello",IF(+(AG783/1000)*9*100/F783&gt;1,"Exceso en grasa trans", "No tiene sello")),"No tiene sello")</f>
        <v>No tiene sello</v>
      </c>
    </row>
    <row r="784" spans="1:39" ht="15" customHeight="1" x14ac:dyDescent="0.25">
      <c r="A784" s="20" t="s">
        <v>147</v>
      </c>
      <c r="B784" s="20" t="s">
        <v>148</v>
      </c>
      <c r="C784" s="21"/>
      <c r="D784" s="22">
        <v>100</v>
      </c>
      <c r="E784" s="23">
        <v>66</v>
      </c>
      <c r="F784" s="24">
        <v>160</v>
      </c>
      <c r="G784" s="23">
        <v>672</v>
      </c>
      <c r="H784" s="24">
        <v>1.4</v>
      </c>
      <c r="I784" s="24">
        <v>5.2</v>
      </c>
      <c r="J784" s="24">
        <v>26.8</v>
      </c>
      <c r="K784" s="23">
        <v>0</v>
      </c>
      <c r="L784" s="23">
        <v>2.68</v>
      </c>
      <c r="M784" s="24">
        <v>0</v>
      </c>
      <c r="N784" s="23">
        <v>0.6</v>
      </c>
      <c r="O784" s="25">
        <v>48</v>
      </c>
      <c r="P784" s="25">
        <v>2.8</v>
      </c>
      <c r="Q784" s="23">
        <v>37</v>
      </c>
      <c r="R784" s="25">
        <v>61</v>
      </c>
      <c r="S784" s="23">
        <v>0</v>
      </c>
      <c r="T784" s="23">
        <v>0</v>
      </c>
      <c r="U784" s="23">
        <v>0</v>
      </c>
      <c r="V784" s="23">
        <v>0</v>
      </c>
      <c r="W784" s="23">
        <v>0</v>
      </c>
      <c r="X784" s="23">
        <v>0</v>
      </c>
      <c r="Y784" s="23">
        <v>0</v>
      </c>
      <c r="Z784" s="23">
        <v>0</v>
      </c>
      <c r="AA784" s="25">
        <v>0</v>
      </c>
      <c r="AB784" s="25">
        <v>0</v>
      </c>
      <c r="AC784" s="25">
        <v>0</v>
      </c>
      <c r="AD784" s="23">
        <v>0</v>
      </c>
      <c r="AE784" s="23">
        <v>0</v>
      </c>
      <c r="AF784" s="23">
        <v>0</v>
      </c>
      <c r="AG784" s="23">
        <v>0</v>
      </c>
      <c r="AH784" s="24">
        <v>0</v>
      </c>
      <c r="AI784" s="23"/>
      <c r="AJ784" s="13" t="str">
        <f xml:space="preserve"> IF(AD784&gt;F784,"Exceso en grasa saturada",IFERROR(IF(F784=0,"No tiene sello",IF((AD784*9)*100/F784&gt;10,"Exceso en grasa saturada","No tiene sello")),"No tiene sello"))</f>
        <v>No tiene sello</v>
      </c>
      <c r="AK784" s="13">
        <f>IF(AJ784="No tiene sello",0,1)</f>
        <v>0</v>
      </c>
      <c r="AL784" s="13" t="str">
        <f>IF(Q784&gt;=300,"Exceso en sodio",IFERROR(IF(AND(F784=0,Q784&gt;0),"No tiene sello",IF(Q784/F784&gt;1,"Exceso en sodio","No tiene sello")),"No tiene sello"))</f>
        <v>No tiene sello</v>
      </c>
      <c r="AM784" s="13" t="str">
        <f>IFERROR(IF(F784=0,"No tiene sello",IF(+(AG784/1000)*9*100/F784&gt;1,"Exceso en grasa trans", "No tiene sello")),"No tiene sello")</f>
        <v>No tiene sello</v>
      </c>
    </row>
    <row r="785" spans="1:39" ht="15" customHeight="1" x14ac:dyDescent="0.25">
      <c r="A785" s="26" t="s">
        <v>145</v>
      </c>
      <c r="B785" s="26" t="s">
        <v>146</v>
      </c>
      <c r="C785" s="26" t="s">
        <v>143</v>
      </c>
      <c r="D785" s="47">
        <v>100</v>
      </c>
      <c r="E785" s="28">
        <v>62.4</v>
      </c>
      <c r="F785" s="24">
        <v>147</v>
      </c>
      <c r="G785" s="28">
        <v>624</v>
      </c>
      <c r="H785" s="24">
        <v>0.5</v>
      </c>
      <c r="I785" s="24">
        <v>0.1</v>
      </c>
      <c r="J785" s="24">
        <v>36</v>
      </c>
      <c r="K785" s="28">
        <v>0</v>
      </c>
      <c r="L785" s="28">
        <v>1.8</v>
      </c>
      <c r="M785" s="24">
        <v>0</v>
      </c>
      <c r="N785" s="28">
        <v>1</v>
      </c>
      <c r="O785" s="25">
        <v>0</v>
      </c>
      <c r="P785" s="25">
        <v>0</v>
      </c>
      <c r="Q785" s="28">
        <v>0</v>
      </c>
      <c r="R785" s="25">
        <v>0</v>
      </c>
      <c r="S785" s="28">
        <v>0</v>
      </c>
      <c r="T785" s="28">
        <v>0</v>
      </c>
      <c r="U785" s="28">
        <v>0</v>
      </c>
      <c r="V785" s="28">
        <v>0</v>
      </c>
      <c r="W785" s="28">
        <v>0</v>
      </c>
      <c r="X785" s="28">
        <v>0</v>
      </c>
      <c r="Y785" s="28">
        <v>0</v>
      </c>
      <c r="Z785" s="28">
        <v>0</v>
      </c>
      <c r="AA785" s="25">
        <v>0</v>
      </c>
      <c r="AB785" s="25">
        <v>0</v>
      </c>
      <c r="AC785" s="25">
        <v>0</v>
      </c>
      <c r="AD785" s="28">
        <v>0</v>
      </c>
      <c r="AE785" s="28">
        <v>0</v>
      </c>
      <c r="AF785" s="28">
        <v>0</v>
      </c>
      <c r="AG785" s="28">
        <v>0</v>
      </c>
      <c r="AH785" s="24">
        <v>0</v>
      </c>
      <c r="AI785" s="28">
        <v>80</v>
      </c>
      <c r="AJ785" s="13" t="str">
        <f xml:space="preserve"> IF(AD785&gt;F785,"Exceso en grasa saturada",IFERROR(IF(F785=0,"No tiene sello",IF((AD785*9)*100/F785&gt;10,"Exceso en grasa saturada","No tiene sello")),"No tiene sello"))</f>
        <v>No tiene sello</v>
      </c>
      <c r="AK785" s="13">
        <f>IF(AJ785="No tiene sello",0,1)</f>
        <v>0</v>
      </c>
      <c r="AL785" s="13" t="str">
        <f>IF(Q785&gt;=300,"Exceso en sodio",IFERROR(IF(AND(F785=0,Q785&gt;0),"No tiene sello",IF(Q785/F785&gt;1,"Exceso en sodio","No tiene sello")),"No tiene sello"))</f>
        <v>No tiene sello</v>
      </c>
      <c r="AM785" s="13" t="str">
        <f>IFERROR(IF(F785=0,"No tiene sello",IF(+(AG785/1000)*9*100/F785&gt;1,"Exceso en grasa trans", "No tiene sello")),"No tiene sello")</f>
        <v>No tiene sello</v>
      </c>
    </row>
    <row r="786" spans="1:39" ht="15" customHeight="1" x14ac:dyDescent="0.25">
      <c r="A786" s="20" t="s">
        <v>142</v>
      </c>
      <c r="B786" s="20" t="s">
        <v>144</v>
      </c>
      <c r="C786" s="20" t="s">
        <v>143</v>
      </c>
      <c r="D786" s="22">
        <v>100</v>
      </c>
      <c r="E786" s="23">
        <v>63.4</v>
      </c>
      <c r="F786" s="24">
        <v>143</v>
      </c>
      <c r="G786" s="23">
        <v>606</v>
      </c>
      <c r="H786" s="24">
        <v>0.4</v>
      </c>
      <c r="I786" s="24">
        <v>0.2</v>
      </c>
      <c r="J786" s="24">
        <v>34.9</v>
      </c>
      <c r="K786" s="23">
        <v>0</v>
      </c>
      <c r="L786" s="23">
        <v>1.75</v>
      </c>
      <c r="M786" s="24">
        <v>0</v>
      </c>
      <c r="N786" s="23">
        <v>1.1000000000000001</v>
      </c>
      <c r="O786" s="25">
        <v>0</v>
      </c>
      <c r="P786" s="25">
        <v>0</v>
      </c>
      <c r="Q786" s="23">
        <v>0</v>
      </c>
      <c r="R786" s="25">
        <v>0</v>
      </c>
      <c r="S786" s="23">
        <v>0</v>
      </c>
      <c r="T786" s="23">
        <v>0</v>
      </c>
      <c r="U786" s="23">
        <v>0</v>
      </c>
      <c r="V786" s="23">
        <v>0</v>
      </c>
      <c r="W786" s="23">
        <v>0</v>
      </c>
      <c r="X786" s="23">
        <v>0</v>
      </c>
      <c r="Y786" s="23">
        <v>0</v>
      </c>
      <c r="Z786" s="23">
        <v>0</v>
      </c>
      <c r="AA786" s="25">
        <v>0</v>
      </c>
      <c r="AB786" s="25">
        <v>0</v>
      </c>
      <c r="AC786" s="25">
        <v>0</v>
      </c>
      <c r="AD786" s="23">
        <v>0</v>
      </c>
      <c r="AE786" s="23">
        <v>0</v>
      </c>
      <c r="AF786" s="23">
        <v>0</v>
      </c>
      <c r="AG786" s="23">
        <v>0</v>
      </c>
      <c r="AH786" s="24">
        <v>0</v>
      </c>
      <c r="AI786" s="23">
        <v>80</v>
      </c>
      <c r="AJ786" s="13" t="str">
        <f xml:space="preserve"> IF(AD786&gt;F786,"Exceso en grasa saturada",IFERROR(IF(F786=0,"No tiene sello",IF((AD786*9)*100/F786&gt;10,"Exceso en grasa saturada","No tiene sello")),"No tiene sello"))</f>
        <v>No tiene sello</v>
      </c>
      <c r="AK786" s="13">
        <f>IF(AJ786="No tiene sello",0,1)</f>
        <v>0</v>
      </c>
      <c r="AL786" s="13" t="str">
        <f>IF(Q786&gt;=300,"Exceso en sodio",IFERROR(IF(AND(F786=0,Q786&gt;0),"No tiene sello",IF(Q786/F786&gt;1,"Exceso en sodio","No tiene sello")),"No tiene sello"))</f>
        <v>No tiene sello</v>
      </c>
      <c r="AM786" s="13" t="str">
        <f>IFERROR(IF(F786=0,"No tiene sello",IF(+(AG786/1000)*9*100/F786&gt;1,"Exceso en grasa trans", "No tiene sello")),"No tiene sello")</f>
        <v>No tiene sello</v>
      </c>
    </row>
    <row r="787" spans="1:39" ht="15" customHeight="1" x14ac:dyDescent="0.25">
      <c r="A787" s="26" t="s">
        <v>140</v>
      </c>
      <c r="B787" s="26" t="s">
        <v>141</v>
      </c>
      <c r="C787" s="27"/>
      <c r="D787" s="47">
        <v>100</v>
      </c>
      <c r="E787" s="28">
        <v>8</v>
      </c>
      <c r="F787" s="24">
        <v>395</v>
      </c>
      <c r="G787" s="28">
        <v>1664</v>
      </c>
      <c r="H787" s="24">
        <v>21.5</v>
      </c>
      <c r="I787" s="24">
        <v>11</v>
      </c>
      <c r="J787" s="24">
        <v>52</v>
      </c>
      <c r="K787" s="28">
        <v>51</v>
      </c>
      <c r="L787" s="28">
        <v>5.2</v>
      </c>
      <c r="M787" s="24">
        <v>1</v>
      </c>
      <c r="N787" s="28">
        <v>7.5</v>
      </c>
      <c r="O787" s="25">
        <v>1166</v>
      </c>
      <c r="P787" s="25">
        <v>39.4</v>
      </c>
      <c r="Q787" s="28">
        <v>0</v>
      </c>
      <c r="R787" s="25">
        <v>8</v>
      </c>
      <c r="S787" s="28">
        <v>37.4</v>
      </c>
      <c r="T787" s="28">
        <v>0</v>
      </c>
      <c r="U787" s="28">
        <v>0</v>
      </c>
      <c r="V787" s="28">
        <v>1.73</v>
      </c>
      <c r="W787" s="28">
        <v>1.19</v>
      </c>
      <c r="X787" s="28">
        <v>14.8</v>
      </c>
      <c r="Y787" s="28">
        <v>991</v>
      </c>
      <c r="Z787" s="28">
        <v>3.02</v>
      </c>
      <c r="AA787" s="25">
        <v>153</v>
      </c>
      <c r="AB787" s="25">
        <v>128</v>
      </c>
      <c r="AC787" s="25">
        <v>2</v>
      </c>
      <c r="AD787" s="28">
        <v>0</v>
      </c>
      <c r="AE787" s="28">
        <v>0</v>
      </c>
      <c r="AF787" s="28">
        <v>0</v>
      </c>
      <c r="AG787" s="28">
        <v>50</v>
      </c>
      <c r="AH787" s="24">
        <v>0</v>
      </c>
      <c r="AI787" s="28">
        <v>100</v>
      </c>
      <c r="AJ787" s="13" t="str">
        <f xml:space="preserve"> IF(AD787&gt;F787,"Exceso en grasa saturada",IFERROR(IF(F787=0,"No tiene sello",IF((AD787*9)*100/F787&gt;10,"Exceso en grasa saturada","No tiene sello")),"No tiene sello"))</f>
        <v>No tiene sello</v>
      </c>
      <c r="AK787" s="13">
        <f>IF(AJ787="No tiene sello",0,1)</f>
        <v>0</v>
      </c>
      <c r="AL787" s="13" t="str">
        <f>IF(Q787&gt;=300,"Exceso en sodio",IFERROR(IF(AND(F787=0,Q787&gt;0),"No tiene sello",IF(Q787/F787&gt;1,"Exceso en sodio","No tiene sello")),"No tiene sello"))</f>
        <v>No tiene sello</v>
      </c>
      <c r="AM787" s="13" t="str">
        <f>IFERROR(IF(F787=0,"No tiene sello",IF(+(AG787/1000)*9*100/F787&gt;1,"Exceso en grasa trans", "No tiene sello")),"No tiene sello")</f>
        <v>No tiene sello</v>
      </c>
    </row>
    <row r="788" spans="1:39" ht="15" customHeight="1" x14ac:dyDescent="0.25">
      <c r="A788" s="20" t="s">
        <v>138</v>
      </c>
      <c r="B788" s="20" t="s">
        <v>139</v>
      </c>
      <c r="C788" s="21"/>
      <c r="D788" s="22">
        <v>100</v>
      </c>
      <c r="E788" s="23">
        <v>9</v>
      </c>
      <c r="F788" s="24">
        <v>354</v>
      </c>
      <c r="G788" s="23">
        <v>1499</v>
      </c>
      <c r="H788" s="24">
        <v>24</v>
      </c>
      <c r="I788" s="24">
        <v>3</v>
      </c>
      <c r="J788" s="24">
        <v>57</v>
      </c>
      <c r="K788" s="23">
        <v>55.6</v>
      </c>
      <c r="L788" s="23">
        <v>5.7</v>
      </c>
      <c r="M788" s="24">
        <v>1.4</v>
      </c>
      <c r="N788" s="23">
        <v>7</v>
      </c>
      <c r="O788" s="25">
        <v>800</v>
      </c>
      <c r="P788" s="25">
        <v>10.5</v>
      </c>
      <c r="Q788" s="23">
        <v>67</v>
      </c>
      <c r="R788" s="25">
        <v>600</v>
      </c>
      <c r="S788" s="23">
        <v>10.5</v>
      </c>
      <c r="T788" s="23">
        <v>0</v>
      </c>
      <c r="U788" s="23">
        <v>0</v>
      </c>
      <c r="V788" s="23">
        <v>1.23</v>
      </c>
      <c r="W788" s="23">
        <v>1</v>
      </c>
      <c r="X788" s="23">
        <v>12.3</v>
      </c>
      <c r="Y788" s="23">
        <v>382</v>
      </c>
      <c r="Z788" s="23">
        <v>2.33</v>
      </c>
      <c r="AA788" s="25">
        <v>45</v>
      </c>
      <c r="AB788" s="25">
        <v>116</v>
      </c>
      <c r="AC788" s="25">
        <v>2</v>
      </c>
      <c r="AD788" s="23">
        <v>1.2</v>
      </c>
      <c r="AE788" s="23">
        <v>0.9</v>
      </c>
      <c r="AF788" s="23">
        <v>0.6</v>
      </c>
      <c r="AG788" s="23">
        <v>0</v>
      </c>
      <c r="AH788" s="24">
        <v>0</v>
      </c>
      <c r="AI788" s="23">
        <v>100</v>
      </c>
      <c r="AJ788" s="13" t="str">
        <f xml:space="preserve"> IF(AD788&gt;F788,"Exceso en grasa saturada",IFERROR(IF(F788=0,"No tiene sello",IF((AD788*9)*100/F788&gt;10,"Exceso en grasa saturada","No tiene sello")),"No tiene sello"))</f>
        <v>No tiene sello</v>
      </c>
      <c r="AK788" s="13">
        <f>IF(AJ788="No tiene sello",0,1)</f>
        <v>0</v>
      </c>
      <c r="AL788" s="13" t="str">
        <f>IF(Q788&gt;=300,"Exceso en sodio",IFERROR(IF(AND(F788=0,Q788&gt;0),"No tiene sello",IF(Q788/F788&gt;1,"Exceso en sodio","No tiene sello")),"No tiene sello"))</f>
        <v>No tiene sello</v>
      </c>
      <c r="AM788" s="13" t="str">
        <f>IFERROR(IF(F788=0,"No tiene sello",IF(+(AG788/1000)*9*100/F788&gt;1,"Exceso en grasa trans", "No tiene sello")),"No tiene sello")</f>
        <v>No tiene sello</v>
      </c>
    </row>
    <row r="789" spans="1:39" ht="15" customHeight="1" x14ac:dyDescent="0.25">
      <c r="A789" s="26" t="s">
        <v>136</v>
      </c>
      <c r="B789" s="26" t="s">
        <v>137</v>
      </c>
      <c r="C789" s="27"/>
      <c r="D789" s="47">
        <v>100</v>
      </c>
      <c r="E789" s="28">
        <v>9</v>
      </c>
      <c r="F789" s="24">
        <v>354</v>
      </c>
      <c r="G789" s="28">
        <v>1499</v>
      </c>
      <c r="H789" s="24">
        <v>24</v>
      </c>
      <c r="I789" s="24">
        <v>3</v>
      </c>
      <c r="J789" s="24">
        <v>57</v>
      </c>
      <c r="K789" s="28">
        <v>55.6</v>
      </c>
      <c r="L789" s="28">
        <v>5.7</v>
      </c>
      <c r="M789" s="24">
        <v>1.4</v>
      </c>
      <c r="N789" s="28">
        <v>7</v>
      </c>
      <c r="O789" s="25">
        <v>800</v>
      </c>
      <c r="P789" s="25">
        <v>10.5</v>
      </c>
      <c r="Q789" s="28">
        <v>67</v>
      </c>
      <c r="R789" s="25">
        <v>600</v>
      </c>
      <c r="S789" s="28">
        <v>10.5</v>
      </c>
      <c r="T789" s="28">
        <v>0</v>
      </c>
      <c r="U789" s="28">
        <v>0</v>
      </c>
      <c r="V789" s="28">
        <v>1.23</v>
      </c>
      <c r="W789" s="28">
        <v>1</v>
      </c>
      <c r="X789" s="28">
        <v>12.3</v>
      </c>
      <c r="Y789" s="28">
        <v>382</v>
      </c>
      <c r="Z789" s="28">
        <v>2.33</v>
      </c>
      <c r="AA789" s="25">
        <v>45</v>
      </c>
      <c r="AB789" s="25">
        <v>116</v>
      </c>
      <c r="AC789" s="25">
        <v>2</v>
      </c>
      <c r="AD789" s="28">
        <v>1.3</v>
      </c>
      <c r="AE789" s="28">
        <v>0.7</v>
      </c>
      <c r="AF789" s="28">
        <v>0.7</v>
      </c>
      <c r="AG789" s="28">
        <v>0</v>
      </c>
      <c r="AH789" s="24">
        <v>0</v>
      </c>
      <c r="AI789" s="28">
        <v>100</v>
      </c>
      <c r="AJ789" s="13" t="str">
        <f xml:space="preserve"> IF(AD789&gt;F789,"Exceso en grasa saturada",IFERROR(IF(F789=0,"No tiene sello",IF((AD789*9)*100/F789&gt;10,"Exceso en grasa saturada","No tiene sello")),"No tiene sello"))</f>
        <v>No tiene sello</v>
      </c>
      <c r="AK789" s="13">
        <f>IF(AJ789="No tiene sello",0,1)</f>
        <v>0</v>
      </c>
      <c r="AL789" s="13" t="str">
        <f>IF(Q789&gt;=300,"Exceso en sodio",IFERROR(IF(AND(F789=0,Q789&gt;0),"No tiene sello",IF(Q789/F789&gt;1,"Exceso en sodio","No tiene sello")),"No tiene sello"))</f>
        <v>No tiene sello</v>
      </c>
      <c r="AM789" s="13" t="str">
        <f>IFERROR(IF(F789=0,"No tiene sello",IF(+(AG789/1000)*9*100/F789&gt;1,"Exceso en grasa trans", "No tiene sello")),"No tiene sello")</f>
        <v>No tiene sello</v>
      </c>
    </row>
    <row r="790" spans="1:39" ht="15" customHeight="1" x14ac:dyDescent="0.25">
      <c r="A790" s="20" t="s">
        <v>134</v>
      </c>
      <c r="B790" s="20" t="s">
        <v>135</v>
      </c>
      <c r="C790" s="21"/>
      <c r="D790" s="22">
        <v>100</v>
      </c>
      <c r="E790" s="23">
        <v>9</v>
      </c>
      <c r="F790" s="24">
        <v>354</v>
      </c>
      <c r="G790" s="23">
        <v>1498</v>
      </c>
      <c r="H790" s="24">
        <v>21</v>
      </c>
      <c r="I790" s="24">
        <v>3</v>
      </c>
      <c r="J790" s="24">
        <v>60</v>
      </c>
      <c r="K790" s="23">
        <v>58.7</v>
      </c>
      <c r="L790" s="23">
        <v>6</v>
      </c>
      <c r="M790" s="24">
        <v>1.3</v>
      </c>
      <c r="N790" s="23">
        <v>7</v>
      </c>
      <c r="O790" s="25">
        <v>800</v>
      </c>
      <c r="P790" s="25">
        <v>10.5</v>
      </c>
      <c r="Q790" s="23">
        <v>67</v>
      </c>
      <c r="R790" s="25">
        <v>600</v>
      </c>
      <c r="S790" s="23">
        <v>10.5</v>
      </c>
      <c r="T790" s="23">
        <v>0</v>
      </c>
      <c r="U790" s="23">
        <v>0</v>
      </c>
      <c r="V790" s="23">
        <v>1.23</v>
      </c>
      <c r="W790" s="23">
        <v>1</v>
      </c>
      <c r="X790" s="23">
        <v>12.3</v>
      </c>
      <c r="Y790" s="23">
        <v>382</v>
      </c>
      <c r="Z790" s="23">
        <v>2.33</v>
      </c>
      <c r="AA790" s="25">
        <v>45</v>
      </c>
      <c r="AB790" s="25">
        <v>116</v>
      </c>
      <c r="AC790" s="25">
        <v>2</v>
      </c>
      <c r="AD790" s="23">
        <v>1.5</v>
      </c>
      <c r="AE790" s="23">
        <v>0.6</v>
      </c>
      <c r="AF790" s="23">
        <v>0.7</v>
      </c>
      <c r="AG790" s="23">
        <v>0</v>
      </c>
      <c r="AH790" s="24">
        <v>0</v>
      </c>
      <c r="AI790" s="23">
        <v>100</v>
      </c>
      <c r="AJ790" s="13" t="str">
        <f xml:space="preserve"> IF(AD790&gt;F790,"Exceso en grasa saturada",IFERROR(IF(F790=0,"No tiene sello",IF((AD790*9)*100/F790&gt;10,"Exceso en grasa saturada","No tiene sello")),"No tiene sello"))</f>
        <v>No tiene sello</v>
      </c>
      <c r="AK790" s="13">
        <f>IF(AJ790="No tiene sello",0,1)</f>
        <v>0</v>
      </c>
      <c r="AL790" s="13" t="str">
        <f>IF(Q790&gt;=300,"Exceso en sodio",IFERROR(IF(AND(F790=0,Q790&gt;0),"No tiene sello",IF(Q790/F790&gt;1,"Exceso en sodio","No tiene sello")),"No tiene sello"))</f>
        <v>No tiene sello</v>
      </c>
      <c r="AM790" s="13" t="str">
        <f>IFERROR(IF(F790=0,"No tiene sello",IF(+(AG790/1000)*9*100/F790&gt;1,"Exceso en grasa trans", "No tiene sello")),"No tiene sello")</f>
        <v>No tiene sello</v>
      </c>
    </row>
    <row r="791" spans="1:39" ht="15" customHeight="1" x14ac:dyDescent="0.25">
      <c r="A791" s="26" t="s">
        <v>131</v>
      </c>
      <c r="B791" s="26" t="s">
        <v>133</v>
      </c>
      <c r="C791" s="27"/>
      <c r="D791" s="47">
        <v>100</v>
      </c>
      <c r="E791" s="28">
        <v>80.8</v>
      </c>
      <c r="F791" s="24">
        <v>79</v>
      </c>
      <c r="G791" s="28">
        <v>333</v>
      </c>
      <c r="H791" s="24">
        <v>3.5</v>
      </c>
      <c r="I791" s="24">
        <v>2.5</v>
      </c>
      <c r="J791" s="24">
        <v>10.199999999999999</v>
      </c>
      <c r="K791" s="28">
        <v>9.1999999999999993</v>
      </c>
      <c r="L791" s="28">
        <v>0.51</v>
      </c>
      <c r="M791" s="24">
        <v>1</v>
      </c>
      <c r="N791" s="28">
        <v>3</v>
      </c>
      <c r="O791" s="25">
        <v>125</v>
      </c>
      <c r="P791" s="25">
        <v>1.5</v>
      </c>
      <c r="Q791" s="28">
        <v>75</v>
      </c>
      <c r="R791" s="25">
        <v>100</v>
      </c>
      <c r="S791" s="28">
        <v>1.5</v>
      </c>
      <c r="T791" s="28">
        <v>0</v>
      </c>
      <c r="U791" s="28">
        <v>0</v>
      </c>
      <c r="V791" s="28">
        <v>0.12</v>
      </c>
      <c r="W791" s="28">
        <v>0.13</v>
      </c>
      <c r="X791" s="28">
        <v>1.5</v>
      </c>
      <c r="Y791" s="28">
        <v>35</v>
      </c>
      <c r="Z791" s="28">
        <v>0.23</v>
      </c>
      <c r="AA791" s="25">
        <v>4</v>
      </c>
      <c r="AB791" s="25">
        <v>57</v>
      </c>
      <c r="AC791" s="25">
        <v>1.5</v>
      </c>
      <c r="AD791" s="28">
        <v>0</v>
      </c>
      <c r="AE791" s="28">
        <v>0</v>
      </c>
      <c r="AF791" s="28">
        <v>0</v>
      </c>
      <c r="AG791" s="28">
        <v>0</v>
      </c>
      <c r="AH791" s="24">
        <v>0</v>
      </c>
      <c r="AI791" s="28">
        <v>100</v>
      </c>
      <c r="AJ791" s="13" t="str">
        <f xml:space="preserve"> IF(AD791&gt;F791,"Exceso en grasa saturada",IFERROR(IF(F791=0,"No tiene sello",IF((AD791*9)*100/F791&gt;10,"Exceso en grasa saturada","No tiene sello")),"No tiene sello"))</f>
        <v>No tiene sello</v>
      </c>
      <c r="AK791" s="13">
        <f>IF(AJ791="No tiene sello",0,1)</f>
        <v>0</v>
      </c>
      <c r="AL791" s="13" t="str">
        <f>IF(Q791&gt;=300,"Exceso en sodio",IFERROR(IF(AND(F791=0,Q791&gt;0),"No tiene sello",IF(Q791/F791&gt;1,"Exceso en sodio","No tiene sello")),"No tiene sello"))</f>
        <v>No tiene sello</v>
      </c>
      <c r="AM791" s="13" t="str">
        <f>IFERROR(IF(F791=0,"No tiene sello",IF(+(AG791/1000)*9*100/F791&gt;1,"Exceso en grasa trans", "No tiene sello")),"No tiene sello")</f>
        <v>No tiene sello</v>
      </c>
    </row>
    <row r="792" spans="1:39" ht="15" customHeight="1" x14ac:dyDescent="0.25">
      <c r="A792" s="20" t="s">
        <v>131</v>
      </c>
      <c r="B792" s="20" t="s">
        <v>132</v>
      </c>
      <c r="C792" s="21"/>
      <c r="D792" s="22">
        <v>100</v>
      </c>
      <c r="E792" s="23">
        <v>80.8</v>
      </c>
      <c r="F792" s="24">
        <v>79</v>
      </c>
      <c r="G792" s="23">
        <v>333</v>
      </c>
      <c r="H792" s="24">
        <v>3.5</v>
      </c>
      <c r="I792" s="24">
        <v>2.5</v>
      </c>
      <c r="J792" s="24">
        <v>10.199999999999999</v>
      </c>
      <c r="K792" s="23">
        <v>9.1999999999999993</v>
      </c>
      <c r="L792" s="23">
        <v>1.02</v>
      </c>
      <c r="M792" s="24">
        <v>1</v>
      </c>
      <c r="N792" s="23">
        <v>3</v>
      </c>
      <c r="O792" s="25">
        <v>125</v>
      </c>
      <c r="P792" s="25">
        <v>1.5</v>
      </c>
      <c r="Q792" s="23">
        <v>75</v>
      </c>
      <c r="R792" s="25">
        <v>100</v>
      </c>
      <c r="S792" s="23">
        <v>1.5</v>
      </c>
      <c r="T792" s="23">
        <v>0</v>
      </c>
      <c r="U792" s="23">
        <v>0</v>
      </c>
      <c r="V792" s="23">
        <v>0.15</v>
      </c>
      <c r="W792" s="23">
        <v>0.2</v>
      </c>
      <c r="X792" s="23">
        <v>2.2000000000000002</v>
      </c>
      <c r="Y792" s="23">
        <v>48</v>
      </c>
      <c r="Z792" s="23">
        <v>0.35</v>
      </c>
      <c r="AA792" s="25">
        <v>15</v>
      </c>
      <c r="AB792" s="25">
        <v>50</v>
      </c>
      <c r="AC792" s="25">
        <v>1.5</v>
      </c>
      <c r="AD792" s="23">
        <v>0</v>
      </c>
      <c r="AE792" s="23">
        <v>0</v>
      </c>
      <c r="AF792" s="23">
        <v>0</v>
      </c>
      <c r="AG792" s="23">
        <v>0</v>
      </c>
      <c r="AH792" s="24">
        <v>0</v>
      </c>
      <c r="AI792" s="23">
        <v>100</v>
      </c>
      <c r="AJ792" s="13" t="str">
        <f xml:space="preserve"> IF(AD792&gt;F792,"Exceso en grasa saturada",IFERROR(IF(F792=0,"No tiene sello",IF((AD792*9)*100/F792&gt;10,"Exceso en grasa saturada","No tiene sello")),"No tiene sello"))</f>
        <v>No tiene sello</v>
      </c>
      <c r="AK792" s="13">
        <f>IF(AJ792="No tiene sello",0,1)</f>
        <v>0</v>
      </c>
      <c r="AL792" s="13" t="str">
        <f>IF(Q792&gt;=300,"Exceso en sodio",IFERROR(IF(AND(F792=0,Q792&gt;0),"No tiene sello",IF(Q792/F792&gt;1,"Exceso en sodio","No tiene sello")),"No tiene sello"))</f>
        <v>No tiene sello</v>
      </c>
      <c r="AM792" s="13" t="str">
        <f>IFERROR(IF(F792=0,"No tiene sello",IF(+(AG792/1000)*9*100/F792&gt;1,"Exceso en grasa trans", "No tiene sello")),"No tiene sello")</f>
        <v>No tiene sello</v>
      </c>
    </row>
    <row r="793" spans="1:39" ht="15" customHeight="1" x14ac:dyDescent="0.25">
      <c r="A793" s="33" t="s">
        <v>129</v>
      </c>
      <c r="B793" s="33" t="s">
        <v>130</v>
      </c>
      <c r="C793" s="34"/>
      <c r="D793" s="47">
        <v>100</v>
      </c>
      <c r="E793" s="35">
        <v>80.2</v>
      </c>
      <c r="F793" s="24">
        <v>82</v>
      </c>
      <c r="G793" s="35">
        <v>348</v>
      </c>
      <c r="H793" s="24">
        <v>6.4</v>
      </c>
      <c r="I793" s="24">
        <v>0.8</v>
      </c>
      <c r="J793" s="24">
        <v>11.3</v>
      </c>
      <c r="K793" s="35">
        <v>9.1</v>
      </c>
      <c r="L793" s="35">
        <v>1.1299999999999999</v>
      </c>
      <c r="M793" s="24">
        <v>2.2000000000000002</v>
      </c>
      <c r="N793" s="35">
        <v>1.3</v>
      </c>
      <c r="O793" s="35">
        <v>15</v>
      </c>
      <c r="P793" s="25">
        <v>0.7</v>
      </c>
      <c r="Q793" s="35">
        <v>248</v>
      </c>
      <c r="R793" s="35">
        <v>0</v>
      </c>
      <c r="S793" s="35">
        <v>0.6</v>
      </c>
      <c r="T793" s="35">
        <v>0</v>
      </c>
      <c r="U793" s="35">
        <v>238</v>
      </c>
      <c r="V793" s="35">
        <v>0.03</v>
      </c>
      <c r="W793" s="35">
        <v>0</v>
      </c>
      <c r="X793" s="35">
        <v>0.5</v>
      </c>
      <c r="Y793" s="35">
        <v>0</v>
      </c>
      <c r="Z793" s="35">
        <v>0</v>
      </c>
      <c r="AA793" s="25">
        <v>3</v>
      </c>
      <c r="AB793" s="25">
        <v>407</v>
      </c>
      <c r="AC793" s="25">
        <v>0</v>
      </c>
      <c r="AD793" s="35">
        <v>0.2</v>
      </c>
      <c r="AE793" s="35">
        <v>0.3</v>
      </c>
      <c r="AF793" s="35">
        <v>0.3</v>
      </c>
      <c r="AG793" s="35">
        <v>30</v>
      </c>
      <c r="AH793" s="24">
        <v>332</v>
      </c>
      <c r="AI793" s="35">
        <v>95</v>
      </c>
      <c r="AJ793" s="13" t="str">
        <f xml:space="preserve"> IF(AD793&gt;F793,"Exceso en grasa saturada",IFERROR(IF(F793=0,"No tiene sello",IF((AD793*9)*100/F793&gt;10,"Exceso en grasa saturada","No tiene sello")),"No tiene sello"))</f>
        <v>No tiene sello</v>
      </c>
      <c r="AK793" s="13">
        <f>IF(AJ793="No tiene sello",0,1)</f>
        <v>0</v>
      </c>
      <c r="AL793" s="13" t="str">
        <f>IF(Q793&gt;=300,"Exceso en sodio",IFERROR(IF(AND(F793=0,Q793&gt;0),"No tiene sello",IF(Q793/F793&gt;1,"Exceso en sodio","No tiene sello")),"No tiene sello"))</f>
        <v>Exceso en sodio</v>
      </c>
      <c r="AM793" s="13" t="str">
        <f>IFERROR(IF(F793=0,"No tiene sello",IF(+(AG793/1000)*9*100/F793&gt;1,"Exceso en grasa trans", "No tiene sello")),"No tiene sello")</f>
        <v>No tiene sello</v>
      </c>
    </row>
    <row r="794" spans="1:39" ht="15" customHeight="1" x14ac:dyDescent="0.25">
      <c r="A794" s="29" t="s">
        <v>127</v>
      </c>
      <c r="B794" s="29" t="s">
        <v>128</v>
      </c>
      <c r="C794" s="30"/>
      <c r="D794" s="22">
        <v>100</v>
      </c>
      <c r="E794" s="31">
        <v>74.900000000000006</v>
      </c>
      <c r="F794" s="24">
        <v>119</v>
      </c>
      <c r="G794" s="31">
        <v>501</v>
      </c>
      <c r="H794" s="24">
        <v>10.1</v>
      </c>
      <c r="I794" s="24">
        <v>4.3</v>
      </c>
      <c r="J794" s="24">
        <v>9.1999999999999993</v>
      </c>
      <c r="K794" s="31">
        <v>7.5</v>
      </c>
      <c r="L794" s="31">
        <v>0.46</v>
      </c>
      <c r="M794" s="24">
        <v>1.7</v>
      </c>
      <c r="N794" s="31">
        <v>1.5</v>
      </c>
      <c r="O794" s="31">
        <v>20</v>
      </c>
      <c r="P794" s="31">
        <v>0.7</v>
      </c>
      <c r="Q794" s="31">
        <v>480</v>
      </c>
      <c r="R794" s="31">
        <v>0</v>
      </c>
      <c r="S794" s="31">
        <v>0.7</v>
      </c>
      <c r="T794" s="31">
        <v>0</v>
      </c>
      <c r="U794" s="31">
        <v>210</v>
      </c>
      <c r="V794" s="31">
        <v>0.1</v>
      </c>
      <c r="W794" s="31">
        <v>0.01</v>
      </c>
      <c r="X794" s="31">
        <v>0</v>
      </c>
      <c r="Y794" s="31">
        <v>0</v>
      </c>
      <c r="Z794" s="31">
        <v>0</v>
      </c>
      <c r="AA794" s="31">
        <v>0</v>
      </c>
      <c r="AB794" s="31">
        <v>26</v>
      </c>
      <c r="AC794" s="31">
        <v>0</v>
      </c>
      <c r="AD794" s="31">
        <v>0.8</v>
      </c>
      <c r="AE794" s="31">
        <v>1.1000000000000001</v>
      </c>
      <c r="AF794" s="31">
        <v>2.4</v>
      </c>
      <c r="AG794" s="31">
        <v>30</v>
      </c>
      <c r="AH794" s="31">
        <v>0</v>
      </c>
      <c r="AI794" s="31">
        <v>100</v>
      </c>
      <c r="AJ794" s="13" t="str">
        <f xml:space="preserve"> IF(AD794&gt;F794,"Exceso en grasa saturada",IFERROR(IF(F794=0,"No tiene sello",IF((AD794*9)*100/F794&gt;10,"Exceso en grasa saturada","No tiene sello")),"No tiene sello"))</f>
        <v>No tiene sello</v>
      </c>
      <c r="AK794" s="13">
        <f>IF(AJ794="No tiene sello",0,1)</f>
        <v>0</v>
      </c>
      <c r="AL794" s="13" t="str">
        <f>IF(Q794&gt;=300,"Exceso en sodio",IFERROR(IF(AND(F794=0,Q794&gt;0),"No tiene sello",IF(Q794/F794&gt;1,"Exceso en sodio","No tiene sello")),"No tiene sello"))</f>
        <v>Exceso en sodio</v>
      </c>
      <c r="AM794" s="13" t="str">
        <f>IFERROR(IF(F794=0,"No tiene sello",IF(+(AG794/1000)*9*100/F794&gt;1,"Exceso en grasa trans", "No tiene sello")),"No tiene sello")</f>
        <v>No tiene sello</v>
      </c>
    </row>
    <row r="795" spans="1:39" ht="15" customHeight="1" x14ac:dyDescent="0.25">
      <c r="A795" s="26" t="s">
        <v>125</v>
      </c>
      <c r="B795" s="26" t="s">
        <v>126</v>
      </c>
      <c r="C795" s="27"/>
      <c r="D795" s="47">
        <v>100</v>
      </c>
      <c r="E795" s="28">
        <v>59.9</v>
      </c>
      <c r="F795" s="24">
        <v>182</v>
      </c>
      <c r="G795" s="28">
        <v>765</v>
      </c>
      <c r="H795" s="24">
        <v>6.4</v>
      </c>
      <c r="I795" s="24">
        <v>5.5</v>
      </c>
      <c r="J795" s="24">
        <v>26.4</v>
      </c>
      <c r="K795" s="28">
        <v>25.9</v>
      </c>
      <c r="L795" s="28">
        <v>1.32</v>
      </c>
      <c r="M795" s="24">
        <v>0.5</v>
      </c>
      <c r="N795" s="28">
        <v>1.8</v>
      </c>
      <c r="O795" s="25">
        <v>84</v>
      </c>
      <c r="P795" s="25">
        <v>0.4</v>
      </c>
      <c r="Q795" s="28">
        <v>553</v>
      </c>
      <c r="R795" s="25">
        <v>0</v>
      </c>
      <c r="S795" s="28">
        <v>0.9</v>
      </c>
      <c r="T795" s="28">
        <v>0</v>
      </c>
      <c r="U795" s="28">
        <v>52</v>
      </c>
      <c r="V795" s="28">
        <v>0.2</v>
      </c>
      <c r="W795" s="28">
        <v>0</v>
      </c>
      <c r="X795" s="28">
        <v>0</v>
      </c>
      <c r="Y795" s="28">
        <v>0</v>
      </c>
      <c r="Z795" s="28">
        <v>0</v>
      </c>
      <c r="AA795" s="25">
        <v>0</v>
      </c>
      <c r="AB795" s="25">
        <v>21</v>
      </c>
      <c r="AC795" s="25">
        <v>0</v>
      </c>
      <c r="AD795" s="28">
        <v>1.8</v>
      </c>
      <c r="AE795" s="28">
        <v>1.6</v>
      </c>
      <c r="AF795" s="28">
        <v>2.1</v>
      </c>
      <c r="AG795" s="28">
        <v>50</v>
      </c>
      <c r="AH795" s="24">
        <v>15</v>
      </c>
      <c r="AI795" s="28">
        <v>100</v>
      </c>
      <c r="AJ795" s="13" t="str">
        <f xml:space="preserve"> IF(AD795&gt;F795,"Exceso en grasa saturada",IFERROR(IF(F795=0,"No tiene sello",IF((AD795*9)*100/F795&gt;10,"Exceso en grasa saturada","No tiene sello")),"No tiene sello"))</f>
        <v>No tiene sello</v>
      </c>
      <c r="AK795" s="13">
        <f>IF(AJ795="No tiene sello",0,1)</f>
        <v>0</v>
      </c>
      <c r="AL795" s="13" t="str">
        <f>IF(Q795&gt;=300,"Exceso en sodio",IFERROR(IF(AND(F795=0,Q795&gt;0),"No tiene sello",IF(Q795/F795&gt;1,"Exceso en sodio","No tiene sello")),"No tiene sello"))</f>
        <v>Exceso en sodio</v>
      </c>
      <c r="AM795" s="13" t="str">
        <f>IFERROR(IF(F795=0,"No tiene sello",IF(+(AG795/1000)*9*100/F795&gt;1,"Exceso en grasa trans", "No tiene sello")),"No tiene sello")</f>
        <v>No tiene sello</v>
      </c>
    </row>
    <row r="796" spans="1:39" ht="15" customHeight="1" x14ac:dyDescent="0.25">
      <c r="A796" s="20" t="s">
        <v>123</v>
      </c>
      <c r="B796" s="20" t="s">
        <v>124</v>
      </c>
      <c r="C796" s="21"/>
      <c r="D796" s="22">
        <v>100</v>
      </c>
      <c r="E796" s="23">
        <v>60.3</v>
      </c>
      <c r="F796" s="24">
        <v>212</v>
      </c>
      <c r="G796" s="23">
        <v>884</v>
      </c>
      <c r="H796" s="24">
        <v>11.7</v>
      </c>
      <c r="I796" s="24">
        <v>11</v>
      </c>
      <c r="J796" s="24">
        <v>15.3</v>
      </c>
      <c r="K796" s="23">
        <v>13</v>
      </c>
      <c r="L796" s="23">
        <v>1.53</v>
      </c>
      <c r="M796" s="24">
        <v>2.2999999999999998</v>
      </c>
      <c r="N796" s="23">
        <v>1.7</v>
      </c>
      <c r="O796" s="25">
        <v>32</v>
      </c>
      <c r="P796" s="25">
        <v>1.5</v>
      </c>
      <c r="Q796" s="23">
        <v>282</v>
      </c>
      <c r="R796" s="25">
        <v>0</v>
      </c>
      <c r="S796" s="23">
        <v>1.2</v>
      </c>
      <c r="T796" s="23">
        <v>0</v>
      </c>
      <c r="U796" s="23">
        <v>233</v>
      </c>
      <c r="V796" s="23">
        <v>0.02</v>
      </c>
      <c r="W796" s="23">
        <v>0</v>
      </c>
      <c r="X796" s="23">
        <v>0</v>
      </c>
      <c r="Y796" s="23">
        <v>0</v>
      </c>
      <c r="Z796" s="23">
        <v>0</v>
      </c>
      <c r="AA796" s="25">
        <v>1</v>
      </c>
      <c r="AB796" s="25">
        <v>14</v>
      </c>
      <c r="AC796" s="25">
        <v>0</v>
      </c>
      <c r="AD796" s="23">
        <v>1.9</v>
      </c>
      <c r="AE796" s="23">
        <v>4.2</v>
      </c>
      <c r="AF796" s="23">
        <v>4.9000000000000004</v>
      </c>
      <c r="AG796" s="23">
        <v>50</v>
      </c>
      <c r="AH796" s="24">
        <v>20</v>
      </c>
      <c r="AI796" s="23">
        <v>100</v>
      </c>
      <c r="AJ796" s="13" t="str">
        <f xml:space="preserve"> IF(AD796&gt;F796,"Exceso en grasa saturada",IFERROR(IF(F796=0,"No tiene sello",IF((AD796*9)*100/F796&gt;10,"Exceso en grasa saturada","No tiene sello")),"No tiene sello"))</f>
        <v>No tiene sello</v>
      </c>
      <c r="AK796" s="13">
        <f>IF(AJ796="No tiene sello",0,1)</f>
        <v>0</v>
      </c>
      <c r="AL796" s="13" t="str">
        <f>IF(Q796&gt;=300,"Exceso en sodio",IFERROR(IF(AND(F796=0,Q796&gt;0),"No tiene sello",IF(Q796/F796&gt;1,"Exceso en sodio","No tiene sello")),"No tiene sello"))</f>
        <v>Exceso en sodio</v>
      </c>
      <c r="AM796" s="13" t="str">
        <f>IFERROR(IF(F796=0,"No tiene sello",IF(+(AG796/1000)*9*100/F796&gt;1,"Exceso en grasa trans", "No tiene sello")),"No tiene sello")</f>
        <v>No tiene sello</v>
      </c>
    </row>
    <row r="797" spans="1:39" ht="15" customHeight="1" x14ac:dyDescent="0.25">
      <c r="A797" s="26" t="s">
        <v>121</v>
      </c>
      <c r="B797" s="26" t="s">
        <v>122</v>
      </c>
      <c r="C797" s="27"/>
      <c r="D797" s="47">
        <v>100</v>
      </c>
      <c r="E797" s="28">
        <v>62.4</v>
      </c>
      <c r="F797" s="24">
        <v>178</v>
      </c>
      <c r="G797" s="28">
        <v>748</v>
      </c>
      <c r="H797" s="24">
        <v>3.3</v>
      </c>
      <c r="I797" s="24">
        <v>4.8</v>
      </c>
      <c r="J797" s="24">
        <v>29.1</v>
      </c>
      <c r="K797" s="28">
        <v>26.7</v>
      </c>
      <c r="L797" s="28">
        <v>2.91</v>
      </c>
      <c r="M797" s="24">
        <v>2.4</v>
      </c>
      <c r="N797" s="28">
        <v>0.4</v>
      </c>
      <c r="O797" s="25">
        <v>7</v>
      </c>
      <c r="P797" s="25">
        <v>0.2</v>
      </c>
      <c r="Q797" s="28">
        <v>132</v>
      </c>
      <c r="R797" s="25">
        <v>30</v>
      </c>
      <c r="S797" s="28">
        <v>0.4</v>
      </c>
      <c r="T797" s="28">
        <v>15</v>
      </c>
      <c r="U797" s="28">
        <v>125</v>
      </c>
      <c r="V797" s="28">
        <v>0.02</v>
      </c>
      <c r="W797" s="28">
        <v>0.03</v>
      </c>
      <c r="X797" s="28">
        <v>1.6</v>
      </c>
      <c r="Y797" s="28">
        <v>0</v>
      </c>
      <c r="Z797" s="28">
        <v>0</v>
      </c>
      <c r="AA797" s="25">
        <v>0</v>
      </c>
      <c r="AB797" s="25">
        <v>5</v>
      </c>
      <c r="AC797" s="25">
        <v>0</v>
      </c>
      <c r="AD797" s="28">
        <v>0.5</v>
      </c>
      <c r="AE797" s="28">
        <v>0.7</v>
      </c>
      <c r="AF797" s="28">
        <v>1.4</v>
      </c>
      <c r="AG797" s="28">
        <v>0</v>
      </c>
      <c r="AH797" s="24">
        <v>0</v>
      </c>
      <c r="AI797" s="28">
        <v>100</v>
      </c>
      <c r="AJ797" s="13" t="str">
        <f xml:space="preserve"> IF(AD797&gt;F797,"Exceso en grasa saturada",IFERROR(IF(F797=0,"No tiene sello",IF((AD797*9)*100/F797&gt;10,"Exceso en grasa saturada","No tiene sello")),"No tiene sello"))</f>
        <v>No tiene sello</v>
      </c>
      <c r="AK797" s="13">
        <f>IF(AJ797="No tiene sello",0,1)</f>
        <v>0</v>
      </c>
      <c r="AL797" s="13" t="str">
        <f>IF(Q797&gt;=300,"Exceso en sodio",IFERROR(IF(AND(F797=0,Q797&gt;0),"No tiene sello",IF(Q797/F797&gt;1,"Exceso en sodio","No tiene sello")),"No tiene sello"))</f>
        <v>No tiene sello</v>
      </c>
      <c r="AM797" s="13" t="str">
        <f>IFERROR(IF(F797=0,"No tiene sello",IF(+(AG797/1000)*9*100/F797&gt;1,"Exceso en grasa trans", "No tiene sello")),"No tiene sello")</f>
        <v>No tiene sello</v>
      </c>
    </row>
    <row r="798" spans="1:39" ht="15" customHeight="1" x14ac:dyDescent="0.25">
      <c r="A798" s="29" t="s">
        <v>119</v>
      </c>
      <c r="B798" s="29" t="s">
        <v>120</v>
      </c>
      <c r="C798" s="30"/>
      <c r="D798" s="22">
        <v>100</v>
      </c>
      <c r="E798" s="31">
        <v>45.8</v>
      </c>
      <c r="F798" s="24">
        <v>295</v>
      </c>
      <c r="G798" s="31">
        <v>1231</v>
      </c>
      <c r="H798" s="24">
        <v>5.8</v>
      </c>
      <c r="I798" s="24">
        <v>17.399999999999999</v>
      </c>
      <c r="J798" s="24">
        <v>28.6</v>
      </c>
      <c r="K798" s="31">
        <v>0</v>
      </c>
      <c r="L798" s="31">
        <v>2.86</v>
      </c>
      <c r="M798" s="24">
        <v>0</v>
      </c>
      <c r="N798" s="31">
        <v>2.2999999999999998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31">
        <v>0</v>
      </c>
      <c r="Y798" s="31">
        <v>0</v>
      </c>
      <c r="Z798" s="31">
        <v>0</v>
      </c>
      <c r="AA798" s="31">
        <v>0</v>
      </c>
      <c r="AB798" s="31">
        <v>0</v>
      </c>
      <c r="AC798" s="31">
        <v>0.5</v>
      </c>
      <c r="AD798" s="31">
        <v>0</v>
      </c>
      <c r="AE798" s="31">
        <v>0</v>
      </c>
      <c r="AF798" s="31">
        <v>0</v>
      </c>
      <c r="AG798" s="31">
        <v>80</v>
      </c>
      <c r="AH798" s="31">
        <v>0</v>
      </c>
      <c r="AI798" s="31">
        <v>100</v>
      </c>
      <c r="AJ798" s="13" t="str">
        <f xml:space="preserve"> IF(AD798&gt;F798,"Exceso en grasa saturada",IFERROR(IF(F798=0,"No tiene sello",IF((AD798*9)*100/F798&gt;10,"Exceso en grasa saturada","No tiene sello")),"No tiene sello"))</f>
        <v>No tiene sello</v>
      </c>
      <c r="AK798" s="13">
        <f>IF(AJ798="No tiene sello",0,1)</f>
        <v>0</v>
      </c>
      <c r="AL798" s="13" t="str">
        <f>IF(Q798&gt;=300,"Exceso en sodio",IFERROR(IF(AND(F798=0,Q798&gt;0),"No tiene sello",IF(Q798/F798&gt;1,"Exceso en sodio","No tiene sello")),"No tiene sello"))</f>
        <v>No tiene sello</v>
      </c>
      <c r="AM798" s="13" t="str">
        <f>IFERROR(IF(F798=0,"No tiene sello",IF(+(AG798/1000)*9*100/F798&gt;1,"Exceso en grasa trans", "No tiene sello")),"No tiene sello")</f>
        <v>No tiene sello</v>
      </c>
    </row>
    <row r="799" spans="1:39" ht="15" customHeight="1" x14ac:dyDescent="0.25">
      <c r="A799" s="26" t="s">
        <v>117</v>
      </c>
      <c r="B799" s="26" t="s">
        <v>118</v>
      </c>
      <c r="C799" s="27"/>
      <c r="D799" s="47">
        <v>100</v>
      </c>
      <c r="E799" s="28">
        <v>55.5</v>
      </c>
      <c r="F799" s="24">
        <v>217</v>
      </c>
      <c r="G799" s="28">
        <v>909</v>
      </c>
      <c r="H799" s="24">
        <v>22</v>
      </c>
      <c r="I799" s="24">
        <v>10.3</v>
      </c>
      <c r="J799" s="24">
        <v>8.6999999999999993</v>
      </c>
      <c r="K799" s="28">
        <v>7.9</v>
      </c>
      <c r="L799" s="28">
        <v>0.87</v>
      </c>
      <c r="M799" s="24">
        <v>0.8</v>
      </c>
      <c r="N799" s="28">
        <v>3.5</v>
      </c>
      <c r="O799" s="25">
        <v>24</v>
      </c>
      <c r="P799" s="25">
        <v>1</v>
      </c>
      <c r="Q799" s="28">
        <v>1030</v>
      </c>
      <c r="R799" s="25">
        <v>0</v>
      </c>
      <c r="S799" s="28">
        <v>0.7</v>
      </c>
      <c r="T799" s="28">
        <v>0</v>
      </c>
      <c r="U799" s="28">
        <v>220</v>
      </c>
      <c r="V799" s="28">
        <v>1.75</v>
      </c>
      <c r="W799" s="28">
        <v>0.02</v>
      </c>
      <c r="X799" s="28">
        <v>0</v>
      </c>
      <c r="Y799" s="28">
        <v>0</v>
      </c>
      <c r="Z799" s="28">
        <v>0</v>
      </c>
      <c r="AA799" s="25">
        <v>0</v>
      </c>
      <c r="AB799" s="25">
        <v>15</v>
      </c>
      <c r="AC799" s="25">
        <v>0</v>
      </c>
      <c r="AD799" s="28">
        <v>1.9</v>
      </c>
      <c r="AE799" s="28">
        <v>2.9</v>
      </c>
      <c r="AF799" s="28">
        <v>5.5</v>
      </c>
      <c r="AG799" s="28">
        <v>100</v>
      </c>
      <c r="AH799" s="24">
        <v>8</v>
      </c>
      <c r="AI799" s="28">
        <v>100</v>
      </c>
      <c r="AJ799" s="13" t="str">
        <f xml:space="preserve"> IF(AD799&gt;F799,"Exceso en grasa saturada",IFERROR(IF(F799=0,"No tiene sello",IF((AD799*9)*100/F799&gt;10,"Exceso en grasa saturada","No tiene sello")),"No tiene sello"))</f>
        <v>No tiene sello</v>
      </c>
      <c r="AK799" s="13">
        <f>IF(AJ799="No tiene sello",0,1)</f>
        <v>0</v>
      </c>
      <c r="AL799" s="13" t="str">
        <f>IF(Q799&gt;=300,"Exceso en sodio",IFERROR(IF(AND(F799=0,Q799&gt;0),"No tiene sello",IF(Q799/F799&gt;1,"Exceso en sodio","No tiene sello")),"No tiene sello"))</f>
        <v>Exceso en sodio</v>
      </c>
      <c r="AM799" s="13" t="str">
        <f>IFERROR(IF(F799=0,"No tiene sello",IF(+(AG799/1000)*9*100/F799&gt;1,"Exceso en grasa trans", "No tiene sello")),"No tiene sello")</f>
        <v>No tiene sello</v>
      </c>
    </row>
    <row r="800" spans="1:39" ht="15" customHeight="1" x14ac:dyDescent="0.25">
      <c r="A800" s="20" t="s">
        <v>115</v>
      </c>
      <c r="B800" s="20" t="s">
        <v>116</v>
      </c>
      <c r="C800" s="21"/>
      <c r="D800" s="22">
        <v>100</v>
      </c>
      <c r="E800" s="23">
        <v>71.599999999999994</v>
      </c>
      <c r="F800" s="24">
        <v>129</v>
      </c>
      <c r="G800" s="23">
        <v>544</v>
      </c>
      <c r="H800" s="24">
        <v>6.6</v>
      </c>
      <c r="I800" s="24">
        <v>3.4</v>
      </c>
      <c r="J800" s="24">
        <v>16.399999999999999</v>
      </c>
      <c r="K800" s="23">
        <v>13.1</v>
      </c>
      <c r="L800" s="23">
        <v>1.64</v>
      </c>
      <c r="M800" s="24">
        <v>3.3</v>
      </c>
      <c r="N800" s="23">
        <v>2</v>
      </c>
      <c r="O800" s="25">
        <v>29</v>
      </c>
      <c r="P800" s="25">
        <v>1.2</v>
      </c>
      <c r="Q800" s="23">
        <v>401</v>
      </c>
      <c r="R800" s="25">
        <v>87</v>
      </c>
      <c r="S800" s="23">
        <v>1.2</v>
      </c>
      <c r="T800" s="23">
        <v>23</v>
      </c>
      <c r="U800" s="23">
        <v>269</v>
      </c>
      <c r="V800" s="23">
        <v>0.03</v>
      </c>
      <c r="W800" s="23">
        <v>0.08</v>
      </c>
      <c r="X800" s="23">
        <v>0.8</v>
      </c>
      <c r="Y800" s="23">
        <v>21</v>
      </c>
      <c r="Z800" s="23">
        <v>0.39</v>
      </c>
      <c r="AA800" s="25">
        <v>0</v>
      </c>
      <c r="AB800" s="25">
        <v>34</v>
      </c>
      <c r="AC800" s="25">
        <v>0</v>
      </c>
      <c r="AD800" s="23">
        <v>1.3</v>
      </c>
      <c r="AE800" s="23">
        <v>1.4</v>
      </c>
      <c r="AF800" s="23">
        <v>0.4</v>
      </c>
      <c r="AG800" s="23">
        <v>50</v>
      </c>
      <c r="AH800" s="24">
        <v>9</v>
      </c>
      <c r="AI800" s="23">
        <v>100</v>
      </c>
      <c r="AJ800" s="13" t="str">
        <f xml:space="preserve"> IF(AD800&gt;F800,"Exceso en grasa saturada",IFERROR(IF(F800=0,"No tiene sello",IF((AD800*9)*100/F800&gt;10,"Exceso en grasa saturada","No tiene sello")),"No tiene sello"))</f>
        <v>No tiene sello</v>
      </c>
      <c r="AK800" s="13">
        <f>IF(AJ800="No tiene sello",0,1)</f>
        <v>0</v>
      </c>
      <c r="AL800" s="13" t="str">
        <f>IF(Q800&gt;=300,"Exceso en sodio",IFERROR(IF(AND(F800=0,Q800&gt;0),"No tiene sello",IF(Q800/F800&gt;1,"Exceso en sodio","No tiene sello")),"No tiene sello"))</f>
        <v>Exceso en sodio</v>
      </c>
      <c r="AM800" s="13" t="str">
        <f>IFERROR(IF(F800=0,"No tiene sello",IF(+(AG800/1000)*9*100/F800&gt;1,"Exceso en grasa trans", "No tiene sello")),"No tiene sello")</f>
        <v>No tiene sello</v>
      </c>
    </row>
    <row r="801" spans="1:39" ht="15" customHeight="1" x14ac:dyDescent="0.25">
      <c r="A801" s="33" t="s">
        <v>113</v>
      </c>
      <c r="B801" s="33" t="s">
        <v>114</v>
      </c>
      <c r="C801" s="34"/>
      <c r="D801" s="47">
        <v>100</v>
      </c>
      <c r="E801" s="35">
        <v>82</v>
      </c>
      <c r="F801" s="24">
        <v>89</v>
      </c>
      <c r="G801" s="35">
        <v>374</v>
      </c>
      <c r="H801" s="24">
        <v>3.4</v>
      </c>
      <c r="I801" s="24">
        <v>3.6</v>
      </c>
      <c r="J801" s="24">
        <v>10.3</v>
      </c>
      <c r="K801" s="35">
        <v>9.3000000000000007</v>
      </c>
      <c r="L801" s="35">
        <v>1.03</v>
      </c>
      <c r="M801" s="24">
        <v>1</v>
      </c>
      <c r="N801" s="35">
        <v>0.7</v>
      </c>
      <c r="O801" s="35">
        <v>112</v>
      </c>
      <c r="P801" s="25">
        <v>0.5</v>
      </c>
      <c r="Q801" s="35">
        <v>53</v>
      </c>
      <c r="R801" s="35">
        <v>101</v>
      </c>
      <c r="S801" s="35">
        <v>0.4</v>
      </c>
      <c r="T801" s="35">
        <v>19</v>
      </c>
      <c r="U801" s="35">
        <v>112</v>
      </c>
      <c r="V801" s="35">
        <v>0.04</v>
      </c>
      <c r="W801" s="35">
        <v>0.11</v>
      </c>
      <c r="X801" s="35">
        <v>0.5</v>
      </c>
      <c r="Y801" s="35">
        <v>5</v>
      </c>
      <c r="Z801" s="35">
        <v>0.56999999999999995</v>
      </c>
      <c r="AA801" s="25">
        <v>0</v>
      </c>
      <c r="AB801" s="25">
        <v>27</v>
      </c>
      <c r="AC801" s="25">
        <v>1</v>
      </c>
      <c r="AD801" s="35">
        <v>1.9</v>
      </c>
      <c r="AE801" s="35">
        <v>0.9</v>
      </c>
      <c r="AF801" s="35">
        <v>0.1</v>
      </c>
      <c r="AG801" s="35">
        <v>30</v>
      </c>
      <c r="AH801" s="24">
        <v>10</v>
      </c>
      <c r="AI801" s="35">
        <v>100</v>
      </c>
      <c r="AJ801" s="13" t="str">
        <f xml:space="preserve"> IF(AD801&gt;F801,"Exceso en grasa saturada",IFERROR(IF(F801=0,"No tiene sello",IF((AD801*9)*100/F801&gt;10,"Exceso en grasa saturada","No tiene sello")),"No tiene sello"))</f>
        <v>Exceso en grasa saturada</v>
      </c>
      <c r="AK801" s="13">
        <f>IF(AJ801="No tiene sello",0,1)</f>
        <v>1</v>
      </c>
      <c r="AL801" s="13" t="str">
        <f>IF(Q801&gt;=300,"Exceso en sodio",IFERROR(IF(AND(F801=0,Q801&gt;0),"No tiene sello",IF(Q801/F801&gt;1,"Exceso en sodio","No tiene sello")),"No tiene sello"))</f>
        <v>No tiene sello</v>
      </c>
      <c r="AM801" s="13" t="str">
        <f>IFERROR(IF(F801=0,"No tiene sello",IF(+(AG801/1000)*9*100/F801&gt;1,"Exceso en grasa trans", "No tiene sello")),"No tiene sello")</f>
        <v>No tiene sello</v>
      </c>
    </row>
    <row r="802" spans="1:39" ht="15" customHeight="1" x14ac:dyDescent="0.25">
      <c r="A802" s="20" t="s">
        <v>111</v>
      </c>
      <c r="B802" s="20" t="s">
        <v>112</v>
      </c>
      <c r="C802" s="21"/>
      <c r="D802" s="22">
        <v>100</v>
      </c>
      <c r="E802" s="23">
        <v>49.9</v>
      </c>
      <c r="F802" s="24">
        <v>229</v>
      </c>
      <c r="G802" s="23">
        <v>964</v>
      </c>
      <c r="H802" s="24">
        <v>24.4</v>
      </c>
      <c r="I802" s="24">
        <v>7.8</v>
      </c>
      <c r="J802" s="24">
        <v>14.8</v>
      </c>
      <c r="K802" s="23">
        <v>13.7</v>
      </c>
      <c r="L802" s="23">
        <v>1.48</v>
      </c>
      <c r="M802" s="24">
        <v>1.1000000000000001</v>
      </c>
      <c r="N802" s="23">
        <v>3.1</v>
      </c>
      <c r="O802" s="25">
        <v>37</v>
      </c>
      <c r="P802" s="25">
        <v>2.9</v>
      </c>
      <c r="Q802" s="23">
        <v>758</v>
      </c>
      <c r="R802" s="25">
        <v>0</v>
      </c>
      <c r="S802" s="23">
        <v>1.9</v>
      </c>
      <c r="T802" s="23">
        <v>0</v>
      </c>
      <c r="U802" s="23">
        <v>245</v>
      </c>
      <c r="V802" s="23">
        <v>0.33</v>
      </c>
      <c r="W802" s="23">
        <v>0.02</v>
      </c>
      <c r="X802" s="23">
        <v>0.2</v>
      </c>
      <c r="Y802" s="23">
        <v>0</v>
      </c>
      <c r="Z802" s="23">
        <v>0</v>
      </c>
      <c r="AA802" s="25">
        <v>1</v>
      </c>
      <c r="AB802" s="25">
        <v>485</v>
      </c>
      <c r="AC802" s="25">
        <v>0</v>
      </c>
      <c r="AD802" s="23">
        <v>3.2</v>
      </c>
      <c r="AE802" s="23">
        <v>2.1</v>
      </c>
      <c r="AF802" s="23">
        <v>2.4</v>
      </c>
      <c r="AG802" s="23">
        <v>30</v>
      </c>
      <c r="AH802" s="24">
        <v>94</v>
      </c>
      <c r="AI802" s="23">
        <v>100</v>
      </c>
      <c r="AJ802" s="13" t="str">
        <f xml:space="preserve"> IF(AD802&gt;F802,"Exceso en grasa saturada",IFERROR(IF(F802=0,"No tiene sello",IF((AD802*9)*100/F802&gt;10,"Exceso en grasa saturada","No tiene sello")),"No tiene sello"))</f>
        <v>Exceso en grasa saturada</v>
      </c>
      <c r="AK802" s="13">
        <f>IF(AJ802="No tiene sello",0,1)</f>
        <v>1</v>
      </c>
      <c r="AL802" s="13" t="str">
        <f>IF(Q802&gt;=300,"Exceso en sodio",IFERROR(IF(AND(F802=0,Q802&gt;0),"No tiene sello",IF(Q802/F802&gt;1,"Exceso en sodio","No tiene sello")),"No tiene sello"))</f>
        <v>Exceso en sodio</v>
      </c>
      <c r="AM802" s="13" t="str">
        <f>IFERROR(IF(F802=0,"No tiene sello",IF(+(AG802/1000)*9*100/F802&gt;1,"Exceso en grasa trans", "No tiene sello")),"No tiene sello")</f>
        <v>No tiene sello</v>
      </c>
    </row>
    <row r="803" spans="1:39" ht="15" customHeight="1" x14ac:dyDescent="0.25">
      <c r="A803" s="26" t="s">
        <v>109</v>
      </c>
      <c r="B803" s="26" t="s">
        <v>110</v>
      </c>
      <c r="C803" s="27"/>
      <c r="D803" s="47">
        <v>100</v>
      </c>
      <c r="E803" s="28">
        <v>31.4</v>
      </c>
      <c r="F803" s="24">
        <v>396</v>
      </c>
      <c r="G803" s="28">
        <v>1650</v>
      </c>
      <c r="H803" s="24">
        <v>4.7</v>
      </c>
      <c r="I803" s="24">
        <v>26.3</v>
      </c>
      <c r="J803" s="24">
        <v>34.6</v>
      </c>
      <c r="K803" s="28">
        <v>33.5</v>
      </c>
      <c r="L803" s="28">
        <v>5.19</v>
      </c>
      <c r="M803" s="24">
        <v>1.1000000000000001</v>
      </c>
      <c r="N803" s="28">
        <v>3</v>
      </c>
      <c r="O803" s="25">
        <v>12</v>
      </c>
      <c r="P803" s="25">
        <v>7.1</v>
      </c>
      <c r="Q803" s="28">
        <v>0</v>
      </c>
      <c r="R803" s="25">
        <v>13</v>
      </c>
      <c r="S803" s="28">
        <v>0</v>
      </c>
      <c r="T803" s="28">
        <v>0</v>
      </c>
      <c r="U803" s="28">
        <v>0</v>
      </c>
      <c r="V803" s="28">
        <v>0.05</v>
      </c>
      <c r="W803" s="28">
        <v>0.08</v>
      </c>
      <c r="X803" s="28">
        <v>1.1000000000000001</v>
      </c>
      <c r="Y803" s="28">
        <v>0</v>
      </c>
      <c r="Z803" s="28">
        <v>0</v>
      </c>
      <c r="AA803" s="25">
        <v>0</v>
      </c>
      <c r="AB803" s="25">
        <v>7</v>
      </c>
      <c r="AC803" s="25">
        <v>0</v>
      </c>
      <c r="AD803" s="28">
        <v>0</v>
      </c>
      <c r="AE803" s="28">
        <v>0</v>
      </c>
      <c r="AF803" s="28">
        <v>0</v>
      </c>
      <c r="AG803" s="28">
        <v>100</v>
      </c>
      <c r="AH803" s="24">
        <v>0</v>
      </c>
      <c r="AI803" s="28">
        <v>100</v>
      </c>
      <c r="AJ803" s="13" t="str">
        <f xml:space="preserve"> IF(AD803&gt;F803,"Exceso en grasa saturada",IFERROR(IF(F803=0,"No tiene sello",IF((AD803*9)*100/F803&gt;10,"Exceso en grasa saturada","No tiene sello")),"No tiene sello"))</f>
        <v>No tiene sello</v>
      </c>
      <c r="AK803" s="13">
        <f>IF(AJ803="No tiene sello",0,1)</f>
        <v>0</v>
      </c>
      <c r="AL803" s="13" t="str">
        <f>IF(Q803&gt;=300,"Exceso en sodio",IFERROR(IF(AND(F803=0,Q803&gt;0),"No tiene sello",IF(Q803/F803&gt;1,"Exceso en sodio","No tiene sello")),"No tiene sello"))</f>
        <v>No tiene sello</v>
      </c>
      <c r="AM803" s="13" t="str">
        <f>IFERROR(IF(F803=0,"No tiene sello",IF(+(AG803/1000)*9*100/F803&gt;1,"Exceso en grasa trans", "No tiene sello")),"No tiene sello")</f>
        <v>No tiene sello</v>
      </c>
    </row>
    <row r="804" spans="1:39" ht="15" customHeight="1" x14ac:dyDescent="0.25">
      <c r="A804" s="20" t="s">
        <v>107</v>
      </c>
      <c r="B804" s="20" t="s">
        <v>108</v>
      </c>
      <c r="C804" s="21"/>
      <c r="D804" s="22">
        <v>100</v>
      </c>
      <c r="E804" s="23">
        <v>66.099999999999994</v>
      </c>
      <c r="F804" s="24">
        <v>163</v>
      </c>
      <c r="G804" s="23">
        <v>685</v>
      </c>
      <c r="H804" s="24">
        <v>3.2</v>
      </c>
      <c r="I804" s="24">
        <v>4.8</v>
      </c>
      <c r="J804" s="24">
        <v>25.5</v>
      </c>
      <c r="K804" s="23">
        <v>23.1</v>
      </c>
      <c r="L804" s="23">
        <v>2.5499999999999998</v>
      </c>
      <c r="M804" s="24">
        <v>2.4</v>
      </c>
      <c r="N804" s="23">
        <v>0.4</v>
      </c>
      <c r="O804" s="25">
        <v>6</v>
      </c>
      <c r="P804" s="25">
        <v>0.4</v>
      </c>
      <c r="Q804" s="23">
        <v>132</v>
      </c>
      <c r="R804" s="25">
        <v>25</v>
      </c>
      <c r="S804" s="23">
        <v>0.4</v>
      </c>
      <c r="T804" s="23">
        <v>50</v>
      </c>
      <c r="U804" s="23">
        <v>125</v>
      </c>
      <c r="V804" s="23">
        <v>0.02</v>
      </c>
      <c r="W804" s="23">
        <v>0.33</v>
      </c>
      <c r="X804" s="23">
        <v>1</v>
      </c>
      <c r="Y804" s="23">
        <v>0</v>
      </c>
      <c r="Z804" s="23">
        <v>0</v>
      </c>
      <c r="AA804" s="25">
        <v>0</v>
      </c>
      <c r="AB804" s="25">
        <v>5</v>
      </c>
      <c r="AC804" s="25">
        <v>0</v>
      </c>
      <c r="AD804" s="23">
        <v>0.5</v>
      </c>
      <c r="AE804" s="23">
        <v>0.7</v>
      </c>
      <c r="AF804" s="23">
        <v>1.4</v>
      </c>
      <c r="AG804" s="23">
        <v>0</v>
      </c>
      <c r="AH804" s="24">
        <v>0</v>
      </c>
      <c r="AI804" s="23">
        <v>100</v>
      </c>
      <c r="AJ804" s="13" t="str">
        <f xml:space="preserve"> IF(AD804&gt;F804,"Exceso en grasa saturada",IFERROR(IF(F804=0,"No tiene sello",IF((AD804*9)*100/F804&gt;10,"Exceso en grasa saturada","No tiene sello")),"No tiene sello"))</f>
        <v>No tiene sello</v>
      </c>
      <c r="AK804" s="13">
        <f>IF(AJ804="No tiene sello",0,1)</f>
        <v>0</v>
      </c>
      <c r="AL804" s="13" t="str">
        <f>IF(Q804&gt;=300,"Exceso en sodio",IFERROR(IF(AND(F804=0,Q804&gt;0),"No tiene sello",IF(Q804/F804&gt;1,"Exceso en sodio","No tiene sello")),"No tiene sello"))</f>
        <v>No tiene sello</v>
      </c>
      <c r="AM804" s="13" t="str">
        <f>IFERROR(IF(F804=0,"No tiene sello",IF(+(AG804/1000)*9*100/F804&gt;1,"Exceso en grasa trans", "No tiene sello")),"No tiene sello")</f>
        <v>No tiene sello</v>
      </c>
    </row>
    <row r="805" spans="1:39" ht="15" customHeight="1" x14ac:dyDescent="0.25">
      <c r="A805" s="26" t="s">
        <v>105</v>
      </c>
      <c r="B805" s="26" t="s">
        <v>106</v>
      </c>
      <c r="C805" s="27"/>
      <c r="D805" s="47">
        <v>100</v>
      </c>
      <c r="E805" s="28">
        <v>60.1</v>
      </c>
      <c r="F805" s="24">
        <v>158</v>
      </c>
      <c r="G805" s="28">
        <v>672</v>
      </c>
      <c r="H805" s="24">
        <v>1.6</v>
      </c>
      <c r="I805" s="24">
        <v>0.1</v>
      </c>
      <c r="J805" s="24">
        <v>37.6</v>
      </c>
      <c r="K805" s="28">
        <v>37.299999999999997</v>
      </c>
      <c r="L805" s="28">
        <v>3.76</v>
      </c>
      <c r="M805" s="24">
        <v>0.3</v>
      </c>
      <c r="N805" s="28">
        <v>0.6</v>
      </c>
      <c r="O805" s="25">
        <v>7</v>
      </c>
      <c r="P805" s="25">
        <v>0.6</v>
      </c>
      <c r="Q805" s="28">
        <v>0</v>
      </c>
      <c r="R805" s="25">
        <v>38</v>
      </c>
      <c r="S805" s="28">
        <v>0</v>
      </c>
      <c r="T805" s="28">
        <v>0</v>
      </c>
      <c r="U805" s="28">
        <v>0</v>
      </c>
      <c r="V805" s="28">
        <v>0.05</v>
      </c>
      <c r="W805" s="28">
        <v>0.04</v>
      </c>
      <c r="X805" s="28">
        <v>0.5</v>
      </c>
      <c r="Y805" s="28">
        <v>0</v>
      </c>
      <c r="Z805" s="28">
        <v>0</v>
      </c>
      <c r="AA805" s="25">
        <v>0</v>
      </c>
      <c r="AB805" s="25">
        <v>138</v>
      </c>
      <c r="AC805" s="25">
        <v>0</v>
      </c>
      <c r="AD805" s="28">
        <v>0</v>
      </c>
      <c r="AE805" s="28">
        <v>0</v>
      </c>
      <c r="AF805" s="28">
        <v>0</v>
      </c>
      <c r="AG805" s="28">
        <v>0</v>
      </c>
      <c r="AH805" s="24">
        <v>0</v>
      </c>
      <c r="AI805" s="28">
        <v>100</v>
      </c>
      <c r="AJ805" s="13" t="str">
        <f xml:space="preserve"> IF(AD805&gt;F805,"Exceso en grasa saturada",IFERROR(IF(F805=0,"No tiene sello",IF((AD805*9)*100/F805&gt;10,"Exceso en grasa saturada","No tiene sello")),"No tiene sello"))</f>
        <v>No tiene sello</v>
      </c>
      <c r="AK805" s="13">
        <f>IF(AJ805="No tiene sello",0,1)</f>
        <v>0</v>
      </c>
      <c r="AL805" s="13" t="str">
        <f>IF(Q805&gt;=300,"Exceso en sodio",IFERROR(IF(AND(F805=0,Q805&gt;0),"No tiene sello",IF(Q805/F805&gt;1,"Exceso en sodio","No tiene sello")),"No tiene sello"))</f>
        <v>No tiene sello</v>
      </c>
      <c r="AM805" s="13" t="str">
        <f>IFERROR(IF(F805=0,"No tiene sello",IF(+(AG805/1000)*9*100/F805&gt;1,"Exceso en grasa trans", "No tiene sello")),"No tiene sello")</f>
        <v>No tiene sello</v>
      </c>
    </row>
    <row r="806" spans="1:39" ht="15" customHeight="1" x14ac:dyDescent="0.25">
      <c r="A806" s="20" t="s">
        <v>103</v>
      </c>
      <c r="B806" s="20" t="s">
        <v>104</v>
      </c>
      <c r="C806" s="21"/>
      <c r="D806" s="22">
        <v>100</v>
      </c>
      <c r="E806" s="23">
        <v>64.7</v>
      </c>
      <c r="F806" s="24">
        <v>141</v>
      </c>
      <c r="G806" s="23">
        <v>597</v>
      </c>
      <c r="H806" s="24">
        <v>0.6</v>
      </c>
      <c r="I806" s="24">
        <v>0.1</v>
      </c>
      <c r="J806" s="24">
        <v>34.299999999999997</v>
      </c>
      <c r="K806" s="23">
        <v>0</v>
      </c>
      <c r="L806" s="23">
        <v>1.71</v>
      </c>
      <c r="M806" s="24">
        <v>0</v>
      </c>
      <c r="N806" s="23">
        <v>0.3</v>
      </c>
      <c r="O806" s="25">
        <v>12</v>
      </c>
      <c r="P806" s="25">
        <v>0.1</v>
      </c>
      <c r="Q806" s="23">
        <v>0</v>
      </c>
      <c r="R806" s="25">
        <v>28</v>
      </c>
      <c r="S806" s="23">
        <v>0</v>
      </c>
      <c r="T806" s="23">
        <v>0</v>
      </c>
      <c r="U806" s="23">
        <v>0</v>
      </c>
      <c r="V806" s="23">
        <v>0.04</v>
      </c>
      <c r="W806" s="23">
        <v>0.03</v>
      </c>
      <c r="X806" s="23">
        <v>0.2</v>
      </c>
      <c r="Y806" s="23">
        <v>0</v>
      </c>
      <c r="Z806" s="23">
        <v>0</v>
      </c>
      <c r="AA806" s="25">
        <v>0</v>
      </c>
      <c r="AB806" s="25">
        <v>0</v>
      </c>
      <c r="AC806" s="25">
        <v>0</v>
      </c>
      <c r="AD806" s="23">
        <v>0</v>
      </c>
      <c r="AE806" s="23">
        <v>0</v>
      </c>
      <c r="AF806" s="23">
        <v>0</v>
      </c>
      <c r="AG806" s="23">
        <v>0</v>
      </c>
      <c r="AH806" s="24">
        <v>0</v>
      </c>
      <c r="AI806" s="23">
        <v>100</v>
      </c>
      <c r="AJ806" s="13" t="str">
        <f xml:space="preserve"> IF(AD806&gt;F806,"Exceso en grasa saturada",IFERROR(IF(F806=0,"No tiene sello",IF((AD806*9)*100/F806&gt;10,"Exceso en grasa saturada","No tiene sello")),"No tiene sello"))</f>
        <v>No tiene sello</v>
      </c>
      <c r="AK806" s="13">
        <f>IF(AJ806="No tiene sello",0,1)</f>
        <v>0</v>
      </c>
      <c r="AL806" s="13" t="str">
        <f>IF(Q806&gt;=300,"Exceso en sodio",IFERROR(IF(AND(F806=0,Q806&gt;0),"No tiene sello",IF(Q806/F806&gt;1,"Exceso en sodio","No tiene sello")),"No tiene sello"))</f>
        <v>No tiene sello</v>
      </c>
      <c r="AM806" s="13" t="str">
        <f>IFERROR(IF(F806=0,"No tiene sello",IF(+(AG806/1000)*9*100/F806&gt;1,"Exceso en grasa trans", "No tiene sello")),"No tiene sello")</f>
        <v>No tiene sello</v>
      </c>
    </row>
    <row r="807" spans="1:39" ht="15" customHeight="1" x14ac:dyDescent="0.25">
      <c r="A807" s="26" t="s">
        <v>101</v>
      </c>
      <c r="B807" s="26" t="s">
        <v>102</v>
      </c>
      <c r="C807" s="27"/>
      <c r="D807" s="47">
        <v>100</v>
      </c>
      <c r="E807" s="28">
        <v>52.9</v>
      </c>
      <c r="F807" s="24">
        <v>243</v>
      </c>
      <c r="G807" s="28">
        <v>1016</v>
      </c>
      <c r="H807" s="24">
        <v>29.7</v>
      </c>
      <c r="I807" s="24">
        <v>12.9</v>
      </c>
      <c r="J807" s="24">
        <v>1.6</v>
      </c>
      <c r="K807" s="28">
        <v>0.8</v>
      </c>
      <c r="L807" s="28">
        <v>0.16</v>
      </c>
      <c r="M807" s="24">
        <v>0.8</v>
      </c>
      <c r="N807" s="28">
        <v>2.9</v>
      </c>
      <c r="O807" s="25">
        <v>63</v>
      </c>
      <c r="P807" s="25">
        <v>1.5</v>
      </c>
      <c r="Q807" s="28">
        <v>355</v>
      </c>
      <c r="R807" s="25">
        <v>0</v>
      </c>
      <c r="S807" s="28">
        <v>2.5</v>
      </c>
      <c r="T807" s="28">
        <v>0</v>
      </c>
      <c r="U807" s="28">
        <v>315</v>
      </c>
      <c r="V807" s="28">
        <v>0</v>
      </c>
      <c r="W807" s="28">
        <v>0</v>
      </c>
      <c r="X807" s="28">
        <v>0.1</v>
      </c>
      <c r="Y807" s="28">
        <v>0</v>
      </c>
      <c r="Z807" s="28">
        <v>0</v>
      </c>
      <c r="AA807" s="25">
        <v>1</v>
      </c>
      <c r="AB807" s="25">
        <v>24</v>
      </c>
      <c r="AC807" s="25">
        <v>0</v>
      </c>
      <c r="AD807" s="28">
        <v>3.3</v>
      </c>
      <c r="AE807" s="28">
        <v>3.6</v>
      </c>
      <c r="AF807" s="28">
        <v>5.8</v>
      </c>
      <c r="AG807" s="28">
        <v>50</v>
      </c>
      <c r="AH807" s="24">
        <v>7</v>
      </c>
      <c r="AI807" s="28">
        <v>68</v>
      </c>
      <c r="AJ807" s="13" t="str">
        <f xml:space="preserve"> IF(AD807&gt;F807,"Exceso en grasa saturada",IFERROR(IF(F807=0,"No tiene sello",IF((AD807*9)*100/F807&gt;10,"Exceso en grasa saturada","No tiene sello")),"No tiene sello"))</f>
        <v>Exceso en grasa saturada</v>
      </c>
      <c r="AK807" s="13">
        <f>IF(AJ807="No tiene sello",0,1)</f>
        <v>1</v>
      </c>
      <c r="AL807" s="13" t="str">
        <f>IF(Q807&gt;=300,"Exceso en sodio",IFERROR(IF(AND(F807=0,Q807&gt;0),"No tiene sello",IF(Q807/F807&gt;1,"Exceso en sodio","No tiene sello")),"No tiene sello"))</f>
        <v>Exceso en sodio</v>
      </c>
      <c r="AM807" s="13" t="str">
        <f>IFERROR(IF(F807=0,"No tiene sello",IF(+(AG807/1000)*9*100/F807&gt;1,"Exceso en grasa trans", "No tiene sello")),"No tiene sello")</f>
        <v>No tiene sello</v>
      </c>
    </row>
    <row r="808" spans="1:39" ht="15" customHeight="1" x14ac:dyDescent="0.25">
      <c r="A808" s="20" t="s">
        <v>99</v>
      </c>
      <c r="B808" s="20" t="s">
        <v>100</v>
      </c>
      <c r="C808" s="21"/>
      <c r="D808" s="22">
        <v>100</v>
      </c>
      <c r="E808" s="23">
        <v>68.2</v>
      </c>
      <c r="F808" s="24">
        <v>184</v>
      </c>
      <c r="G808" s="23">
        <v>763</v>
      </c>
      <c r="H808" s="24">
        <v>0.1</v>
      </c>
      <c r="I808" s="24">
        <v>12.7</v>
      </c>
      <c r="J808" s="24">
        <v>16.3</v>
      </c>
      <c r="K808" s="23">
        <v>14.6</v>
      </c>
      <c r="L808" s="23">
        <v>1.63</v>
      </c>
      <c r="M808" s="24">
        <v>1.7</v>
      </c>
      <c r="N808" s="23">
        <v>2.6</v>
      </c>
      <c r="O808" s="25">
        <v>10</v>
      </c>
      <c r="P808" s="25">
        <v>0.4</v>
      </c>
      <c r="Q808" s="23">
        <v>137</v>
      </c>
      <c r="R808" s="25">
        <v>33</v>
      </c>
      <c r="S808" s="23">
        <v>0.3</v>
      </c>
      <c r="T808" s="23">
        <v>19</v>
      </c>
      <c r="U808" s="23">
        <v>371</v>
      </c>
      <c r="V808" s="23">
        <v>0.09</v>
      </c>
      <c r="W808" s="23">
        <v>0.12</v>
      </c>
      <c r="X808" s="23">
        <v>1</v>
      </c>
      <c r="Y808" s="23">
        <v>14</v>
      </c>
      <c r="Z808" s="23">
        <v>0</v>
      </c>
      <c r="AA808" s="25">
        <v>11</v>
      </c>
      <c r="AB808" s="25">
        <v>0</v>
      </c>
      <c r="AC808" s="25">
        <v>0</v>
      </c>
      <c r="AD808" s="23">
        <v>2.7</v>
      </c>
      <c r="AE808" s="23">
        <v>7.9</v>
      </c>
      <c r="AF808" s="23">
        <v>1.5</v>
      </c>
      <c r="AG808" s="23">
        <v>0</v>
      </c>
      <c r="AH808" s="24">
        <v>0</v>
      </c>
      <c r="AI808" s="23">
        <v>100</v>
      </c>
      <c r="AJ808" s="13" t="str">
        <f xml:space="preserve"> IF(AD808&gt;F808,"Exceso en grasa saturada",IFERROR(IF(F808=0,"No tiene sello",IF((AD808*9)*100/F808&gt;10,"Exceso en grasa saturada","No tiene sello")),"No tiene sello"))</f>
        <v>Exceso en grasa saturada</v>
      </c>
      <c r="AK808" s="13">
        <f>IF(AJ808="No tiene sello",0,1)</f>
        <v>1</v>
      </c>
      <c r="AL808" s="13" t="str">
        <f>IF(Q808&gt;=300,"Exceso en sodio",IFERROR(IF(AND(F808=0,Q808&gt;0),"No tiene sello",IF(Q808/F808&gt;1,"Exceso en sodio","No tiene sello")),"No tiene sello"))</f>
        <v>No tiene sello</v>
      </c>
      <c r="AM808" s="13" t="str">
        <f>IFERROR(IF(F808=0,"No tiene sello",IF(+(AG808/1000)*9*100/F808&gt;1,"Exceso en grasa trans", "No tiene sello")),"No tiene sello")</f>
        <v>No tiene sello</v>
      </c>
    </row>
    <row r="809" spans="1:39" ht="15" customHeight="1" x14ac:dyDescent="0.25">
      <c r="A809" s="26" t="s">
        <v>97</v>
      </c>
      <c r="B809" s="26" t="s">
        <v>98</v>
      </c>
      <c r="C809" s="27"/>
      <c r="D809" s="47">
        <v>100</v>
      </c>
      <c r="E809" s="28">
        <v>51</v>
      </c>
      <c r="F809" s="24">
        <v>252</v>
      </c>
      <c r="G809" s="28">
        <v>1057</v>
      </c>
      <c r="H809" s="24">
        <v>11.7</v>
      </c>
      <c r="I809" s="24">
        <v>12.3</v>
      </c>
      <c r="J809" s="24">
        <v>23.1</v>
      </c>
      <c r="K809" s="28">
        <v>22</v>
      </c>
      <c r="L809" s="28">
        <v>2.31</v>
      </c>
      <c r="M809" s="24">
        <v>1.1000000000000001</v>
      </c>
      <c r="N809" s="28">
        <v>1.8</v>
      </c>
      <c r="O809" s="25">
        <v>65</v>
      </c>
      <c r="P809" s="25">
        <v>2.4</v>
      </c>
      <c r="Q809" s="28">
        <v>333</v>
      </c>
      <c r="R809" s="25">
        <v>112</v>
      </c>
      <c r="S809" s="28">
        <v>2.2000000000000002</v>
      </c>
      <c r="T809" s="28">
        <v>20</v>
      </c>
      <c r="U809" s="28">
        <v>230</v>
      </c>
      <c r="V809" s="28">
        <v>0.21</v>
      </c>
      <c r="W809" s="28">
        <v>0.16</v>
      </c>
      <c r="X809" s="28">
        <v>3.3</v>
      </c>
      <c r="Y809" s="28">
        <v>48</v>
      </c>
      <c r="Z809" s="28">
        <v>1</v>
      </c>
      <c r="AA809" s="25">
        <v>0</v>
      </c>
      <c r="AB809" s="25">
        <v>23</v>
      </c>
      <c r="AC809" s="25">
        <v>0</v>
      </c>
      <c r="AD809" s="28">
        <v>4.0999999999999996</v>
      </c>
      <c r="AE809" s="28">
        <v>5</v>
      </c>
      <c r="AF809" s="28">
        <v>1.9</v>
      </c>
      <c r="AG809" s="28">
        <v>80</v>
      </c>
      <c r="AH809" s="24">
        <v>27</v>
      </c>
      <c r="AI809" s="28">
        <v>100</v>
      </c>
      <c r="AJ809" s="13" t="str">
        <f xml:space="preserve"> IF(AD809&gt;F809,"Exceso en grasa saturada",IFERROR(IF(F809=0,"No tiene sello",IF((AD809*9)*100/F809&gt;10,"Exceso en grasa saturada","No tiene sello")),"No tiene sello"))</f>
        <v>Exceso en grasa saturada</v>
      </c>
      <c r="AK809" s="13">
        <f>IF(AJ809="No tiene sello",0,1)</f>
        <v>1</v>
      </c>
      <c r="AL809" s="13" t="str">
        <f>IF(Q809&gt;=300,"Exceso en sodio",IFERROR(IF(AND(F809=0,Q809&gt;0),"No tiene sello",IF(Q809/F809&gt;1,"Exceso en sodio","No tiene sello")),"No tiene sello"))</f>
        <v>Exceso en sodio</v>
      </c>
      <c r="AM809" s="13" t="str">
        <f>IFERROR(IF(F809=0,"No tiene sello",IF(+(AG809/1000)*9*100/F809&gt;1,"Exceso en grasa trans", "No tiene sello")),"No tiene sello")</f>
        <v>No tiene sello</v>
      </c>
    </row>
    <row r="810" spans="1:39" ht="15" customHeight="1" x14ac:dyDescent="0.25">
      <c r="A810" s="20" t="s">
        <v>95</v>
      </c>
      <c r="B810" s="20" t="s">
        <v>96</v>
      </c>
      <c r="C810" s="21"/>
      <c r="D810" s="22">
        <v>100</v>
      </c>
      <c r="E810" s="23">
        <v>53.8</v>
      </c>
      <c r="F810" s="24">
        <v>242</v>
      </c>
      <c r="G810" s="23">
        <v>1011</v>
      </c>
      <c r="H810" s="24">
        <v>21.8</v>
      </c>
      <c r="I810" s="24">
        <v>12</v>
      </c>
      <c r="J810" s="24">
        <v>10.199999999999999</v>
      </c>
      <c r="K810" s="23">
        <v>7.3</v>
      </c>
      <c r="L810" s="23">
        <v>1.02</v>
      </c>
      <c r="M810" s="24">
        <v>2.9</v>
      </c>
      <c r="N810" s="23">
        <v>2.2000000000000002</v>
      </c>
      <c r="O810" s="25">
        <v>20</v>
      </c>
      <c r="P810" s="25">
        <v>1.6</v>
      </c>
      <c r="Q810" s="23">
        <v>452</v>
      </c>
      <c r="R810" s="25">
        <v>0</v>
      </c>
      <c r="S810" s="23">
        <v>1.8</v>
      </c>
      <c r="T810" s="23">
        <v>0</v>
      </c>
      <c r="U810" s="23">
        <v>252</v>
      </c>
      <c r="V810" s="23">
        <v>0.25</v>
      </c>
      <c r="W810" s="23">
        <v>7.0000000000000007E-2</v>
      </c>
      <c r="X810" s="23">
        <v>0.1</v>
      </c>
      <c r="Y810" s="23">
        <v>0</v>
      </c>
      <c r="Z810" s="23">
        <v>0</v>
      </c>
      <c r="AA810" s="25">
        <v>0</v>
      </c>
      <c r="AB810" s="25">
        <v>86</v>
      </c>
      <c r="AC810" s="25">
        <v>0</v>
      </c>
      <c r="AD810" s="23">
        <v>2</v>
      </c>
      <c r="AE810" s="23">
        <v>5</v>
      </c>
      <c r="AF810" s="23">
        <v>4.9000000000000004</v>
      </c>
      <c r="AG810" s="23">
        <v>50</v>
      </c>
      <c r="AH810" s="24">
        <v>39</v>
      </c>
      <c r="AI810" s="23">
        <v>100</v>
      </c>
      <c r="AJ810" s="13" t="str">
        <f xml:space="preserve"> IF(AD810&gt;F810,"Exceso en grasa saturada",IFERROR(IF(F810=0,"No tiene sello",IF((AD810*9)*100/F810&gt;10,"Exceso en grasa saturada","No tiene sello")),"No tiene sello"))</f>
        <v>No tiene sello</v>
      </c>
      <c r="AK810" s="13">
        <f>IF(AJ810="No tiene sello",0,1)</f>
        <v>0</v>
      </c>
      <c r="AL810" s="13" t="str">
        <f>IF(Q810&gt;=300,"Exceso en sodio",IFERROR(IF(AND(F810=0,Q810&gt;0),"No tiene sello",IF(Q810/F810&gt;1,"Exceso en sodio","No tiene sello")),"No tiene sello"))</f>
        <v>Exceso en sodio</v>
      </c>
      <c r="AM810" s="13" t="str">
        <f>IFERROR(IF(F810=0,"No tiene sello",IF(+(AG810/1000)*9*100/F810&gt;1,"Exceso en grasa trans", "No tiene sello")),"No tiene sello")</f>
        <v>No tiene sello</v>
      </c>
    </row>
    <row r="811" spans="1:39" ht="15" customHeight="1" x14ac:dyDescent="0.25">
      <c r="A811" s="26" t="s">
        <v>93</v>
      </c>
      <c r="B811" s="26" t="s">
        <v>94</v>
      </c>
      <c r="C811" s="27"/>
      <c r="D811" s="47">
        <v>100</v>
      </c>
      <c r="E811" s="28">
        <v>77.900000000000006</v>
      </c>
      <c r="F811" s="24">
        <v>115</v>
      </c>
      <c r="G811" s="28">
        <v>479</v>
      </c>
      <c r="H811" s="24">
        <v>9.8000000000000007</v>
      </c>
      <c r="I811" s="24">
        <v>5</v>
      </c>
      <c r="J811" s="24">
        <v>6.1</v>
      </c>
      <c r="K811" s="28">
        <v>3.1</v>
      </c>
      <c r="L811" s="28">
        <v>0.61</v>
      </c>
      <c r="M811" s="24">
        <v>3</v>
      </c>
      <c r="N811" s="28">
        <v>1.2</v>
      </c>
      <c r="O811" s="25">
        <v>26</v>
      </c>
      <c r="P811" s="25">
        <v>1.3</v>
      </c>
      <c r="Q811" s="28">
        <v>323</v>
      </c>
      <c r="R811" s="25">
        <v>0</v>
      </c>
      <c r="S811" s="28">
        <v>1.7</v>
      </c>
      <c r="T811" s="28">
        <v>0</v>
      </c>
      <c r="U811" s="28">
        <v>145</v>
      </c>
      <c r="V811" s="28">
        <v>0.27</v>
      </c>
      <c r="W811" s="28">
        <v>0.03</v>
      </c>
      <c r="X811" s="28">
        <v>0.1</v>
      </c>
      <c r="Y811" s="28">
        <v>0</v>
      </c>
      <c r="Z811" s="28">
        <v>0</v>
      </c>
      <c r="AA811" s="25">
        <v>1</v>
      </c>
      <c r="AB811" s="25">
        <v>9</v>
      </c>
      <c r="AC811" s="25">
        <v>0</v>
      </c>
      <c r="AD811" s="28">
        <v>2.2999999999999998</v>
      </c>
      <c r="AE811" s="28">
        <v>1.7</v>
      </c>
      <c r="AF811" s="28">
        <v>1</v>
      </c>
      <c r="AG811" s="28">
        <v>30</v>
      </c>
      <c r="AH811" s="24">
        <v>201</v>
      </c>
      <c r="AI811" s="28">
        <v>100</v>
      </c>
      <c r="AJ811" s="13" t="str">
        <f xml:space="preserve"> IF(AD811&gt;F811,"Exceso en grasa saturada",IFERROR(IF(F811=0,"No tiene sello",IF((AD811*9)*100/F811&gt;10,"Exceso en grasa saturada","No tiene sello")),"No tiene sello"))</f>
        <v>Exceso en grasa saturada</v>
      </c>
      <c r="AK811" s="13">
        <f>IF(AJ811="No tiene sello",0,1)</f>
        <v>1</v>
      </c>
      <c r="AL811" s="13" t="str">
        <f>IF(Q811&gt;=300,"Exceso en sodio",IFERROR(IF(AND(F811=0,Q811&gt;0),"No tiene sello",IF(Q811/F811&gt;1,"Exceso en sodio","No tiene sello")),"No tiene sello"))</f>
        <v>Exceso en sodio</v>
      </c>
      <c r="AM811" s="13" t="str">
        <f>IFERROR(IF(F811=0,"No tiene sello",IF(+(AG811/1000)*9*100/F811&gt;1,"Exceso en grasa trans", "No tiene sello")),"No tiene sello")</f>
        <v>No tiene sello</v>
      </c>
    </row>
    <row r="812" spans="1:39" ht="15" customHeight="1" x14ac:dyDescent="0.25">
      <c r="A812" s="29" t="s">
        <v>91</v>
      </c>
      <c r="B812" s="29" t="s">
        <v>92</v>
      </c>
      <c r="C812" s="30"/>
      <c r="D812" s="22">
        <v>100</v>
      </c>
      <c r="E812" s="31">
        <v>79</v>
      </c>
      <c r="F812" s="24">
        <v>102</v>
      </c>
      <c r="G812" s="31">
        <v>427</v>
      </c>
      <c r="H812" s="24">
        <v>5.4</v>
      </c>
      <c r="I812" s="24">
        <v>3.9</v>
      </c>
      <c r="J812" s="24">
        <v>10.199999999999999</v>
      </c>
      <c r="K812" s="31">
        <v>8</v>
      </c>
      <c r="L812" s="31">
        <v>1.02</v>
      </c>
      <c r="M812" s="24">
        <v>2.2000000000000002</v>
      </c>
      <c r="N812" s="31">
        <v>1.5</v>
      </c>
      <c r="O812" s="31">
        <v>79</v>
      </c>
      <c r="P812" s="31">
        <v>0.3</v>
      </c>
      <c r="Q812" s="31">
        <v>246</v>
      </c>
      <c r="R812" s="31">
        <v>0</v>
      </c>
      <c r="S812" s="31">
        <v>0.5</v>
      </c>
      <c r="T812" s="31">
        <v>0</v>
      </c>
      <c r="U812" s="31">
        <v>220</v>
      </c>
      <c r="V812" s="31">
        <v>0.05</v>
      </c>
      <c r="W812" s="31">
        <v>0</v>
      </c>
      <c r="X812" s="31">
        <v>0</v>
      </c>
      <c r="Y812" s="31">
        <v>0</v>
      </c>
      <c r="Z812" s="31">
        <v>0</v>
      </c>
      <c r="AA812" s="31">
        <v>1</v>
      </c>
      <c r="AB812" s="31">
        <v>17</v>
      </c>
      <c r="AC812" s="31">
        <v>0.5</v>
      </c>
      <c r="AD812" s="31">
        <v>1.9</v>
      </c>
      <c r="AE812" s="31">
        <v>0.8</v>
      </c>
      <c r="AF812" s="31">
        <v>1.2</v>
      </c>
      <c r="AG812" s="31">
        <v>50</v>
      </c>
      <c r="AH812" s="31">
        <v>9</v>
      </c>
      <c r="AI812" s="31">
        <v>100</v>
      </c>
      <c r="AJ812" s="13" t="str">
        <f xml:space="preserve"> IF(AD812&gt;F812,"Exceso en grasa saturada",IFERROR(IF(F812=0,"No tiene sello",IF((AD812*9)*100/F812&gt;10,"Exceso en grasa saturada","No tiene sello")),"No tiene sello"))</f>
        <v>Exceso en grasa saturada</v>
      </c>
      <c r="AK812" s="13">
        <f>IF(AJ812="No tiene sello",0,1)</f>
        <v>1</v>
      </c>
      <c r="AL812" s="13" t="str">
        <f>IF(Q812&gt;=300,"Exceso en sodio",IFERROR(IF(AND(F812=0,Q812&gt;0),"No tiene sello",IF(Q812/F812&gt;1,"Exceso en sodio","No tiene sello")),"No tiene sello"))</f>
        <v>Exceso en sodio</v>
      </c>
      <c r="AM812" s="13" t="str">
        <f>IFERROR(IF(F812=0,"No tiene sello",IF(+(AG812/1000)*9*100/F812&gt;1,"Exceso en grasa trans", "No tiene sello")),"No tiene sello")</f>
        <v>No tiene sello</v>
      </c>
    </row>
    <row r="813" spans="1:39" ht="15" customHeight="1" x14ac:dyDescent="0.25">
      <c r="A813" s="26" t="s">
        <v>89</v>
      </c>
      <c r="B813" s="26" t="s">
        <v>90</v>
      </c>
      <c r="C813" s="27"/>
      <c r="D813" s="47">
        <v>100</v>
      </c>
      <c r="E813" s="28">
        <v>79.099999999999994</v>
      </c>
      <c r="F813" s="24">
        <v>113</v>
      </c>
      <c r="G813" s="28">
        <v>470</v>
      </c>
      <c r="H813" s="24">
        <v>8.1</v>
      </c>
      <c r="I813" s="24">
        <v>6.1</v>
      </c>
      <c r="J813" s="24">
        <v>5.4</v>
      </c>
      <c r="K813" s="28">
        <v>3.5</v>
      </c>
      <c r="L813" s="28">
        <v>0.54</v>
      </c>
      <c r="M813" s="24">
        <v>1.9</v>
      </c>
      <c r="N813" s="28">
        <v>1.3</v>
      </c>
      <c r="O813" s="25">
        <v>28</v>
      </c>
      <c r="P813" s="25">
        <v>0.9</v>
      </c>
      <c r="Q813" s="28">
        <v>155</v>
      </c>
      <c r="R813" s="25">
        <v>0</v>
      </c>
      <c r="S813" s="28">
        <v>1.2</v>
      </c>
      <c r="T813" s="28">
        <v>0</v>
      </c>
      <c r="U813" s="28">
        <v>229</v>
      </c>
      <c r="V813" s="28">
        <v>0</v>
      </c>
      <c r="W813" s="28">
        <v>0.02</v>
      </c>
      <c r="X813" s="28">
        <v>0.1</v>
      </c>
      <c r="Y813" s="28">
        <v>0</v>
      </c>
      <c r="Z813" s="28">
        <v>0</v>
      </c>
      <c r="AA813" s="25">
        <v>1</v>
      </c>
      <c r="AB813" s="25">
        <v>0</v>
      </c>
      <c r="AC813" s="25">
        <v>0</v>
      </c>
      <c r="AD813" s="28">
        <v>2.7</v>
      </c>
      <c r="AE813" s="28">
        <v>2.2999999999999998</v>
      </c>
      <c r="AF813" s="28">
        <v>0.8</v>
      </c>
      <c r="AG813" s="28">
        <v>30</v>
      </c>
      <c r="AH813" s="24">
        <v>83</v>
      </c>
      <c r="AI813" s="28">
        <v>100</v>
      </c>
      <c r="AJ813" s="13" t="str">
        <f xml:space="preserve"> IF(AD813&gt;F813,"Exceso en grasa saturada",IFERROR(IF(F813=0,"No tiene sello",IF((AD813*9)*100/F813&gt;10,"Exceso en grasa saturada","No tiene sello")),"No tiene sello"))</f>
        <v>Exceso en grasa saturada</v>
      </c>
      <c r="AK813" s="13">
        <f>IF(AJ813="No tiene sello",0,1)</f>
        <v>1</v>
      </c>
      <c r="AL813" s="13" t="str">
        <f>IF(Q813&gt;=300,"Exceso en sodio",IFERROR(IF(AND(F813=0,Q813&gt;0),"No tiene sello",IF(Q813/F813&gt;1,"Exceso en sodio","No tiene sello")),"No tiene sello"))</f>
        <v>Exceso en sodio</v>
      </c>
      <c r="AM813" s="13" t="str">
        <f>IFERROR(IF(F813=0,"No tiene sello",IF(+(AG813/1000)*9*100/F813&gt;1,"Exceso en grasa trans", "No tiene sello")),"No tiene sello")</f>
        <v>No tiene sello</v>
      </c>
    </row>
    <row r="814" spans="1:39" ht="15" customHeight="1" x14ac:dyDescent="0.25">
      <c r="A814" s="20" t="s">
        <v>87</v>
      </c>
      <c r="B814" s="20" t="s">
        <v>88</v>
      </c>
      <c r="C814" s="21"/>
      <c r="D814" s="22">
        <v>100</v>
      </c>
      <c r="E814" s="23">
        <v>54.6</v>
      </c>
      <c r="F814" s="24">
        <v>218</v>
      </c>
      <c r="G814" s="23">
        <v>912</v>
      </c>
      <c r="H814" s="24">
        <v>26</v>
      </c>
      <c r="I814" s="24">
        <v>9.3000000000000007</v>
      </c>
      <c r="J814" s="24">
        <v>6.9</v>
      </c>
      <c r="K814" s="23">
        <v>5.8</v>
      </c>
      <c r="L814" s="23">
        <v>0.69</v>
      </c>
      <c r="M814" s="24">
        <v>1.1000000000000001</v>
      </c>
      <c r="N814" s="23">
        <v>3.2</v>
      </c>
      <c r="O814" s="25">
        <v>36</v>
      </c>
      <c r="P814" s="25">
        <v>2.7</v>
      </c>
      <c r="Q814" s="23">
        <v>1070</v>
      </c>
      <c r="R814" s="25">
        <v>0</v>
      </c>
      <c r="S814" s="23">
        <v>4.7</v>
      </c>
      <c r="T814" s="23">
        <v>0</v>
      </c>
      <c r="U814" s="23">
        <v>132</v>
      </c>
      <c r="V814" s="23">
        <v>0</v>
      </c>
      <c r="W814" s="23">
        <v>0</v>
      </c>
      <c r="X814" s="23">
        <v>0</v>
      </c>
      <c r="Y814" s="23">
        <v>0</v>
      </c>
      <c r="Z814" s="23">
        <v>0</v>
      </c>
      <c r="AA814" s="25">
        <v>1</v>
      </c>
      <c r="AB814" s="25">
        <v>45</v>
      </c>
      <c r="AC814" s="25">
        <v>0</v>
      </c>
      <c r="AD814" s="23">
        <v>1.8</v>
      </c>
      <c r="AE814" s="23">
        <v>2.9</v>
      </c>
      <c r="AF814" s="23">
        <v>4.5999999999999996</v>
      </c>
      <c r="AG814" s="23">
        <v>30</v>
      </c>
      <c r="AH814" s="24">
        <v>77</v>
      </c>
      <c r="AI814" s="23">
        <v>100</v>
      </c>
      <c r="AJ814" s="13" t="str">
        <f xml:space="preserve"> IF(AD814&gt;F814,"Exceso en grasa saturada",IFERROR(IF(F814=0,"No tiene sello",IF((AD814*9)*100/F814&gt;10,"Exceso en grasa saturada","No tiene sello")),"No tiene sello"))</f>
        <v>No tiene sello</v>
      </c>
      <c r="AK814" s="13">
        <f>IF(AJ814="No tiene sello",0,1)</f>
        <v>0</v>
      </c>
      <c r="AL814" s="13" t="str">
        <f>IF(Q814&gt;=300,"Exceso en sodio",IFERROR(IF(AND(F814=0,Q814&gt;0),"No tiene sello",IF(Q814/F814&gt;1,"Exceso en sodio","No tiene sello")),"No tiene sello"))</f>
        <v>Exceso en sodio</v>
      </c>
      <c r="AM814" s="13" t="str">
        <f>IFERROR(IF(F814=0,"No tiene sello",IF(+(AG814/1000)*9*100/F814&gt;1,"Exceso en grasa trans", "No tiene sello")),"No tiene sello")</f>
        <v>No tiene sello</v>
      </c>
    </row>
    <row r="815" spans="1:39" ht="15" customHeight="1" x14ac:dyDescent="0.25">
      <c r="A815" s="26" t="s">
        <v>85</v>
      </c>
      <c r="B815" s="26" t="s">
        <v>86</v>
      </c>
      <c r="C815" s="27"/>
      <c r="D815" s="47">
        <v>100</v>
      </c>
      <c r="E815" s="28">
        <v>68</v>
      </c>
      <c r="F815" s="24">
        <v>136</v>
      </c>
      <c r="G815" s="28">
        <v>574</v>
      </c>
      <c r="H815" s="24">
        <v>8.1999999999999993</v>
      </c>
      <c r="I815" s="24">
        <v>2.1</v>
      </c>
      <c r="J815" s="24">
        <v>20.2</v>
      </c>
      <c r="K815" s="28">
        <v>18.5</v>
      </c>
      <c r="L815" s="28">
        <v>2.02</v>
      </c>
      <c r="M815" s="24">
        <v>1.7</v>
      </c>
      <c r="N815" s="28">
        <v>1.5</v>
      </c>
      <c r="O815" s="25">
        <v>59</v>
      </c>
      <c r="P815" s="25">
        <v>0.9</v>
      </c>
      <c r="Q815" s="28">
        <v>302</v>
      </c>
      <c r="R815" s="25">
        <v>0</v>
      </c>
      <c r="S815" s="28">
        <v>0.5</v>
      </c>
      <c r="T815" s="28">
        <v>0</v>
      </c>
      <c r="U815" s="28">
        <v>220</v>
      </c>
      <c r="V815" s="28">
        <v>0</v>
      </c>
      <c r="W815" s="28">
        <v>0.03</v>
      </c>
      <c r="X815" s="28">
        <v>0</v>
      </c>
      <c r="Y815" s="28">
        <v>0</v>
      </c>
      <c r="Z815" s="28">
        <v>0</v>
      </c>
      <c r="AA815" s="25">
        <v>0</v>
      </c>
      <c r="AB815" s="25">
        <v>9</v>
      </c>
      <c r="AC815" s="25">
        <v>0</v>
      </c>
      <c r="AD815" s="28">
        <v>1.1000000000000001</v>
      </c>
      <c r="AE815" s="28">
        <v>0.5</v>
      </c>
      <c r="AF815" s="28">
        <v>0.4</v>
      </c>
      <c r="AG815" s="28">
        <v>30</v>
      </c>
      <c r="AH815" s="24">
        <v>20</v>
      </c>
      <c r="AI815" s="28">
        <v>97</v>
      </c>
      <c r="AJ815" s="13" t="str">
        <f xml:space="preserve"> IF(AD815&gt;F815,"Exceso en grasa saturada",IFERROR(IF(F815=0,"No tiene sello",IF((AD815*9)*100/F815&gt;10,"Exceso en grasa saturada","No tiene sello")),"No tiene sello"))</f>
        <v>No tiene sello</v>
      </c>
      <c r="AK815" s="13">
        <f>IF(AJ815="No tiene sello",0,1)</f>
        <v>0</v>
      </c>
      <c r="AL815" s="13" t="str">
        <f>IF(Q815&gt;=300,"Exceso en sodio",IFERROR(IF(AND(F815=0,Q815&gt;0),"No tiene sello",IF(Q815/F815&gt;1,"Exceso en sodio","No tiene sello")),"No tiene sello"))</f>
        <v>Exceso en sodio</v>
      </c>
      <c r="AM815" s="13" t="str">
        <f>IFERROR(IF(F815=0,"No tiene sello",IF(+(AG815/1000)*9*100/F815&gt;1,"Exceso en grasa trans", "No tiene sello")),"No tiene sello")</f>
        <v>No tiene sello</v>
      </c>
    </row>
    <row r="816" spans="1:39" ht="15" customHeight="1" x14ac:dyDescent="0.25">
      <c r="A816" s="20" t="s">
        <v>83</v>
      </c>
      <c r="B816" s="20" t="s">
        <v>84</v>
      </c>
      <c r="C816" s="21"/>
      <c r="D816" s="22">
        <v>100</v>
      </c>
      <c r="E816" s="23">
        <v>73.3</v>
      </c>
      <c r="F816" s="24">
        <v>134</v>
      </c>
      <c r="G816" s="23">
        <v>560</v>
      </c>
      <c r="H816" s="24">
        <v>16.899999999999999</v>
      </c>
      <c r="I816" s="24">
        <v>6.3</v>
      </c>
      <c r="J816" s="24">
        <v>1.6</v>
      </c>
      <c r="K816" s="23">
        <v>0.1</v>
      </c>
      <c r="L816" s="23">
        <v>0.16</v>
      </c>
      <c r="M816" s="24">
        <v>1.5</v>
      </c>
      <c r="N816" s="23">
        <v>1.9</v>
      </c>
      <c r="O816" s="25">
        <v>78</v>
      </c>
      <c r="P816" s="25">
        <v>0.7</v>
      </c>
      <c r="Q816" s="23">
        <v>482</v>
      </c>
      <c r="R816" s="25">
        <v>0</v>
      </c>
      <c r="S816" s="23">
        <v>0.7</v>
      </c>
      <c r="T816" s="23">
        <v>0</v>
      </c>
      <c r="U816" s="23">
        <v>322</v>
      </c>
      <c r="V816" s="23">
        <v>0</v>
      </c>
      <c r="W816" s="23">
        <v>0</v>
      </c>
      <c r="X816" s="23">
        <v>0</v>
      </c>
      <c r="Y816" s="23">
        <v>0</v>
      </c>
      <c r="Z816" s="23">
        <v>0</v>
      </c>
      <c r="AA816" s="25">
        <v>0</v>
      </c>
      <c r="AB816" s="25">
        <v>57</v>
      </c>
      <c r="AC816" s="25">
        <v>0</v>
      </c>
      <c r="AD816" s="23">
        <v>2.6</v>
      </c>
      <c r="AE816" s="23">
        <v>1.1000000000000001</v>
      </c>
      <c r="AF816" s="23">
        <v>2.6</v>
      </c>
      <c r="AG816" s="23">
        <v>30</v>
      </c>
      <c r="AH816" s="24">
        <v>68</v>
      </c>
      <c r="AI816" s="23">
        <v>100</v>
      </c>
      <c r="AJ816" s="13" t="str">
        <f xml:space="preserve"> IF(AD816&gt;F816,"Exceso en grasa saturada",IFERROR(IF(F816=0,"No tiene sello",IF((AD816*9)*100/F816&gt;10,"Exceso en grasa saturada","No tiene sello")),"No tiene sello"))</f>
        <v>Exceso en grasa saturada</v>
      </c>
      <c r="AK816" s="13">
        <f>IF(AJ816="No tiene sello",0,1)</f>
        <v>1</v>
      </c>
      <c r="AL816" s="13" t="str">
        <f>IF(Q816&gt;=300,"Exceso en sodio",IFERROR(IF(AND(F816=0,Q816&gt;0),"No tiene sello",IF(Q816/F816&gt;1,"Exceso en sodio","No tiene sello")),"No tiene sello"))</f>
        <v>Exceso en sodio</v>
      </c>
      <c r="AM816" s="13" t="str">
        <f>IFERROR(IF(F816=0,"No tiene sello",IF(+(AG816/1000)*9*100/F816&gt;1,"Exceso en grasa trans", "No tiene sello")),"No tiene sello")</f>
        <v>No tiene sello</v>
      </c>
    </row>
    <row r="817" spans="1:39" ht="15" customHeight="1" x14ac:dyDescent="0.25">
      <c r="A817" s="26" t="s">
        <v>81</v>
      </c>
      <c r="B817" s="26" t="s">
        <v>82</v>
      </c>
      <c r="C817" s="27"/>
      <c r="D817" s="47">
        <v>100</v>
      </c>
      <c r="E817" s="28">
        <v>74</v>
      </c>
      <c r="F817" s="24">
        <v>121</v>
      </c>
      <c r="G817" s="28">
        <v>509</v>
      </c>
      <c r="H817" s="24">
        <v>16.399999999999999</v>
      </c>
      <c r="I817" s="24">
        <v>4</v>
      </c>
      <c r="J817" s="24">
        <v>4.2</v>
      </c>
      <c r="K817" s="28">
        <v>2.9</v>
      </c>
      <c r="L817" s="28">
        <v>0.42</v>
      </c>
      <c r="M817" s="24">
        <v>1.3</v>
      </c>
      <c r="N817" s="28">
        <v>1.4</v>
      </c>
      <c r="O817" s="25">
        <v>29</v>
      </c>
      <c r="P817" s="25">
        <v>0.8</v>
      </c>
      <c r="Q817" s="28">
        <v>347</v>
      </c>
      <c r="R817" s="25">
        <v>0</v>
      </c>
      <c r="S817" s="28">
        <v>0.6</v>
      </c>
      <c r="T817" s="28">
        <v>0</v>
      </c>
      <c r="U817" s="28">
        <v>352</v>
      </c>
      <c r="V817" s="28">
        <v>0</v>
      </c>
      <c r="W817" s="28">
        <v>0.01</v>
      </c>
      <c r="X817" s="28">
        <v>0</v>
      </c>
      <c r="Y817" s="28">
        <v>0</v>
      </c>
      <c r="Z817" s="28">
        <v>0</v>
      </c>
      <c r="AA817" s="25">
        <v>1</v>
      </c>
      <c r="AB817" s="25">
        <v>47</v>
      </c>
      <c r="AC817" s="25">
        <v>0</v>
      </c>
      <c r="AD817" s="28">
        <v>0.4</v>
      </c>
      <c r="AE817" s="28">
        <v>1.1000000000000001</v>
      </c>
      <c r="AF817" s="28">
        <v>2.6</v>
      </c>
      <c r="AG817" s="28">
        <v>30</v>
      </c>
      <c r="AH817" s="24">
        <v>1</v>
      </c>
      <c r="AI817" s="28">
        <v>93</v>
      </c>
      <c r="AJ817" s="13" t="str">
        <f xml:space="preserve"> IF(AD817&gt;F817,"Exceso en grasa saturada",IFERROR(IF(F817=0,"No tiene sello",IF((AD817*9)*100/F817&gt;10,"Exceso en grasa saturada","No tiene sello")),"No tiene sello"))</f>
        <v>No tiene sello</v>
      </c>
      <c r="AK817" s="13">
        <f>IF(AJ817="No tiene sello",0,1)</f>
        <v>0</v>
      </c>
      <c r="AL817" s="13" t="str">
        <f>IF(Q817&gt;=300,"Exceso en sodio",IFERROR(IF(AND(F817=0,Q817&gt;0),"No tiene sello",IF(Q817/F817&gt;1,"Exceso en sodio","No tiene sello")),"No tiene sello"))</f>
        <v>Exceso en sodio</v>
      </c>
      <c r="AM817" s="13" t="str">
        <f>IFERROR(IF(F817=0,"No tiene sello",IF(+(AG817/1000)*9*100/F817&gt;1,"Exceso en grasa trans", "No tiene sello")),"No tiene sello")</f>
        <v>No tiene sello</v>
      </c>
    </row>
    <row r="818" spans="1:39" ht="15" customHeight="1" x14ac:dyDescent="0.25">
      <c r="A818" s="20" t="s">
        <v>79</v>
      </c>
      <c r="B818" s="20" t="s">
        <v>80</v>
      </c>
      <c r="C818" s="21"/>
      <c r="D818" s="22">
        <v>100</v>
      </c>
      <c r="E818" s="23">
        <v>84.8</v>
      </c>
      <c r="F818" s="24">
        <v>68</v>
      </c>
      <c r="G818" s="23">
        <v>287</v>
      </c>
      <c r="H818" s="24">
        <v>3.7</v>
      </c>
      <c r="I818" s="24">
        <v>2.2000000000000002</v>
      </c>
      <c r="J818" s="24">
        <v>8.4</v>
      </c>
      <c r="K818" s="23">
        <v>0</v>
      </c>
      <c r="L818" s="23">
        <v>0.42</v>
      </c>
      <c r="M818" s="24">
        <v>0</v>
      </c>
      <c r="N818" s="23">
        <v>0.9</v>
      </c>
      <c r="O818" s="25">
        <v>9</v>
      </c>
      <c r="P818" s="25">
        <v>1</v>
      </c>
      <c r="Q818" s="23">
        <v>0</v>
      </c>
      <c r="R818" s="25">
        <v>23</v>
      </c>
      <c r="S818" s="23">
        <v>0.2</v>
      </c>
      <c r="T818" s="23">
        <v>7</v>
      </c>
      <c r="U818" s="23">
        <v>116</v>
      </c>
      <c r="V818" s="23">
        <v>0.01</v>
      </c>
      <c r="W818" s="23">
        <v>0.05</v>
      </c>
      <c r="X818" s="23">
        <v>0.3</v>
      </c>
      <c r="Y818" s="23">
        <v>0</v>
      </c>
      <c r="Z818" s="23">
        <v>0</v>
      </c>
      <c r="AA818" s="25">
        <v>0</v>
      </c>
      <c r="AB818" s="25">
        <v>6</v>
      </c>
      <c r="AC818" s="25">
        <v>0</v>
      </c>
      <c r="AD818" s="23">
        <v>0.4</v>
      </c>
      <c r="AE818" s="23">
        <v>0.6</v>
      </c>
      <c r="AF818" s="23">
        <v>0.3</v>
      </c>
      <c r="AG818" s="23">
        <v>0</v>
      </c>
      <c r="AH818" s="24">
        <v>0</v>
      </c>
      <c r="AI818" s="23">
        <v>100</v>
      </c>
      <c r="AJ818" s="13" t="str">
        <f xml:space="preserve"> IF(AD818&gt;F818,"Exceso en grasa saturada",IFERROR(IF(F818=0,"No tiene sello",IF((AD818*9)*100/F818&gt;10,"Exceso en grasa saturada","No tiene sello")),"No tiene sello"))</f>
        <v>No tiene sello</v>
      </c>
      <c r="AK818" s="13">
        <f>IF(AJ818="No tiene sello",0,1)</f>
        <v>0</v>
      </c>
      <c r="AL818" s="13" t="str">
        <f>IF(Q818&gt;=300,"Exceso en sodio",IFERROR(IF(AND(F818=0,Q818&gt;0),"No tiene sello",IF(Q818/F818&gt;1,"Exceso en sodio","No tiene sello")),"No tiene sello"))</f>
        <v>No tiene sello</v>
      </c>
      <c r="AM818" s="13" t="str">
        <f>IFERROR(IF(F818=0,"No tiene sello",IF(+(AG818/1000)*9*100/F818&gt;1,"Exceso en grasa trans", "No tiene sello")),"No tiene sello")</f>
        <v>No tiene sello</v>
      </c>
    </row>
    <row r="819" spans="1:39" ht="15" customHeight="1" x14ac:dyDescent="0.25">
      <c r="A819" s="26" t="s">
        <v>77</v>
      </c>
      <c r="B819" s="26" t="s">
        <v>78</v>
      </c>
      <c r="C819" s="27"/>
      <c r="D819" s="47">
        <v>100</v>
      </c>
      <c r="E819" s="28">
        <v>87.1</v>
      </c>
      <c r="F819" s="24">
        <v>56</v>
      </c>
      <c r="G819" s="28">
        <v>237</v>
      </c>
      <c r="H819" s="24">
        <v>1.7</v>
      </c>
      <c r="I819" s="24">
        <v>1.1000000000000001</v>
      </c>
      <c r="J819" s="24">
        <v>9.3000000000000007</v>
      </c>
      <c r="K819" s="28">
        <v>8.1</v>
      </c>
      <c r="L819" s="28">
        <v>0.93</v>
      </c>
      <c r="M819" s="24">
        <v>1.2</v>
      </c>
      <c r="N819" s="28">
        <v>0.8</v>
      </c>
      <c r="O819" s="25">
        <v>4</v>
      </c>
      <c r="P819" s="25">
        <v>0.7</v>
      </c>
      <c r="Q819" s="28">
        <v>167</v>
      </c>
      <c r="R819" s="25">
        <v>10</v>
      </c>
      <c r="S819" s="28">
        <v>0</v>
      </c>
      <c r="T819" s="28">
        <v>0</v>
      </c>
      <c r="U819" s="28">
        <v>216</v>
      </c>
      <c r="V819" s="28">
        <v>0.01</v>
      </c>
      <c r="W819" s="28">
        <v>0.02</v>
      </c>
      <c r="X819" s="28">
        <v>0.3</v>
      </c>
      <c r="Y819" s="28">
        <v>0</v>
      </c>
      <c r="Z819" s="28">
        <v>0</v>
      </c>
      <c r="AA819" s="25">
        <v>0</v>
      </c>
      <c r="AB819" s="25">
        <v>0</v>
      </c>
      <c r="AC819" s="25">
        <v>0</v>
      </c>
      <c r="AD819" s="28">
        <v>0.2</v>
      </c>
      <c r="AE819" s="28">
        <v>0.2</v>
      </c>
      <c r="AF819" s="28">
        <v>0</v>
      </c>
      <c r="AG819" s="28">
        <v>30</v>
      </c>
      <c r="AH819" s="24">
        <v>4</v>
      </c>
      <c r="AI819" s="28">
        <v>100</v>
      </c>
      <c r="AJ819" s="13" t="str">
        <f xml:space="preserve"> IF(AD819&gt;F819,"Exceso en grasa saturada",IFERROR(IF(F819=0,"No tiene sello",IF((AD819*9)*100/F819&gt;10,"Exceso en grasa saturada","No tiene sello")),"No tiene sello"))</f>
        <v>No tiene sello</v>
      </c>
      <c r="AK819" s="13">
        <f>IF(AJ819="No tiene sello",0,1)</f>
        <v>0</v>
      </c>
      <c r="AL819" s="13" t="str">
        <f>IF(Q819&gt;=300,"Exceso en sodio",IFERROR(IF(AND(F819=0,Q819&gt;0),"No tiene sello",IF(Q819/F819&gt;1,"Exceso en sodio","No tiene sello")),"No tiene sello"))</f>
        <v>Exceso en sodio</v>
      </c>
      <c r="AM819" s="13" t="str">
        <f>IFERROR(IF(F819=0,"No tiene sello",IF(+(AG819/1000)*9*100/F819&gt;1,"Exceso en grasa trans", "No tiene sello")),"No tiene sello")</f>
        <v>No tiene sello</v>
      </c>
    </row>
    <row r="820" spans="1:39" ht="15" customHeight="1" x14ac:dyDescent="0.25">
      <c r="A820" s="20" t="s">
        <v>75</v>
      </c>
      <c r="B820" s="20" t="s">
        <v>76</v>
      </c>
      <c r="C820" s="21"/>
      <c r="D820" s="22">
        <v>100</v>
      </c>
      <c r="E820" s="23">
        <v>65.900000000000006</v>
      </c>
      <c r="F820" s="24">
        <v>182</v>
      </c>
      <c r="G820" s="23">
        <v>760</v>
      </c>
      <c r="H820" s="24">
        <v>18.399999999999999</v>
      </c>
      <c r="I820" s="24">
        <v>10.6</v>
      </c>
      <c r="J820" s="24">
        <v>2.7</v>
      </c>
      <c r="K820" s="23">
        <v>1.6</v>
      </c>
      <c r="L820" s="23">
        <v>0.27</v>
      </c>
      <c r="M820" s="24">
        <v>1.1000000000000001</v>
      </c>
      <c r="N820" s="23">
        <v>2.4</v>
      </c>
      <c r="O820" s="25">
        <v>42</v>
      </c>
      <c r="P820" s="25">
        <v>8.4</v>
      </c>
      <c r="Q820" s="23">
        <v>658</v>
      </c>
      <c r="R820" s="25">
        <v>0</v>
      </c>
      <c r="S820" s="23">
        <v>1.2</v>
      </c>
      <c r="T820" s="23">
        <v>0</v>
      </c>
      <c r="U820" s="23">
        <v>283</v>
      </c>
      <c r="V820" s="23">
        <v>0</v>
      </c>
      <c r="W820" s="23">
        <v>0.1</v>
      </c>
      <c r="X820" s="23">
        <v>0</v>
      </c>
      <c r="Y820" s="23">
        <v>0</v>
      </c>
      <c r="Z820" s="23">
        <v>0</v>
      </c>
      <c r="AA820" s="25">
        <v>0</v>
      </c>
      <c r="AB820" s="25">
        <v>37</v>
      </c>
      <c r="AC820" s="25">
        <v>0</v>
      </c>
      <c r="AD820" s="23">
        <v>9</v>
      </c>
      <c r="AE820" s="23">
        <v>0.5</v>
      </c>
      <c r="AF820" s="23">
        <v>1.1000000000000001</v>
      </c>
      <c r="AG820" s="23">
        <v>50</v>
      </c>
      <c r="AH820" s="24">
        <v>52</v>
      </c>
      <c r="AI820" s="23">
        <v>100</v>
      </c>
      <c r="AJ820" s="13" t="str">
        <f xml:space="preserve"> IF(AD820&gt;F820,"Exceso en grasa saturada",IFERROR(IF(F820=0,"No tiene sello",IF((AD820*9)*100/F820&gt;10,"Exceso en grasa saturada","No tiene sello")),"No tiene sello"))</f>
        <v>Exceso en grasa saturada</v>
      </c>
      <c r="AK820" s="13">
        <f>IF(AJ820="No tiene sello",0,1)</f>
        <v>1</v>
      </c>
      <c r="AL820" s="13" t="str">
        <f>IF(Q820&gt;=300,"Exceso en sodio",IFERROR(IF(AND(F820=0,Q820&gt;0),"No tiene sello",IF(Q820/F820&gt;1,"Exceso en sodio","No tiene sello")),"No tiene sello"))</f>
        <v>Exceso en sodio</v>
      </c>
      <c r="AM820" s="13" t="str">
        <f>IFERROR(IF(F820=0,"No tiene sello",IF(+(AG820/1000)*9*100/F820&gt;1,"Exceso en grasa trans", "No tiene sello")),"No tiene sello")</f>
        <v>No tiene sello</v>
      </c>
    </row>
    <row r="821" spans="1:39" ht="15" customHeight="1" x14ac:dyDescent="0.25">
      <c r="A821" s="26" t="s">
        <v>73</v>
      </c>
      <c r="B821" s="26" t="s">
        <v>74</v>
      </c>
      <c r="C821" s="27"/>
      <c r="D821" s="47">
        <v>100</v>
      </c>
      <c r="E821" s="28">
        <v>68.3</v>
      </c>
      <c r="F821" s="24">
        <v>170</v>
      </c>
      <c r="G821" s="28">
        <v>712</v>
      </c>
      <c r="H821" s="24">
        <v>3.5</v>
      </c>
      <c r="I821" s="24">
        <v>8.8000000000000007</v>
      </c>
      <c r="J821" s="24">
        <v>17.7</v>
      </c>
      <c r="K821" s="28">
        <v>14.5</v>
      </c>
      <c r="L821" s="28">
        <v>1.77</v>
      </c>
      <c r="M821" s="24">
        <v>3.2</v>
      </c>
      <c r="N821" s="28">
        <v>1.7</v>
      </c>
      <c r="O821" s="25">
        <v>20</v>
      </c>
      <c r="P821" s="25">
        <v>0.5</v>
      </c>
      <c r="Q821" s="28">
        <v>277</v>
      </c>
      <c r="R821" s="25">
        <v>66</v>
      </c>
      <c r="S821" s="28">
        <v>0.6</v>
      </c>
      <c r="T821" s="28">
        <v>29</v>
      </c>
      <c r="U821" s="28">
        <v>186</v>
      </c>
      <c r="V821" s="28">
        <v>0.05</v>
      </c>
      <c r="W821" s="28">
        <v>7.0000000000000007E-2</v>
      </c>
      <c r="X821" s="28">
        <v>0.7</v>
      </c>
      <c r="Y821" s="28">
        <v>1</v>
      </c>
      <c r="Z821" s="28">
        <v>0</v>
      </c>
      <c r="AA821" s="25">
        <v>0</v>
      </c>
      <c r="AB821" s="25">
        <v>17</v>
      </c>
      <c r="AC821" s="25">
        <v>0</v>
      </c>
      <c r="AD821" s="28">
        <v>2.6</v>
      </c>
      <c r="AE821" s="28">
        <v>2.4</v>
      </c>
      <c r="AF821" s="28">
        <v>1.5</v>
      </c>
      <c r="AG821" s="28">
        <v>50</v>
      </c>
      <c r="AH821" s="24">
        <v>17</v>
      </c>
      <c r="AI821" s="28">
        <v>100</v>
      </c>
      <c r="AJ821" s="13" t="str">
        <f xml:space="preserve"> IF(AD821&gt;F821,"Exceso en grasa saturada",IFERROR(IF(F821=0,"No tiene sello",IF((AD821*9)*100/F821&gt;10,"Exceso en grasa saturada","No tiene sello")),"No tiene sello"))</f>
        <v>Exceso en grasa saturada</v>
      </c>
      <c r="AK821" s="13">
        <f>IF(AJ821="No tiene sello",0,1)</f>
        <v>1</v>
      </c>
      <c r="AL821" s="13" t="str">
        <f>IF(Q821&gt;=300,"Exceso en sodio",IFERROR(IF(AND(F821=0,Q821&gt;0),"No tiene sello",IF(Q821/F821&gt;1,"Exceso en sodio","No tiene sello")),"No tiene sello"))</f>
        <v>Exceso en sodio</v>
      </c>
      <c r="AM821" s="13" t="str">
        <f>IFERROR(IF(F821=0,"No tiene sello",IF(+(AG821/1000)*9*100/F821&gt;1,"Exceso en grasa trans", "No tiene sello")),"No tiene sello")</f>
        <v>No tiene sello</v>
      </c>
    </row>
    <row r="822" spans="1:39" ht="15" customHeight="1" x14ac:dyDescent="0.25">
      <c r="A822" s="20" t="s">
        <v>71</v>
      </c>
      <c r="B822" s="20" t="s">
        <v>72</v>
      </c>
      <c r="C822" s="21"/>
      <c r="D822" s="22">
        <v>100</v>
      </c>
      <c r="E822" s="23">
        <v>64.3</v>
      </c>
      <c r="F822" s="24">
        <v>181</v>
      </c>
      <c r="G822" s="23">
        <v>758</v>
      </c>
      <c r="H822" s="24">
        <v>3.8</v>
      </c>
      <c r="I822" s="24">
        <v>7.2</v>
      </c>
      <c r="J822" s="24">
        <v>23.8</v>
      </c>
      <c r="K822" s="23">
        <v>21</v>
      </c>
      <c r="L822" s="23">
        <v>2.38</v>
      </c>
      <c r="M822" s="24">
        <v>2.8</v>
      </c>
      <c r="N822" s="23">
        <v>0.9</v>
      </c>
      <c r="O822" s="25">
        <v>24</v>
      </c>
      <c r="P822" s="25">
        <v>0.6</v>
      </c>
      <c r="Q822" s="23">
        <v>277</v>
      </c>
      <c r="R822" s="25">
        <v>53</v>
      </c>
      <c r="S822" s="23">
        <v>0.6</v>
      </c>
      <c r="T822" s="23">
        <v>29</v>
      </c>
      <c r="U822" s="23">
        <v>186</v>
      </c>
      <c r="V822" s="23">
        <v>0.01</v>
      </c>
      <c r="W822" s="23">
        <v>0.05</v>
      </c>
      <c r="X822" s="23">
        <v>0.4</v>
      </c>
      <c r="Y822" s="23">
        <v>1</v>
      </c>
      <c r="Z822" s="23">
        <v>0</v>
      </c>
      <c r="AA822" s="25">
        <v>0</v>
      </c>
      <c r="AB822" s="25">
        <v>12</v>
      </c>
      <c r="AC822" s="25">
        <v>0</v>
      </c>
      <c r="AD822" s="23">
        <v>2.6</v>
      </c>
      <c r="AE822" s="23">
        <v>2.4</v>
      </c>
      <c r="AF822" s="23">
        <v>1.5</v>
      </c>
      <c r="AG822" s="23">
        <v>50</v>
      </c>
      <c r="AH822" s="24">
        <v>17</v>
      </c>
      <c r="AI822" s="23">
        <v>100</v>
      </c>
      <c r="AJ822" s="13" t="str">
        <f xml:space="preserve"> IF(AD822&gt;F822,"Exceso en grasa saturada",IFERROR(IF(F822=0,"No tiene sello",IF((AD822*9)*100/F822&gt;10,"Exceso en grasa saturada","No tiene sello")),"No tiene sello"))</f>
        <v>Exceso en grasa saturada</v>
      </c>
      <c r="AK822" s="13">
        <f>IF(AJ822="No tiene sello",0,1)</f>
        <v>1</v>
      </c>
      <c r="AL822" s="13" t="str">
        <f>IF(Q822&gt;=300,"Exceso en sodio",IFERROR(IF(AND(F822=0,Q822&gt;0),"No tiene sello",IF(Q822/F822&gt;1,"Exceso en sodio","No tiene sello")),"No tiene sello"))</f>
        <v>Exceso en sodio</v>
      </c>
      <c r="AM822" s="13" t="str">
        <f>IFERROR(IF(F822=0,"No tiene sello",IF(+(AG822/1000)*9*100/F822&gt;1,"Exceso en grasa trans", "No tiene sello")),"No tiene sello")</f>
        <v>No tiene sello</v>
      </c>
    </row>
    <row r="823" spans="1:39" ht="15" customHeight="1" x14ac:dyDescent="0.25">
      <c r="A823" s="26" t="s">
        <v>69</v>
      </c>
      <c r="B823" s="26" t="s">
        <v>70</v>
      </c>
      <c r="C823" s="27"/>
      <c r="D823" s="47">
        <v>100</v>
      </c>
      <c r="E823" s="28">
        <v>78.2</v>
      </c>
      <c r="F823" s="24">
        <v>84</v>
      </c>
      <c r="G823" s="28">
        <v>358</v>
      </c>
      <c r="H823" s="24">
        <v>2.2000000000000002</v>
      </c>
      <c r="I823" s="24">
        <v>0.8</v>
      </c>
      <c r="J823" s="24">
        <v>17.100000000000001</v>
      </c>
      <c r="K823" s="28">
        <v>0</v>
      </c>
      <c r="L823" s="28">
        <v>1.71</v>
      </c>
      <c r="M823" s="24">
        <v>0</v>
      </c>
      <c r="N823" s="28">
        <v>1.7</v>
      </c>
      <c r="O823" s="25">
        <v>4</v>
      </c>
      <c r="P823" s="25">
        <v>2.1</v>
      </c>
      <c r="Q823" s="28">
        <v>0</v>
      </c>
      <c r="R823" s="25">
        <v>31</v>
      </c>
      <c r="S823" s="28">
        <v>0</v>
      </c>
      <c r="T823" s="28">
        <v>0</v>
      </c>
      <c r="U823" s="28">
        <v>0</v>
      </c>
      <c r="V823" s="28">
        <v>0.04</v>
      </c>
      <c r="W823" s="28">
        <v>0.1</v>
      </c>
      <c r="X823" s="28">
        <v>0.6</v>
      </c>
      <c r="Y823" s="28">
        <v>0</v>
      </c>
      <c r="Z823" s="28">
        <v>0</v>
      </c>
      <c r="AA823" s="25">
        <v>0</v>
      </c>
      <c r="AB823" s="25">
        <v>9</v>
      </c>
      <c r="AC823" s="25">
        <v>0</v>
      </c>
      <c r="AD823" s="28">
        <v>0</v>
      </c>
      <c r="AE823" s="28">
        <v>0</v>
      </c>
      <c r="AF823" s="28">
        <v>0</v>
      </c>
      <c r="AG823" s="28">
        <v>0</v>
      </c>
      <c r="AH823" s="24">
        <v>0</v>
      </c>
      <c r="AI823" s="28">
        <v>100</v>
      </c>
      <c r="AJ823" s="13" t="str">
        <f xml:space="preserve"> IF(AD823&gt;F823,"Exceso en grasa saturada",IFERROR(IF(F823=0,"No tiene sello",IF((AD823*9)*100/F823&gt;10,"Exceso en grasa saturada","No tiene sello")),"No tiene sello"))</f>
        <v>No tiene sello</v>
      </c>
      <c r="AK823" s="13">
        <f>IF(AJ823="No tiene sello",0,1)</f>
        <v>0</v>
      </c>
      <c r="AL823" s="13" t="str">
        <f>IF(Q823&gt;=300,"Exceso en sodio",IFERROR(IF(AND(F823=0,Q823&gt;0),"No tiene sello",IF(Q823/F823&gt;1,"Exceso en sodio","No tiene sello")),"No tiene sello"))</f>
        <v>No tiene sello</v>
      </c>
      <c r="AM823" s="13" t="str">
        <f>IFERROR(IF(F823=0,"No tiene sello",IF(+(AG823/1000)*9*100/F823&gt;1,"Exceso en grasa trans", "No tiene sello")),"No tiene sello")</f>
        <v>No tiene sello</v>
      </c>
    </row>
    <row r="824" spans="1:39" ht="15" customHeight="1" x14ac:dyDescent="0.25">
      <c r="A824" s="20" t="s">
        <v>67</v>
      </c>
      <c r="B824" s="20" t="s">
        <v>68</v>
      </c>
      <c r="C824" s="21"/>
      <c r="D824" s="22">
        <v>100</v>
      </c>
      <c r="E824" s="23">
        <v>72.599999999999994</v>
      </c>
      <c r="F824" s="24">
        <v>132</v>
      </c>
      <c r="G824" s="23">
        <v>553</v>
      </c>
      <c r="H824" s="24">
        <v>5.7</v>
      </c>
      <c r="I824" s="24">
        <v>3.8</v>
      </c>
      <c r="J824" s="24">
        <v>16.7</v>
      </c>
      <c r="K824" s="23">
        <v>12.7</v>
      </c>
      <c r="L824" s="23">
        <v>1.67</v>
      </c>
      <c r="M824" s="24">
        <v>4</v>
      </c>
      <c r="N824" s="23">
        <v>1.2</v>
      </c>
      <c r="O824" s="25">
        <v>65</v>
      </c>
      <c r="P824" s="25">
        <v>0.5</v>
      </c>
      <c r="Q824" s="23">
        <v>265</v>
      </c>
      <c r="R824" s="25">
        <v>0</v>
      </c>
      <c r="S824" s="23">
        <v>0.6</v>
      </c>
      <c r="T824" s="23">
        <v>0</v>
      </c>
      <c r="U824" s="23">
        <v>131</v>
      </c>
      <c r="V824" s="23">
        <v>0.13</v>
      </c>
      <c r="W824" s="23">
        <v>0</v>
      </c>
      <c r="X824" s="23">
        <v>0.1</v>
      </c>
      <c r="Y824" s="23">
        <v>0</v>
      </c>
      <c r="Z824" s="23">
        <v>0</v>
      </c>
      <c r="AA824" s="25">
        <v>0</v>
      </c>
      <c r="AB824" s="25">
        <v>119</v>
      </c>
      <c r="AC824" s="25">
        <v>0</v>
      </c>
      <c r="AD824" s="23">
        <v>0.8</v>
      </c>
      <c r="AE824" s="23">
        <v>1.3</v>
      </c>
      <c r="AF824" s="23">
        <v>1.6</v>
      </c>
      <c r="AG824" s="23">
        <v>50</v>
      </c>
      <c r="AH824" s="24">
        <v>26</v>
      </c>
      <c r="AI824" s="23">
        <v>100</v>
      </c>
      <c r="AJ824" s="13" t="str">
        <f xml:space="preserve"> IF(AD824&gt;F824,"Exceso en grasa saturada",IFERROR(IF(F824=0,"No tiene sello",IF((AD824*9)*100/F824&gt;10,"Exceso en grasa saturada","No tiene sello")),"No tiene sello"))</f>
        <v>No tiene sello</v>
      </c>
      <c r="AK824" s="13">
        <f>IF(AJ824="No tiene sello",0,1)</f>
        <v>0</v>
      </c>
      <c r="AL824" s="13" t="str">
        <f>IF(Q824&gt;=300,"Exceso en sodio",IFERROR(IF(AND(F824=0,Q824&gt;0),"No tiene sello",IF(Q824/F824&gt;1,"Exceso en sodio","No tiene sello")),"No tiene sello"))</f>
        <v>Exceso en sodio</v>
      </c>
      <c r="AM824" s="13" t="str">
        <f>IFERROR(IF(F824=0,"No tiene sello",IF(+(AG824/1000)*9*100/F824&gt;1,"Exceso en grasa trans", "No tiene sello")),"No tiene sello")</f>
        <v>No tiene sello</v>
      </c>
    </row>
    <row r="825" spans="1:39" ht="15" customHeight="1" x14ac:dyDescent="0.25">
      <c r="A825" s="33" t="s">
        <v>65</v>
      </c>
      <c r="B825" s="33" t="s">
        <v>66</v>
      </c>
      <c r="C825" s="34"/>
      <c r="D825" s="47">
        <v>100</v>
      </c>
      <c r="E825" s="35">
        <v>73.5</v>
      </c>
      <c r="F825" s="24">
        <v>123</v>
      </c>
      <c r="G825" s="35">
        <v>518</v>
      </c>
      <c r="H825" s="24">
        <v>13.2</v>
      </c>
      <c r="I825" s="24">
        <v>4.0999999999999996</v>
      </c>
      <c r="J825" s="24">
        <v>7.8</v>
      </c>
      <c r="K825" s="35">
        <v>6.7</v>
      </c>
      <c r="L825" s="35">
        <v>0.78</v>
      </c>
      <c r="M825" s="24">
        <v>1.1000000000000001</v>
      </c>
      <c r="N825" s="35">
        <v>1.4</v>
      </c>
      <c r="O825" s="35">
        <v>53</v>
      </c>
      <c r="P825" s="35">
        <v>0.5</v>
      </c>
      <c r="Q825" s="35">
        <v>283</v>
      </c>
      <c r="R825" s="35">
        <v>0</v>
      </c>
      <c r="S825" s="35">
        <v>0.6</v>
      </c>
      <c r="T825" s="35">
        <v>0</v>
      </c>
      <c r="U825" s="35">
        <v>203</v>
      </c>
      <c r="V825" s="35">
        <v>0.1</v>
      </c>
      <c r="W825" s="35">
        <v>0.02</v>
      </c>
      <c r="X825" s="35">
        <v>0</v>
      </c>
      <c r="Y825" s="35">
        <v>0</v>
      </c>
      <c r="Z825" s="35">
        <v>0</v>
      </c>
      <c r="AA825" s="35">
        <v>0</v>
      </c>
      <c r="AB825" s="35">
        <v>14</v>
      </c>
      <c r="AC825" s="35">
        <v>0</v>
      </c>
      <c r="AD825" s="35">
        <v>1.2</v>
      </c>
      <c r="AE825" s="35">
        <v>0.8</v>
      </c>
      <c r="AF825" s="35">
        <v>2.2000000000000002</v>
      </c>
      <c r="AG825" s="35">
        <v>30</v>
      </c>
      <c r="AH825" s="35">
        <v>8</v>
      </c>
      <c r="AI825" s="35">
        <v>76</v>
      </c>
      <c r="AJ825" s="13" t="str">
        <f xml:space="preserve"> IF(AD825&gt;F825,"Exceso en grasa saturada",IFERROR(IF(F825=0,"No tiene sello",IF((AD825*9)*100/F825&gt;10,"Exceso en grasa saturada","No tiene sello")),"No tiene sello"))</f>
        <v>No tiene sello</v>
      </c>
      <c r="AK825" s="13">
        <f>IF(AJ825="No tiene sello",0,1)</f>
        <v>0</v>
      </c>
      <c r="AL825" s="13" t="str">
        <f>IF(Q825&gt;=300,"Exceso en sodio",IFERROR(IF(AND(F825=0,Q825&gt;0),"No tiene sello",IF(Q825/F825&gt;1,"Exceso en sodio","No tiene sello")),"No tiene sello"))</f>
        <v>Exceso en sodio</v>
      </c>
      <c r="AM825" s="13" t="str">
        <f>IFERROR(IF(F825=0,"No tiene sello",IF(+(AG825/1000)*9*100/F825&gt;1,"Exceso en grasa trans", "No tiene sello")),"No tiene sello")</f>
        <v>No tiene sello</v>
      </c>
    </row>
    <row r="826" spans="1:39" ht="15" customHeight="1" x14ac:dyDescent="0.25">
      <c r="A826" s="20" t="s">
        <v>63</v>
      </c>
      <c r="B826" s="20" t="s">
        <v>64</v>
      </c>
      <c r="C826" s="20" t="s">
        <v>3</v>
      </c>
      <c r="D826" s="22">
        <v>100</v>
      </c>
      <c r="E826" s="23">
        <v>4.0999999999999996</v>
      </c>
      <c r="F826" s="24">
        <v>648</v>
      </c>
      <c r="G826" s="23">
        <v>2684</v>
      </c>
      <c r="H826" s="24">
        <v>20.399999999999999</v>
      </c>
      <c r="I826" s="24">
        <v>52.2</v>
      </c>
      <c r="J826" s="24">
        <v>18.2</v>
      </c>
      <c r="K826" s="23">
        <v>6.5</v>
      </c>
      <c r="L826" s="23">
        <v>1.82</v>
      </c>
      <c r="M826" s="24">
        <v>11.8</v>
      </c>
      <c r="N826" s="23">
        <v>5</v>
      </c>
      <c r="O826" s="25">
        <v>975</v>
      </c>
      <c r="P826" s="25">
        <v>12.7</v>
      </c>
      <c r="Q826" s="23">
        <v>11</v>
      </c>
      <c r="R826" s="25">
        <v>636</v>
      </c>
      <c r="S826" s="23">
        <v>6.8</v>
      </c>
      <c r="T826" s="23">
        <v>359</v>
      </c>
      <c r="U826" s="23">
        <v>464</v>
      </c>
      <c r="V826" s="23">
        <v>0.79</v>
      </c>
      <c r="W826" s="23">
        <v>0.2</v>
      </c>
      <c r="X826" s="23">
        <v>4.8</v>
      </c>
      <c r="Y826" s="23">
        <v>97</v>
      </c>
      <c r="Z826" s="23">
        <v>0</v>
      </c>
      <c r="AA826" s="25">
        <v>0</v>
      </c>
      <c r="AB826" s="25">
        <v>2</v>
      </c>
      <c r="AC826" s="25">
        <v>0</v>
      </c>
      <c r="AD826" s="23">
        <v>0</v>
      </c>
      <c r="AE826" s="23">
        <v>0</v>
      </c>
      <c r="AF826" s="23">
        <v>0</v>
      </c>
      <c r="AG826" s="23">
        <v>0</v>
      </c>
      <c r="AH826" s="24">
        <v>0</v>
      </c>
      <c r="AI826" s="23">
        <v>100</v>
      </c>
      <c r="AJ826" s="13" t="str">
        <f xml:space="preserve"> IF(AD826&gt;F826,"Exceso en grasa saturada",IFERROR(IF(F826=0,"No tiene sello",IF((AD826*9)*100/F826&gt;10,"Exceso en grasa saturada","No tiene sello")),"No tiene sello"))</f>
        <v>No tiene sello</v>
      </c>
      <c r="AK826" s="13">
        <f>IF(AJ826="No tiene sello",0,1)</f>
        <v>0</v>
      </c>
      <c r="AL826" s="13" t="str">
        <f>IF(Q826&gt;=300,"Exceso en sodio",IFERROR(IF(AND(F826=0,Q826&gt;0),"No tiene sello",IF(Q826/F826&gt;1,"Exceso en sodio","No tiene sello")),"No tiene sello"))</f>
        <v>No tiene sello</v>
      </c>
      <c r="AM826" s="13" t="str">
        <f>IFERROR(IF(F826=0,"No tiene sello",IF(+(AG826/1000)*9*100/F826&gt;1,"Exceso en grasa trans", "No tiene sello")),"No tiene sello")</f>
        <v>No tiene sello</v>
      </c>
    </row>
    <row r="827" spans="1:39" ht="15" customHeight="1" x14ac:dyDescent="0.25">
      <c r="A827" s="26" t="s">
        <v>61</v>
      </c>
      <c r="B827" s="26" t="s">
        <v>62</v>
      </c>
      <c r="C827" s="26" t="s">
        <v>3</v>
      </c>
      <c r="D827" s="47">
        <v>100</v>
      </c>
      <c r="E827" s="28">
        <v>68.400000000000006</v>
      </c>
      <c r="F827" s="24">
        <v>138</v>
      </c>
      <c r="G827" s="28">
        <v>584</v>
      </c>
      <c r="H827" s="24">
        <v>8.1</v>
      </c>
      <c r="I827" s="24">
        <v>0.4</v>
      </c>
      <c r="J827" s="24">
        <v>22.4</v>
      </c>
      <c r="K827" s="28">
        <v>16.399999999999999</v>
      </c>
      <c r="L827" s="28">
        <v>2.2400000000000002</v>
      </c>
      <c r="M827" s="24">
        <v>6</v>
      </c>
      <c r="N827" s="28">
        <v>0.6</v>
      </c>
      <c r="O827" s="25">
        <v>25</v>
      </c>
      <c r="P827" s="25">
        <v>1.5</v>
      </c>
      <c r="Q827" s="28">
        <v>2</v>
      </c>
      <c r="R827" s="25">
        <v>99</v>
      </c>
      <c r="S827" s="28">
        <v>1</v>
      </c>
      <c r="T827" s="28">
        <v>29</v>
      </c>
      <c r="U827" s="28">
        <v>203</v>
      </c>
      <c r="V827" s="28">
        <v>0.17</v>
      </c>
      <c r="W827" s="28">
        <v>7.0000000000000007E-2</v>
      </c>
      <c r="X827" s="28">
        <v>0.9</v>
      </c>
      <c r="Y827" s="28">
        <v>65</v>
      </c>
      <c r="Z827" s="28">
        <v>0</v>
      </c>
      <c r="AA827" s="25">
        <v>0</v>
      </c>
      <c r="AB827" s="25">
        <v>8</v>
      </c>
      <c r="AC827" s="25">
        <v>0</v>
      </c>
      <c r="AD827" s="28">
        <v>0</v>
      </c>
      <c r="AE827" s="28">
        <v>0</v>
      </c>
      <c r="AF827" s="28">
        <v>0</v>
      </c>
      <c r="AG827" s="28">
        <v>0</v>
      </c>
      <c r="AH827" s="24">
        <v>0</v>
      </c>
      <c r="AI827" s="28">
        <v>100</v>
      </c>
      <c r="AJ827" s="13" t="str">
        <f xml:space="preserve"> IF(AD827&gt;F827,"Exceso en grasa saturada",IFERROR(IF(F827=0,"No tiene sello",IF((AD827*9)*100/F827&gt;10,"Exceso en grasa saturada","No tiene sello")),"No tiene sello"))</f>
        <v>No tiene sello</v>
      </c>
      <c r="AK827" s="13">
        <f>IF(AJ827="No tiene sello",0,1)</f>
        <v>0</v>
      </c>
      <c r="AL827" s="13" t="str">
        <f>IF(Q827&gt;=300,"Exceso en sodio",IFERROR(IF(AND(F827=0,Q827&gt;0),"No tiene sello",IF(Q827/F827&gt;1,"Exceso en sodio","No tiene sello")),"No tiene sello"))</f>
        <v>No tiene sello</v>
      </c>
      <c r="AM827" s="13" t="str">
        <f>IFERROR(IF(F827=0,"No tiene sello",IF(+(AG827/1000)*9*100/F827&gt;1,"Exceso en grasa trans", "No tiene sello")),"No tiene sello")</f>
        <v>No tiene sello</v>
      </c>
    </row>
    <row r="828" spans="1:39" ht="15" customHeight="1" x14ac:dyDescent="0.25">
      <c r="A828" s="20" t="s">
        <v>59</v>
      </c>
      <c r="B828" s="20" t="s">
        <v>60</v>
      </c>
      <c r="C828" s="20" t="s">
        <v>3</v>
      </c>
      <c r="D828" s="22">
        <v>100</v>
      </c>
      <c r="E828" s="23">
        <v>12.4</v>
      </c>
      <c r="F828" s="24">
        <v>374</v>
      </c>
      <c r="G828" s="23">
        <v>1581</v>
      </c>
      <c r="H828" s="24">
        <v>23.9</v>
      </c>
      <c r="I828" s="24">
        <v>1.1000000000000001</v>
      </c>
      <c r="J828" s="24">
        <v>60.2</v>
      </c>
      <c r="K828" s="23">
        <v>46.3</v>
      </c>
      <c r="L828" s="23">
        <v>6.02</v>
      </c>
      <c r="M828" s="24">
        <v>13.9</v>
      </c>
      <c r="N828" s="23">
        <v>2.4</v>
      </c>
      <c r="O828" s="25">
        <v>60</v>
      </c>
      <c r="P828" s="25">
        <v>4.5999999999999996</v>
      </c>
      <c r="Q828" s="23">
        <v>15</v>
      </c>
      <c r="R828" s="25">
        <v>346</v>
      </c>
      <c r="S828" s="23">
        <v>3.5</v>
      </c>
      <c r="T828" s="23">
        <v>119</v>
      </c>
      <c r="U828" s="23">
        <v>945</v>
      </c>
      <c r="V828" s="23">
        <v>0.78</v>
      </c>
      <c r="W828" s="23">
        <v>0.16</v>
      </c>
      <c r="X828" s="23">
        <v>3.1</v>
      </c>
      <c r="Y828" s="23">
        <v>274</v>
      </c>
      <c r="Z828" s="23">
        <v>0</v>
      </c>
      <c r="AA828" s="25">
        <v>2</v>
      </c>
      <c r="AB828" s="25">
        <v>22</v>
      </c>
      <c r="AC828" s="25">
        <v>0</v>
      </c>
      <c r="AD828" s="23">
        <v>0</v>
      </c>
      <c r="AE828" s="23">
        <v>0</v>
      </c>
      <c r="AF828" s="23">
        <v>0</v>
      </c>
      <c r="AG828" s="23">
        <v>0</v>
      </c>
      <c r="AH828" s="24">
        <v>0</v>
      </c>
      <c r="AI828" s="23">
        <v>100</v>
      </c>
      <c r="AJ828" s="13" t="str">
        <f xml:space="preserve"> IF(AD828&gt;F828,"Exceso en grasa saturada",IFERROR(IF(F828=0,"No tiene sello",IF((AD828*9)*100/F828&gt;10,"Exceso en grasa saturada","No tiene sello")),"No tiene sello"))</f>
        <v>No tiene sello</v>
      </c>
      <c r="AK828" s="13">
        <f>IF(AJ828="No tiene sello",0,1)</f>
        <v>0</v>
      </c>
      <c r="AL828" s="13" t="str">
        <f>IF(Q828&gt;=300,"Exceso en sodio",IFERROR(IF(AND(F828=0,Q828&gt;0),"No tiene sello",IF(Q828/F828&gt;1,"Exceso en sodio","No tiene sello")),"No tiene sello"))</f>
        <v>No tiene sello</v>
      </c>
      <c r="AM828" s="13" t="str">
        <f>IFERROR(IF(F828=0,"No tiene sello",IF(+(AG828/1000)*9*100/F828&gt;1,"Exceso en grasa trans", "No tiene sello")),"No tiene sello")</f>
        <v>No tiene sello</v>
      </c>
    </row>
    <row r="829" spans="1:39" ht="15" customHeight="1" x14ac:dyDescent="0.25">
      <c r="A829" s="33" t="s">
        <v>57</v>
      </c>
      <c r="B829" s="36" t="s">
        <v>58</v>
      </c>
      <c r="C829" s="34"/>
      <c r="D829" s="47">
        <v>100</v>
      </c>
      <c r="E829" s="35">
        <v>92</v>
      </c>
      <c r="F829" s="24">
        <v>40</v>
      </c>
      <c r="G829" s="35">
        <v>168</v>
      </c>
      <c r="H829" s="24">
        <v>2.6</v>
      </c>
      <c r="I829" s="24">
        <v>1.7</v>
      </c>
      <c r="J829" s="24">
        <v>3.2</v>
      </c>
      <c r="K829" s="35">
        <v>2.1</v>
      </c>
      <c r="L829" s="35">
        <v>0.32</v>
      </c>
      <c r="M829" s="24">
        <v>1.1000000000000001</v>
      </c>
      <c r="N829" s="35">
        <v>0.5</v>
      </c>
      <c r="O829" s="35">
        <v>20</v>
      </c>
      <c r="P829" s="35">
        <v>0.6</v>
      </c>
      <c r="Q829" s="35">
        <v>54</v>
      </c>
      <c r="R829" s="35">
        <v>51</v>
      </c>
      <c r="S829" s="35">
        <v>0.3</v>
      </c>
      <c r="T829" s="35">
        <v>25</v>
      </c>
      <c r="U829" s="35">
        <v>120</v>
      </c>
      <c r="V829" s="35">
        <v>0.05</v>
      </c>
      <c r="W829" s="35">
        <v>0.04</v>
      </c>
      <c r="X829" s="35">
        <v>0.6</v>
      </c>
      <c r="Y829" s="35">
        <v>16</v>
      </c>
      <c r="Z829" s="35">
        <v>0.13</v>
      </c>
      <c r="AA829" s="35">
        <v>0</v>
      </c>
      <c r="AB829" s="35">
        <v>4</v>
      </c>
      <c r="AC829" s="35">
        <v>2</v>
      </c>
      <c r="AD829" s="35">
        <v>0</v>
      </c>
      <c r="AE829" s="35">
        <v>0</v>
      </c>
      <c r="AF829" s="35">
        <v>0</v>
      </c>
      <c r="AG829" s="35">
        <v>0</v>
      </c>
      <c r="AH829" s="35">
        <v>0</v>
      </c>
      <c r="AI829" s="35">
        <v>100</v>
      </c>
      <c r="AJ829" s="13" t="str">
        <f xml:space="preserve"> IF(AD829&gt;F829,"Exceso en grasa saturada",IFERROR(IF(F829=0,"No tiene sello",IF((AD829*9)*100/F829&gt;10,"Exceso en grasa saturada","No tiene sello")),"No tiene sello"))</f>
        <v>No tiene sello</v>
      </c>
      <c r="AK829" s="13">
        <f>IF(AJ829="No tiene sello",0,1)</f>
        <v>0</v>
      </c>
      <c r="AL829" s="13" t="str">
        <f>IF(Q829&gt;=300,"Exceso en sodio",IFERROR(IF(AND(F829=0,Q829&gt;0),"No tiene sello",IF(Q829/F829&gt;1,"Exceso en sodio","No tiene sello")),"No tiene sello"))</f>
        <v>Exceso en sodio</v>
      </c>
      <c r="AM829" s="13" t="str">
        <f>IFERROR(IF(F829=0,"No tiene sello",IF(+(AG829/1000)*9*100/F829&gt;1,"Exceso en grasa trans", "No tiene sello")),"No tiene sello")</f>
        <v>No tiene sello</v>
      </c>
    </row>
    <row r="830" spans="1:39" ht="15" customHeight="1" x14ac:dyDescent="0.25">
      <c r="A830" s="20" t="s">
        <v>55</v>
      </c>
      <c r="B830" s="20" t="s">
        <v>56</v>
      </c>
      <c r="C830" s="20" t="s">
        <v>3</v>
      </c>
      <c r="D830" s="22">
        <v>100</v>
      </c>
      <c r="E830" s="23">
        <v>12</v>
      </c>
      <c r="F830" s="24">
        <v>373</v>
      </c>
      <c r="G830" s="23">
        <v>1575</v>
      </c>
      <c r="H830" s="24">
        <v>21.3</v>
      </c>
      <c r="I830" s="24">
        <v>1.1000000000000001</v>
      </c>
      <c r="J830" s="24">
        <v>61.8</v>
      </c>
      <c r="K830" s="23">
        <v>46.7</v>
      </c>
      <c r="L830" s="23">
        <v>6.18</v>
      </c>
      <c r="M830" s="24">
        <v>15.1</v>
      </c>
      <c r="N830" s="23">
        <v>3.8</v>
      </c>
      <c r="O830" s="25">
        <v>133</v>
      </c>
      <c r="P830" s="25">
        <v>6.2</v>
      </c>
      <c r="Q830" s="23">
        <v>15</v>
      </c>
      <c r="R830" s="25">
        <v>361</v>
      </c>
      <c r="S830" s="23">
        <v>3.7</v>
      </c>
      <c r="T830" s="23">
        <v>184</v>
      </c>
      <c r="U830" s="23">
        <v>1774</v>
      </c>
      <c r="V830" s="23">
        <v>0.44</v>
      </c>
      <c r="W830" s="23">
        <v>0.17</v>
      </c>
      <c r="X830" s="23">
        <v>2</v>
      </c>
      <c r="Y830" s="23">
        <v>388</v>
      </c>
      <c r="Z830" s="23">
        <v>0</v>
      </c>
      <c r="AA830" s="25">
        <v>0</v>
      </c>
      <c r="AB830" s="25">
        <v>0</v>
      </c>
      <c r="AC830" s="25">
        <v>0</v>
      </c>
      <c r="AD830" s="23">
        <v>0</v>
      </c>
      <c r="AE830" s="23">
        <v>0</v>
      </c>
      <c r="AF830" s="23">
        <v>0</v>
      </c>
      <c r="AG830" s="23">
        <v>0</v>
      </c>
      <c r="AH830" s="24">
        <v>0</v>
      </c>
      <c r="AI830" s="23">
        <v>100</v>
      </c>
      <c r="AJ830" s="13" t="str">
        <f xml:space="preserve"> IF(AD830&gt;F830,"Exceso en grasa saturada",IFERROR(IF(F830=0,"No tiene sello",IF((AD830*9)*100/F830&gt;10,"Exceso en grasa saturada","No tiene sello")),"No tiene sello"))</f>
        <v>No tiene sello</v>
      </c>
      <c r="AK830" s="13">
        <f>IF(AJ830="No tiene sello",0,1)</f>
        <v>0</v>
      </c>
      <c r="AL830" s="13" t="str">
        <f>IF(Q830&gt;=300,"Exceso en sodio",IFERROR(IF(AND(F830=0,Q830&gt;0),"No tiene sello",IF(Q830/F830&gt;1,"Exceso en sodio","No tiene sello")),"No tiene sello"))</f>
        <v>No tiene sello</v>
      </c>
      <c r="AM830" s="13" t="str">
        <f>IFERROR(IF(F830=0,"No tiene sello",IF(+(AG830/1000)*9*100/F830&gt;1,"Exceso en grasa trans", "No tiene sello")),"No tiene sello")</f>
        <v>No tiene sello</v>
      </c>
    </row>
    <row r="831" spans="1:39" ht="15" customHeight="1" x14ac:dyDescent="0.25">
      <c r="A831" s="26" t="s">
        <v>53</v>
      </c>
      <c r="B831" s="26" t="s">
        <v>54</v>
      </c>
      <c r="C831" s="26" t="s">
        <v>3</v>
      </c>
      <c r="D831" s="47">
        <v>100</v>
      </c>
      <c r="E831" s="28">
        <v>14.8</v>
      </c>
      <c r="F831" s="24">
        <v>371</v>
      </c>
      <c r="G831" s="28">
        <v>1564</v>
      </c>
      <c r="H831" s="24">
        <v>21.4</v>
      </c>
      <c r="I831" s="24">
        <v>1.2</v>
      </c>
      <c r="J831" s="24">
        <v>58.7</v>
      </c>
      <c r="K831" s="28">
        <v>38.700000000000003</v>
      </c>
      <c r="L831" s="28">
        <v>5.87</v>
      </c>
      <c r="M831" s="24">
        <v>20</v>
      </c>
      <c r="N831" s="28">
        <v>4</v>
      </c>
      <c r="O831" s="25">
        <v>125</v>
      </c>
      <c r="P831" s="25">
        <v>7.1</v>
      </c>
      <c r="Q831" s="28">
        <v>15</v>
      </c>
      <c r="R831" s="25">
        <v>430</v>
      </c>
      <c r="S831" s="28">
        <v>2.8</v>
      </c>
      <c r="T831" s="28">
        <v>142</v>
      </c>
      <c r="U831" s="28">
        <v>1386</v>
      </c>
      <c r="V831" s="28">
        <v>0.43</v>
      </c>
      <c r="W831" s="28">
        <v>0.2</v>
      </c>
      <c r="X831" s="28">
        <v>2.1</v>
      </c>
      <c r="Y831" s="28">
        <v>394</v>
      </c>
      <c r="Z831" s="28">
        <v>0</v>
      </c>
      <c r="AA831" s="25">
        <v>5</v>
      </c>
      <c r="AB831" s="25">
        <v>0</v>
      </c>
      <c r="AC831" s="25">
        <v>0</v>
      </c>
      <c r="AD831" s="28">
        <v>0</v>
      </c>
      <c r="AE831" s="28">
        <v>0</v>
      </c>
      <c r="AF831" s="28">
        <v>0</v>
      </c>
      <c r="AG831" s="28">
        <v>0</v>
      </c>
      <c r="AH831" s="24">
        <v>0</v>
      </c>
      <c r="AI831" s="28">
        <v>100</v>
      </c>
      <c r="AJ831" s="13" t="str">
        <f xml:space="preserve"> IF(AD831&gt;F831,"Exceso en grasa saturada",IFERROR(IF(F831=0,"No tiene sello",IF((AD831*9)*100/F831&gt;10,"Exceso en grasa saturada","No tiene sello")),"No tiene sello"))</f>
        <v>No tiene sello</v>
      </c>
      <c r="AK831" s="13">
        <f>IF(AJ831="No tiene sello",0,1)</f>
        <v>0</v>
      </c>
      <c r="AL831" s="13" t="str">
        <f>IF(Q831&gt;=300,"Exceso en sodio",IFERROR(IF(AND(F831=0,Q831&gt;0),"No tiene sello",IF(Q831/F831&gt;1,"Exceso en sodio","No tiene sello")),"No tiene sello"))</f>
        <v>No tiene sello</v>
      </c>
      <c r="AM831" s="13" t="str">
        <f>IFERROR(IF(F831=0,"No tiene sello",IF(+(AG831/1000)*9*100/F831&gt;1,"Exceso en grasa trans", "No tiene sello")),"No tiene sello")</f>
        <v>No tiene sello</v>
      </c>
    </row>
    <row r="832" spans="1:39" ht="15" customHeight="1" x14ac:dyDescent="0.25">
      <c r="A832" s="20" t="s">
        <v>51</v>
      </c>
      <c r="B832" s="20" t="s">
        <v>52</v>
      </c>
      <c r="C832" s="20" t="s">
        <v>3</v>
      </c>
      <c r="D832" s="22">
        <v>100</v>
      </c>
      <c r="E832" s="23">
        <v>12.8</v>
      </c>
      <c r="F832" s="24">
        <v>391</v>
      </c>
      <c r="G832" s="23">
        <v>1647</v>
      </c>
      <c r="H832" s="24">
        <v>21.5</v>
      </c>
      <c r="I832" s="24">
        <v>1.4</v>
      </c>
      <c r="J832" s="24">
        <v>60.5</v>
      </c>
      <c r="K832" s="23">
        <v>35.6</v>
      </c>
      <c r="L832" s="23">
        <v>6.05</v>
      </c>
      <c r="M832" s="24">
        <v>24.9</v>
      </c>
      <c r="N832" s="23">
        <v>3.7</v>
      </c>
      <c r="O832" s="25">
        <v>81</v>
      </c>
      <c r="P832" s="25">
        <v>5.7</v>
      </c>
      <c r="Q832" s="23">
        <v>16</v>
      </c>
      <c r="R832" s="25">
        <v>396</v>
      </c>
      <c r="S832" s="23">
        <v>3.5</v>
      </c>
      <c r="T832" s="23">
        <v>178</v>
      </c>
      <c r="U832" s="23">
        <v>1123</v>
      </c>
      <c r="V832" s="23">
        <v>0.73</v>
      </c>
      <c r="W832" s="23">
        <v>0.18</v>
      </c>
      <c r="X832" s="23">
        <v>2.1</v>
      </c>
      <c r="Y832" s="23">
        <v>630</v>
      </c>
      <c r="Z832" s="23">
        <v>0</v>
      </c>
      <c r="AA832" s="25">
        <v>3</v>
      </c>
      <c r="AB832" s="25">
        <v>2</v>
      </c>
      <c r="AC832" s="25">
        <v>0</v>
      </c>
      <c r="AD832" s="23">
        <v>0</v>
      </c>
      <c r="AE832" s="23">
        <v>0</v>
      </c>
      <c r="AF832" s="23">
        <v>0</v>
      </c>
      <c r="AG832" s="23">
        <v>0</v>
      </c>
      <c r="AH832" s="24">
        <v>0</v>
      </c>
      <c r="AI832" s="23">
        <v>100</v>
      </c>
      <c r="AJ832" s="13" t="str">
        <f xml:space="preserve"> IF(AD832&gt;F832,"Exceso en grasa saturada",IFERROR(IF(F832=0,"No tiene sello",IF((AD832*9)*100/F832&gt;10,"Exceso en grasa saturada","No tiene sello")),"No tiene sello"))</f>
        <v>No tiene sello</v>
      </c>
      <c r="AK832" s="13">
        <f>IF(AJ832="No tiene sello",0,1)</f>
        <v>0</v>
      </c>
      <c r="AL832" s="13" t="str">
        <f>IF(Q832&gt;=300,"Exceso en sodio",IFERROR(IF(AND(F832=0,Q832&gt;0),"No tiene sello",IF(Q832/F832&gt;1,"Exceso en sodio","No tiene sello")),"No tiene sello"))</f>
        <v>No tiene sello</v>
      </c>
      <c r="AM832" s="13" t="str">
        <f>IFERROR(IF(F832=0,"No tiene sello",IF(+(AG832/1000)*9*100/F832&gt;1,"Exceso en grasa trans", "No tiene sello")),"No tiene sello")</f>
        <v>No tiene sello</v>
      </c>
    </row>
    <row r="833" spans="1:39" ht="15" customHeight="1" x14ac:dyDescent="0.25">
      <c r="A833" s="26" t="s">
        <v>49</v>
      </c>
      <c r="B833" s="26" t="s">
        <v>50</v>
      </c>
      <c r="C833" s="26" t="s">
        <v>3</v>
      </c>
      <c r="D833" s="47">
        <v>100</v>
      </c>
      <c r="E833" s="28">
        <v>15.2</v>
      </c>
      <c r="F833" s="24">
        <v>365</v>
      </c>
      <c r="G833" s="28">
        <v>1542</v>
      </c>
      <c r="H833" s="24">
        <v>20.6</v>
      </c>
      <c r="I833" s="24">
        <v>1.4</v>
      </c>
      <c r="J833" s="24">
        <v>59.4</v>
      </c>
      <c r="K833" s="28">
        <v>42.9</v>
      </c>
      <c r="L833" s="28">
        <v>5.94</v>
      </c>
      <c r="M833" s="24">
        <v>16.5</v>
      </c>
      <c r="N833" s="28">
        <v>3.4</v>
      </c>
      <c r="O833" s="25">
        <v>147</v>
      </c>
      <c r="P833" s="25">
        <v>5.5</v>
      </c>
      <c r="Q833" s="28">
        <v>5</v>
      </c>
      <c r="R833" s="25">
        <v>407</v>
      </c>
      <c r="S833" s="28">
        <v>3.5</v>
      </c>
      <c r="T833" s="28">
        <v>175</v>
      </c>
      <c r="U833" s="28">
        <v>1185</v>
      </c>
      <c r="V833" s="28">
        <v>0.78</v>
      </c>
      <c r="W833" s="28">
        <v>0.16</v>
      </c>
      <c r="X833" s="28">
        <v>2.2000000000000002</v>
      </c>
      <c r="Y833" s="28">
        <v>364</v>
      </c>
      <c r="Z833" s="28">
        <v>0</v>
      </c>
      <c r="AA833" s="25">
        <v>3</v>
      </c>
      <c r="AB833" s="25">
        <v>0</v>
      </c>
      <c r="AC833" s="25">
        <v>0</v>
      </c>
      <c r="AD833" s="28">
        <v>0</v>
      </c>
      <c r="AE833" s="28">
        <v>0</v>
      </c>
      <c r="AF833" s="28">
        <v>0</v>
      </c>
      <c r="AG833" s="28">
        <v>0</v>
      </c>
      <c r="AH833" s="24">
        <v>0</v>
      </c>
      <c r="AI833" s="28">
        <v>100</v>
      </c>
      <c r="AJ833" s="13" t="str">
        <f xml:space="preserve"> IF(AD833&gt;F833,"Exceso en grasa saturada",IFERROR(IF(F833=0,"No tiene sello",IF((AD833*9)*100/F833&gt;10,"Exceso en grasa saturada","No tiene sello")),"No tiene sello"))</f>
        <v>No tiene sello</v>
      </c>
      <c r="AK833" s="13">
        <f>IF(AJ833="No tiene sello",0,1)</f>
        <v>0</v>
      </c>
      <c r="AL833" s="13" t="str">
        <f>IF(Q833&gt;=300,"Exceso en sodio",IFERROR(IF(AND(F833=0,Q833&gt;0),"No tiene sello",IF(Q833/F833&gt;1,"Exceso en sodio","No tiene sello")),"No tiene sello"))</f>
        <v>No tiene sello</v>
      </c>
      <c r="AM833" s="13" t="str">
        <f>IFERROR(IF(F833=0,"No tiene sello",IF(+(AG833/1000)*9*100/F833&gt;1,"Exceso en grasa trans", "No tiene sello")),"No tiene sello")</f>
        <v>No tiene sello</v>
      </c>
    </row>
    <row r="834" spans="1:39" ht="15" customHeight="1" x14ac:dyDescent="0.25">
      <c r="A834" s="20" t="s">
        <v>47</v>
      </c>
      <c r="B834" s="20" t="s">
        <v>48</v>
      </c>
      <c r="C834" s="20" t="s">
        <v>3</v>
      </c>
      <c r="D834" s="22">
        <v>100</v>
      </c>
      <c r="E834" s="23">
        <v>12.5</v>
      </c>
      <c r="F834" s="24">
        <v>386</v>
      </c>
      <c r="G834" s="23">
        <v>1627</v>
      </c>
      <c r="H834" s="24">
        <v>22.8</v>
      </c>
      <c r="I834" s="24">
        <v>1.7</v>
      </c>
      <c r="J834" s="24">
        <v>59</v>
      </c>
      <c r="K834" s="23">
        <v>37.4</v>
      </c>
      <c r="L834" s="23">
        <v>5.9</v>
      </c>
      <c r="M834" s="24">
        <v>21.6</v>
      </c>
      <c r="N834" s="23">
        <v>4</v>
      </c>
      <c r="O834" s="25">
        <v>129</v>
      </c>
      <c r="P834" s="25">
        <v>6.1</v>
      </c>
      <c r="Q834" s="23">
        <v>5</v>
      </c>
      <c r="R834" s="25">
        <v>413</v>
      </c>
      <c r="S834" s="23">
        <v>2.7</v>
      </c>
      <c r="T834" s="23">
        <v>171</v>
      </c>
      <c r="U834" s="23">
        <v>1460</v>
      </c>
      <c r="V834" s="23">
        <v>0.32</v>
      </c>
      <c r="W834" s="23">
        <v>0.23</v>
      </c>
      <c r="X834" s="23">
        <v>1.6</v>
      </c>
      <c r="Y834" s="23">
        <v>444</v>
      </c>
      <c r="Z834" s="23">
        <v>0</v>
      </c>
      <c r="AA834" s="25">
        <v>0</v>
      </c>
      <c r="AB834" s="25">
        <v>0</v>
      </c>
      <c r="AC834" s="25">
        <v>0</v>
      </c>
      <c r="AD834" s="23">
        <v>0</v>
      </c>
      <c r="AE834" s="23">
        <v>0</v>
      </c>
      <c r="AF834" s="23">
        <v>0</v>
      </c>
      <c r="AG834" s="23">
        <v>0</v>
      </c>
      <c r="AH834" s="24">
        <v>0</v>
      </c>
      <c r="AI834" s="23">
        <v>100</v>
      </c>
      <c r="AJ834" s="13" t="str">
        <f xml:space="preserve"> IF(AD834&gt;F834,"Exceso en grasa saturada",IFERROR(IF(F834=0,"No tiene sello",IF((AD834*9)*100/F834&gt;10,"Exceso en grasa saturada","No tiene sello")),"No tiene sello"))</f>
        <v>No tiene sello</v>
      </c>
      <c r="AK834" s="13">
        <f>IF(AJ834="No tiene sello",0,1)</f>
        <v>0</v>
      </c>
      <c r="AL834" s="13" t="str">
        <f>IF(Q834&gt;=300,"Exceso en sodio",IFERROR(IF(AND(F834=0,Q834&gt;0),"No tiene sello",IF(Q834/F834&gt;1,"Exceso en sodio","No tiene sello")),"No tiene sello"))</f>
        <v>No tiene sello</v>
      </c>
      <c r="AM834" s="13" t="str">
        <f>IFERROR(IF(F834=0,"No tiene sello",IF(+(AG834/1000)*9*100/F834&gt;1,"Exceso en grasa trans", "No tiene sello")),"No tiene sello")</f>
        <v>No tiene sello</v>
      </c>
    </row>
    <row r="835" spans="1:39" ht="15" customHeight="1" x14ac:dyDescent="0.25">
      <c r="A835" s="26" t="s">
        <v>45</v>
      </c>
      <c r="B835" s="26" t="s">
        <v>46</v>
      </c>
      <c r="C835" s="26" t="s">
        <v>3</v>
      </c>
      <c r="D835" s="47">
        <v>100</v>
      </c>
      <c r="E835" s="28">
        <v>63.3</v>
      </c>
      <c r="F835" s="24">
        <v>161</v>
      </c>
      <c r="G835" s="28">
        <v>678</v>
      </c>
      <c r="H835" s="24">
        <v>8.1</v>
      </c>
      <c r="I835" s="24">
        <v>0.6</v>
      </c>
      <c r="J835" s="24">
        <v>26.9</v>
      </c>
      <c r="K835" s="28">
        <v>19.3</v>
      </c>
      <c r="L835" s="28">
        <v>2.69</v>
      </c>
      <c r="M835" s="24">
        <v>7.6</v>
      </c>
      <c r="N835" s="28">
        <v>1.1000000000000001</v>
      </c>
      <c r="O835" s="25">
        <v>46</v>
      </c>
      <c r="P835" s="25">
        <v>2.1</v>
      </c>
      <c r="Q835" s="28">
        <v>1</v>
      </c>
      <c r="R835" s="25">
        <v>139</v>
      </c>
      <c r="S835" s="28">
        <v>1</v>
      </c>
      <c r="T835" s="28">
        <v>52</v>
      </c>
      <c r="U835" s="28">
        <v>442</v>
      </c>
      <c r="V835" s="28">
        <v>0.21</v>
      </c>
      <c r="W835" s="28">
        <v>0.06</v>
      </c>
      <c r="X835" s="28">
        <v>0.4</v>
      </c>
      <c r="Y835" s="28">
        <v>172</v>
      </c>
      <c r="Z835" s="28">
        <v>0</v>
      </c>
      <c r="AA835" s="25">
        <v>1</v>
      </c>
      <c r="AB835" s="25">
        <v>0</v>
      </c>
      <c r="AC835" s="25">
        <v>0</v>
      </c>
      <c r="AD835" s="28">
        <v>0</v>
      </c>
      <c r="AE835" s="28">
        <v>0</v>
      </c>
      <c r="AF835" s="28">
        <v>0</v>
      </c>
      <c r="AG835" s="28">
        <v>0</v>
      </c>
      <c r="AH835" s="24">
        <v>0</v>
      </c>
      <c r="AI835" s="28">
        <v>100</v>
      </c>
      <c r="AJ835" s="13" t="str">
        <f xml:space="preserve"> IF(AD835&gt;F835,"Exceso en grasa saturada",IFERROR(IF(F835=0,"No tiene sello",IF((AD835*9)*100/F835&gt;10,"Exceso en grasa saturada","No tiene sello")),"No tiene sello"))</f>
        <v>No tiene sello</v>
      </c>
      <c r="AK835" s="13">
        <f>IF(AJ835="No tiene sello",0,1)</f>
        <v>0</v>
      </c>
      <c r="AL835" s="13" t="str">
        <f>IF(Q835&gt;=300,"Exceso en sodio",IFERROR(IF(AND(F835=0,Q835&gt;0),"No tiene sello",IF(Q835/F835&gt;1,"Exceso en sodio","No tiene sello")),"No tiene sello"))</f>
        <v>No tiene sello</v>
      </c>
      <c r="AM835" s="13" t="str">
        <f>IFERROR(IF(F835=0,"No tiene sello",IF(+(AG835/1000)*9*100/F835&gt;1,"Exceso en grasa trans", "No tiene sello")),"No tiene sello")</f>
        <v>No tiene sello</v>
      </c>
    </row>
    <row r="836" spans="1:39" ht="15" customHeight="1" x14ac:dyDescent="0.25">
      <c r="A836" s="20" t="s">
        <v>43</v>
      </c>
      <c r="B836" s="20" t="s">
        <v>44</v>
      </c>
      <c r="C836" s="20" t="s">
        <v>3</v>
      </c>
      <c r="D836" s="22">
        <v>100</v>
      </c>
      <c r="E836" s="23">
        <v>11.9</v>
      </c>
      <c r="F836" s="24">
        <v>386</v>
      </c>
      <c r="G836" s="23">
        <v>1628</v>
      </c>
      <c r="H836" s="24">
        <v>22.8</v>
      </c>
      <c r="I836" s="24">
        <v>1.5</v>
      </c>
      <c r="J836" s="24">
        <v>60.4</v>
      </c>
      <c r="K836" s="23">
        <v>40.6</v>
      </c>
      <c r="L836" s="23">
        <v>6.04</v>
      </c>
      <c r="M836" s="24">
        <v>19.8</v>
      </c>
      <c r="N836" s="23">
        <v>3.4</v>
      </c>
      <c r="O836" s="25">
        <v>119</v>
      </c>
      <c r="P836" s="25">
        <v>5.3</v>
      </c>
      <c r="Q836" s="23">
        <v>10</v>
      </c>
      <c r="R836" s="25">
        <v>424</v>
      </c>
      <c r="S836" s="23">
        <v>2.6</v>
      </c>
      <c r="T836" s="23">
        <v>176</v>
      </c>
      <c r="U836" s="23">
        <v>1392</v>
      </c>
      <c r="V836" s="23">
        <v>0.46</v>
      </c>
      <c r="W836" s="23">
        <v>0.2</v>
      </c>
      <c r="X836" s="23">
        <v>1.4</v>
      </c>
      <c r="Y836" s="23">
        <v>524</v>
      </c>
      <c r="Z836" s="23">
        <v>0</v>
      </c>
      <c r="AA836" s="25">
        <v>6</v>
      </c>
      <c r="AB836" s="25">
        <v>0</v>
      </c>
      <c r="AC836" s="25">
        <v>0</v>
      </c>
      <c r="AD836" s="23">
        <v>0</v>
      </c>
      <c r="AE836" s="23">
        <v>0</v>
      </c>
      <c r="AF836" s="23">
        <v>0</v>
      </c>
      <c r="AG836" s="23">
        <v>0</v>
      </c>
      <c r="AH836" s="24">
        <v>0</v>
      </c>
      <c r="AI836" s="23">
        <v>100</v>
      </c>
      <c r="AJ836" s="13" t="str">
        <f xml:space="preserve"> IF(AD836&gt;F836,"Exceso en grasa saturada",IFERROR(IF(F836=0,"No tiene sello",IF((AD836*9)*100/F836&gt;10,"Exceso en grasa saturada","No tiene sello")),"No tiene sello"))</f>
        <v>No tiene sello</v>
      </c>
      <c r="AK836" s="13">
        <f>IF(AJ836="No tiene sello",0,1)</f>
        <v>0</v>
      </c>
      <c r="AL836" s="13" t="str">
        <f>IF(Q836&gt;=300,"Exceso en sodio",IFERROR(IF(AND(F836=0,Q836&gt;0),"No tiene sello",IF(Q836/F836&gt;1,"Exceso en sodio","No tiene sello")),"No tiene sello"))</f>
        <v>No tiene sello</v>
      </c>
      <c r="AM836" s="13" t="str">
        <f>IFERROR(IF(F836=0,"No tiene sello",IF(+(AG836/1000)*9*100/F836&gt;1,"Exceso en grasa trans", "No tiene sello")),"No tiene sello")</f>
        <v>No tiene sello</v>
      </c>
    </row>
    <row r="837" spans="1:39" ht="15" customHeight="1" x14ac:dyDescent="0.25">
      <c r="A837" s="26" t="s">
        <v>41</v>
      </c>
      <c r="B837" s="26" t="s">
        <v>42</v>
      </c>
      <c r="C837" s="26" t="s">
        <v>3</v>
      </c>
      <c r="D837" s="47">
        <v>100</v>
      </c>
      <c r="E837" s="28">
        <v>11.9</v>
      </c>
      <c r="F837" s="24">
        <v>370</v>
      </c>
      <c r="G837" s="28">
        <v>1564</v>
      </c>
      <c r="H837" s="24">
        <v>21</v>
      </c>
      <c r="I837" s="24">
        <v>1.2</v>
      </c>
      <c r="J837" s="24">
        <v>62.4</v>
      </c>
      <c r="K837" s="28">
        <v>49.7</v>
      </c>
      <c r="L837" s="28">
        <v>6.24</v>
      </c>
      <c r="M837" s="24">
        <v>12.7</v>
      </c>
      <c r="N837" s="28">
        <v>3.5</v>
      </c>
      <c r="O837" s="25">
        <v>137</v>
      </c>
      <c r="P837" s="25">
        <v>6.8</v>
      </c>
      <c r="Q837" s="28">
        <v>8</v>
      </c>
      <c r="R837" s="25">
        <v>443</v>
      </c>
      <c r="S837" s="28">
        <v>2.5</v>
      </c>
      <c r="T837" s="28">
        <v>182</v>
      </c>
      <c r="U837" s="28">
        <v>1464</v>
      </c>
      <c r="V837" s="28">
        <v>0.77</v>
      </c>
      <c r="W837" s="28">
        <v>0.21</v>
      </c>
      <c r="X837" s="28">
        <v>1.9</v>
      </c>
      <c r="Y837" s="28">
        <v>463</v>
      </c>
      <c r="Z837" s="28">
        <v>0</v>
      </c>
      <c r="AA837" s="25">
        <v>0</v>
      </c>
      <c r="AB837" s="25">
        <v>0</v>
      </c>
      <c r="AC837" s="25">
        <v>0</v>
      </c>
      <c r="AD837" s="28">
        <v>0</v>
      </c>
      <c r="AE837" s="28">
        <v>0</v>
      </c>
      <c r="AF837" s="28">
        <v>0</v>
      </c>
      <c r="AG837" s="28">
        <v>0</v>
      </c>
      <c r="AH837" s="24">
        <v>0</v>
      </c>
      <c r="AI837" s="28">
        <v>100</v>
      </c>
      <c r="AJ837" s="13" t="str">
        <f xml:space="preserve"> IF(AD837&gt;F837,"Exceso en grasa saturada",IFERROR(IF(F837=0,"No tiene sello",IF((AD837*9)*100/F837&gt;10,"Exceso en grasa saturada","No tiene sello")),"No tiene sello"))</f>
        <v>No tiene sello</v>
      </c>
      <c r="AK837" s="13">
        <f>IF(AJ837="No tiene sello",0,1)</f>
        <v>0</v>
      </c>
      <c r="AL837" s="13" t="str">
        <f>IF(Q837&gt;=300,"Exceso en sodio",IFERROR(IF(AND(F837=0,Q837&gt;0),"No tiene sello",IF(Q837/F837&gt;1,"Exceso en sodio","No tiene sello")),"No tiene sello"))</f>
        <v>No tiene sello</v>
      </c>
      <c r="AM837" s="13" t="str">
        <f>IFERROR(IF(F837=0,"No tiene sello",IF(+(AG837/1000)*9*100/F837&gt;1,"Exceso en grasa trans", "No tiene sello")),"No tiene sello")</f>
        <v>No tiene sello</v>
      </c>
    </row>
    <row r="838" spans="1:39" ht="15" customHeight="1" x14ac:dyDescent="0.25">
      <c r="A838" s="20" t="s">
        <v>39</v>
      </c>
      <c r="B838" s="20" t="s">
        <v>40</v>
      </c>
      <c r="C838" s="20" t="s">
        <v>3</v>
      </c>
      <c r="D838" s="22">
        <v>100</v>
      </c>
      <c r="E838" s="23">
        <v>14</v>
      </c>
      <c r="F838" s="24">
        <v>366</v>
      </c>
      <c r="G838" s="23">
        <v>1547</v>
      </c>
      <c r="H838" s="24">
        <v>19.5</v>
      </c>
      <c r="I838" s="24">
        <v>1.4</v>
      </c>
      <c r="J838" s="24">
        <v>61.4</v>
      </c>
      <c r="K838" s="23">
        <v>46.4</v>
      </c>
      <c r="L838" s="23">
        <v>6.14</v>
      </c>
      <c r="M838" s="24">
        <v>15</v>
      </c>
      <c r="N838" s="23">
        <v>3.7</v>
      </c>
      <c r="O838" s="25">
        <v>119</v>
      </c>
      <c r="P838" s="25">
        <v>5.2</v>
      </c>
      <c r="Q838" s="23">
        <v>17</v>
      </c>
      <c r="R838" s="25">
        <v>346</v>
      </c>
      <c r="S838" s="23">
        <v>2.8</v>
      </c>
      <c r="T838" s="23">
        <v>183</v>
      </c>
      <c r="U838" s="23">
        <v>1392</v>
      </c>
      <c r="V838" s="23">
        <v>0.61</v>
      </c>
      <c r="W838" s="23">
        <v>0.19</v>
      </c>
      <c r="X838" s="23">
        <v>2</v>
      </c>
      <c r="Y838" s="23">
        <v>456</v>
      </c>
      <c r="Z838" s="23">
        <v>0</v>
      </c>
      <c r="AA838" s="25">
        <v>4</v>
      </c>
      <c r="AB838" s="25">
        <v>9</v>
      </c>
      <c r="AC838" s="25">
        <v>0</v>
      </c>
      <c r="AD838" s="23">
        <v>0</v>
      </c>
      <c r="AE838" s="23">
        <v>0</v>
      </c>
      <c r="AF838" s="23">
        <v>0</v>
      </c>
      <c r="AG838" s="23">
        <v>0</v>
      </c>
      <c r="AH838" s="24">
        <v>0</v>
      </c>
      <c r="AI838" s="23">
        <v>100</v>
      </c>
      <c r="AJ838" s="13" t="str">
        <f xml:space="preserve"> IF(AD838&gt;F838,"Exceso en grasa saturada",IFERROR(IF(F838=0,"No tiene sello",IF((AD838*9)*100/F838&gt;10,"Exceso en grasa saturada","No tiene sello")),"No tiene sello"))</f>
        <v>No tiene sello</v>
      </c>
      <c r="AK838" s="13">
        <f>IF(AJ838="No tiene sello",0,1)</f>
        <v>0</v>
      </c>
      <c r="AL838" s="13" t="str">
        <f>IF(Q838&gt;=300,"Exceso en sodio",IFERROR(IF(AND(F838=0,Q838&gt;0),"No tiene sello",IF(Q838/F838&gt;1,"Exceso en sodio","No tiene sello")),"No tiene sello"))</f>
        <v>No tiene sello</v>
      </c>
      <c r="AM838" s="13" t="str">
        <f>IFERROR(IF(F838=0,"No tiene sello",IF(+(AG838/1000)*9*100/F838&gt;1,"Exceso en grasa trans", "No tiene sello")),"No tiene sello")</f>
        <v>No tiene sello</v>
      </c>
    </row>
    <row r="839" spans="1:39" ht="15" customHeight="1" x14ac:dyDescent="0.25">
      <c r="A839" s="26" t="s">
        <v>37</v>
      </c>
      <c r="B839" s="26" t="s">
        <v>38</v>
      </c>
      <c r="C839" s="26" t="s">
        <v>3</v>
      </c>
      <c r="D839" s="47">
        <v>100</v>
      </c>
      <c r="E839" s="28">
        <v>11.5</v>
      </c>
      <c r="F839" s="24">
        <v>375</v>
      </c>
      <c r="G839" s="28">
        <v>1585</v>
      </c>
      <c r="H839" s="24">
        <v>23.9</v>
      </c>
      <c r="I839" s="24">
        <v>1.1000000000000001</v>
      </c>
      <c r="J839" s="24">
        <v>59.2</v>
      </c>
      <c r="K839" s="28">
        <v>43</v>
      </c>
      <c r="L839" s="28">
        <v>5.92</v>
      </c>
      <c r="M839" s="24">
        <v>16.3</v>
      </c>
      <c r="N839" s="28">
        <v>4.2</v>
      </c>
      <c r="O839" s="25">
        <v>89</v>
      </c>
      <c r="P839" s="25">
        <v>6</v>
      </c>
      <c r="Q839" s="28">
        <v>12</v>
      </c>
      <c r="R839" s="25">
        <v>360</v>
      </c>
      <c r="S839" s="28">
        <v>2.7</v>
      </c>
      <c r="T839" s="28">
        <v>150</v>
      </c>
      <c r="U839" s="28">
        <v>1250</v>
      </c>
      <c r="V839" s="28">
        <v>0.36</v>
      </c>
      <c r="W839" s="28">
        <v>0.26</v>
      </c>
      <c r="X839" s="28">
        <v>2.1</v>
      </c>
      <c r="Y839" s="28">
        <v>140</v>
      </c>
      <c r="Z839" s="28">
        <v>0</v>
      </c>
      <c r="AA839" s="25">
        <v>0</v>
      </c>
      <c r="AB839" s="25">
        <v>4</v>
      </c>
      <c r="AC839" s="25">
        <v>0</v>
      </c>
      <c r="AD839" s="28">
        <v>0</v>
      </c>
      <c r="AE839" s="28">
        <v>0</v>
      </c>
      <c r="AF839" s="28">
        <v>0</v>
      </c>
      <c r="AG839" s="28">
        <v>0</v>
      </c>
      <c r="AH839" s="24">
        <v>0</v>
      </c>
      <c r="AI839" s="28">
        <v>100</v>
      </c>
      <c r="AJ839" s="13" t="str">
        <f xml:space="preserve"> IF(AD839&gt;F839,"Exceso en grasa saturada",IFERROR(IF(F839=0,"No tiene sello",IF((AD839*9)*100/F839&gt;10,"Exceso en grasa saturada","No tiene sello")),"No tiene sello"))</f>
        <v>No tiene sello</v>
      </c>
      <c r="AK839" s="13">
        <f>IF(AJ839="No tiene sello",0,1)</f>
        <v>0</v>
      </c>
      <c r="AL839" s="13" t="str">
        <f>IF(Q839&gt;=300,"Exceso en sodio",IFERROR(IF(AND(F839=0,Q839&gt;0),"No tiene sello",IF(Q839/F839&gt;1,"Exceso en sodio","No tiene sello")),"No tiene sello"))</f>
        <v>No tiene sello</v>
      </c>
      <c r="AM839" s="13" t="str">
        <f>IFERROR(IF(F839=0,"No tiene sello",IF(+(AG839/1000)*9*100/F839&gt;1,"Exceso en grasa trans", "No tiene sello")),"No tiene sello")</f>
        <v>No tiene sello</v>
      </c>
    </row>
    <row r="840" spans="1:39" ht="15" customHeight="1" x14ac:dyDescent="0.25">
      <c r="A840" s="20" t="s">
        <v>35</v>
      </c>
      <c r="B840" s="20" t="s">
        <v>36</v>
      </c>
      <c r="C840" s="20" t="s">
        <v>3</v>
      </c>
      <c r="D840" s="22">
        <v>100</v>
      </c>
      <c r="E840" s="23">
        <v>14.8</v>
      </c>
      <c r="F840" s="24">
        <v>370</v>
      </c>
      <c r="G840" s="23">
        <v>1560</v>
      </c>
      <c r="H840" s="24">
        <v>19.399999999999999</v>
      </c>
      <c r="I840" s="24">
        <v>1.2</v>
      </c>
      <c r="J840" s="24">
        <v>61.1</v>
      </c>
      <c r="K840" s="23">
        <v>42.7</v>
      </c>
      <c r="L840" s="23">
        <v>6.11</v>
      </c>
      <c r="M840" s="24">
        <v>18.399999999999999</v>
      </c>
      <c r="N840" s="23">
        <v>3.5</v>
      </c>
      <c r="O840" s="25">
        <v>155</v>
      </c>
      <c r="P840" s="25">
        <v>8</v>
      </c>
      <c r="Q840" s="23">
        <v>0</v>
      </c>
      <c r="R840" s="25">
        <v>344</v>
      </c>
      <c r="S840" s="23">
        <v>2.9</v>
      </c>
      <c r="T840" s="23">
        <v>210</v>
      </c>
      <c r="U840" s="23">
        <v>1352</v>
      </c>
      <c r="V840" s="23">
        <v>0.38</v>
      </c>
      <c r="W840" s="23">
        <v>0.12</v>
      </c>
      <c r="X840" s="23">
        <v>4</v>
      </c>
      <c r="Y840" s="23">
        <v>0</v>
      </c>
      <c r="Z840" s="23">
        <v>0</v>
      </c>
      <c r="AA840" s="25">
        <v>2</v>
      </c>
      <c r="AB840" s="25">
        <v>2</v>
      </c>
      <c r="AC840" s="25">
        <v>0</v>
      </c>
      <c r="AD840" s="23">
        <v>0</v>
      </c>
      <c r="AE840" s="23">
        <v>0</v>
      </c>
      <c r="AF840" s="23">
        <v>0</v>
      </c>
      <c r="AG840" s="23">
        <v>0</v>
      </c>
      <c r="AH840" s="24">
        <v>0</v>
      </c>
      <c r="AI840" s="23">
        <v>100</v>
      </c>
      <c r="AJ840" s="13" t="str">
        <f xml:space="preserve"> IF(AD840&gt;F840,"Exceso en grasa saturada",IFERROR(IF(F840=0,"No tiene sello",IF((AD840*9)*100/F840&gt;10,"Exceso en grasa saturada","No tiene sello")),"No tiene sello"))</f>
        <v>No tiene sello</v>
      </c>
      <c r="AK840" s="13">
        <f>IF(AJ840="No tiene sello",0,1)</f>
        <v>0</v>
      </c>
      <c r="AL840" s="13" t="str">
        <f>IF(Q840&gt;=300,"Exceso en sodio",IFERROR(IF(AND(F840=0,Q840&gt;0),"No tiene sello",IF(Q840/F840&gt;1,"Exceso en sodio","No tiene sello")),"No tiene sello"))</f>
        <v>No tiene sello</v>
      </c>
      <c r="AM840" s="13" t="str">
        <f>IFERROR(IF(F840=0,"No tiene sello",IF(+(AG840/1000)*9*100/F840&gt;1,"Exceso en grasa trans", "No tiene sello")),"No tiene sello")</f>
        <v>No tiene sello</v>
      </c>
    </row>
    <row r="841" spans="1:39" ht="15" customHeight="1" x14ac:dyDescent="0.25">
      <c r="A841" s="26" t="s">
        <v>33</v>
      </c>
      <c r="B841" s="26" t="s">
        <v>34</v>
      </c>
      <c r="C841" s="26" t="s">
        <v>3</v>
      </c>
      <c r="D841" s="47">
        <v>100</v>
      </c>
      <c r="E841" s="28">
        <v>12.4</v>
      </c>
      <c r="F841" s="24">
        <v>392</v>
      </c>
      <c r="G841" s="28">
        <v>1650</v>
      </c>
      <c r="H841" s="24">
        <v>22.9</v>
      </c>
      <c r="I841" s="24">
        <v>1.3</v>
      </c>
      <c r="J841" s="24">
        <v>59.7</v>
      </c>
      <c r="K841" s="28">
        <v>34.9</v>
      </c>
      <c r="L841" s="28">
        <v>5.97</v>
      </c>
      <c r="M841" s="24">
        <v>24.8</v>
      </c>
      <c r="N841" s="28">
        <v>3.7</v>
      </c>
      <c r="O841" s="25">
        <v>120</v>
      </c>
      <c r="P841" s="25">
        <v>5.3</v>
      </c>
      <c r="Q841" s="28">
        <v>6</v>
      </c>
      <c r="R841" s="25">
        <v>418</v>
      </c>
      <c r="S841" s="28">
        <v>3.5</v>
      </c>
      <c r="T841" s="28">
        <v>156</v>
      </c>
      <c r="U841" s="28">
        <v>1332</v>
      </c>
      <c r="V841" s="28">
        <v>0.69</v>
      </c>
      <c r="W841" s="28">
        <v>0.2</v>
      </c>
      <c r="X841" s="28">
        <v>1.5</v>
      </c>
      <c r="Y841" s="28">
        <v>604</v>
      </c>
      <c r="Z841" s="28">
        <v>0</v>
      </c>
      <c r="AA841" s="25">
        <v>2</v>
      </c>
      <c r="AB841" s="25">
        <v>0</v>
      </c>
      <c r="AC841" s="25">
        <v>0</v>
      </c>
      <c r="AD841" s="28">
        <v>0</v>
      </c>
      <c r="AE841" s="28">
        <v>0</v>
      </c>
      <c r="AF841" s="28">
        <v>0</v>
      </c>
      <c r="AG841" s="28">
        <v>0</v>
      </c>
      <c r="AH841" s="24">
        <v>0</v>
      </c>
      <c r="AI841" s="28">
        <v>100</v>
      </c>
      <c r="AJ841" s="13" t="str">
        <f xml:space="preserve"> IF(AD841&gt;F841,"Exceso en grasa saturada",IFERROR(IF(F841=0,"No tiene sello",IF((AD841*9)*100/F841&gt;10,"Exceso en grasa saturada","No tiene sello")),"No tiene sello"))</f>
        <v>No tiene sello</v>
      </c>
      <c r="AK841" s="13">
        <f>IF(AJ841="No tiene sello",0,1)</f>
        <v>0</v>
      </c>
      <c r="AL841" s="13" t="str">
        <f>IF(Q841&gt;=300,"Exceso en sodio",IFERROR(IF(AND(F841=0,Q841&gt;0),"No tiene sello",IF(Q841/F841&gt;1,"Exceso en sodio","No tiene sello")),"No tiene sello"))</f>
        <v>No tiene sello</v>
      </c>
      <c r="AM841" s="13" t="str">
        <f>IFERROR(IF(F841=0,"No tiene sello",IF(+(AG841/1000)*9*100/F841&gt;1,"Exceso en grasa trans", "No tiene sello")),"No tiene sello")</f>
        <v>No tiene sello</v>
      </c>
    </row>
    <row r="842" spans="1:39" ht="15" customHeight="1" x14ac:dyDescent="0.25">
      <c r="A842" s="20" t="s">
        <v>31</v>
      </c>
      <c r="B842" s="20" t="s">
        <v>32</v>
      </c>
      <c r="C842" s="20" t="s">
        <v>3</v>
      </c>
      <c r="D842" s="22">
        <v>100</v>
      </c>
      <c r="E842" s="23">
        <v>13.5</v>
      </c>
      <c r="F842" s="24">
        <v>370</v>
      </c>
      <c r="G842" s="23">
        <v>1563</v>
      </c>
      <c r="H842" s="24">
        <v>23.5</v>
      </c>
      <c r="I842" s="24">
        <v>1.3</v>
      </c>
      <c r="J842" s="24">
        <v>57.9</v>
      </c>
      <c r="K842" s="23">
        <v>41.5</v>
      </c>
      <c r="L842" s="23">
        <v>5.79</v>
      </c>
      <c r="M842" s="24">
        <v>16.399999999999999</v>
      </c>
      <c r="N842" s="23">
        <v>3.8</v>
      </c>
      <c r="O842" s="25">
        <v>140</v>
      </c>
      <c r="P842" s="25">
        <v>5.4</v>
      </c>
      <c r="Q842" s="23">
        <v>12</v>
      </c>
      <c r="R842" s="25">
        <v>415</v>
      </c>
      <c r="S842" s="23">
        <v>2.7</v>
      </c>
      <c r="T842" s="23">
        <v>138</v>
      </c>
      <c r="U842" s="23">
        <v>1359</v>
      </c>
      <c r="V842" s="23">
        <v>0.41</v>
      </c>
      <c r="W842" s="23">
        <v>0.18</v>
      </c>
      <c r="X842" s="23">
        <v>1.8</v>
      </c>
      <c r="Y842" s="23">
        <v>394</v>
      </c>
      <c r="Z842" s="23">
        <v>0</v>
      </c>
      <c r="AA842" s="25">
        <v>3</v>
      </c>
      <c r="AB842" s="25">
        <v>1</v>
      </c>
      <c r="AC842" s="25">
        <v>0</v>
      </c>
      <c r="AD842" s="23">
        <v>0</v>
      </c>
      <c r="AE842" s="23">
        <v>0</v>
      </c>
      <c r="AF842" s="23">
        <v>0</v>
      </c>
      <c r="AG842" s="23">
        <v>0</v>
      </c>
      <c r="AH842" s="24">
        <v>0</v>
      </c>
      <c r="AI842" s="23">
        <v>100</v>
      </c>
      <c r="AJ842" s="13" t="str">
        <f xml:space="preserve"> IF(AD842&gt;F842,"Exceso en grasa saturada",IFERROR(IF(F842=0,"No tiene sello",IF((AD842*9)*100/F842&gt;10,"Exceso en grasa saturada","No tiene sello")),"No tiene sello"))</f>
        <v>No tiene sello</v>
      </c>
      <c r="AK842" s="13">
        <f>IF(AJ842="No tiene sello",0,1)</f>
        <v>0</v>
      </c>
      <c r="AL842" s="13" t="str">
        <f>IF(Q842&gt;=300,"Exceso en sodio",IFERROR(IF(AND(F842=0,Q842&gt;0),"No tiene sello",IF(Q842/F842&gt;1,"Exceso en sodio","No tiene sello")),"No tiene sello"))</f>
        <v>No tiene sello</v>
      </c>
      <c r="AM842" s="13" t="str">
        <f>IFERROR(IF(F842=0,"No tiene sello",IF(+(AG842/1000)*9*100/F842&gt;1,"Exceso en grasa trans", "No tiene sello")),"No tiene sello")</f>
        <v>No tiene sello</v>
      </c>
    </row>
    <row r="843" spans="1:39" ht="15" customHeight="1" x14ac:dyDescent="0.25">
      <c r="A843" s="26" t="s">
        <v>29</v>
      </c>
      <c r="B843" s="26" t="s">
        <v>30</v>
      </c>
      <c r="C843" s="26" t="s">
        <v>3</v>
      </c>
      <c r="D843" s="47">
        <v>100</v>
      </c>
      <c r="E843" s="28">
        <v>61.7</v>
      </c>
      <c r="F843" s="24">
        <v>187</v>
      </c>
      <c r="G843" s="28">
        <v>783</v>
      </c>
      <c r="H843" s="24">
        <v>8.6</v>
      </c>
      <c r="I843" s="24">
        <v>2.2999999999999998</v>
      </c>
      <c r="J843" s="24">
        <v>26</v>
      </c>
      <c r="K843" s="28">
        <v>12.4</v>
      </c>
      <c r="L843" s="28">
        <v>2.6</v>
      </c>
      <c r="M843" s="24">
        <v>13.6</v>
      </c>
      <c r="N843" s="28">
        <v>1.4</v>
      </c>
      <c r="O843" s="25">
        <v>51</v>
      </c>
      <c r="P843" s="25">
        <v>2.6</v>
      </c>
      <c r="Q843" s="28">
        <v>7</v>
      </c>
      <c r="R843" s="25">
        <v>73</v>
      </c>
      <c r="S843" s="28">
        <v>1.4</v>
      </c>
      <c r="T843" s="28">
        <v>49</v>
      </c>
      <c r="U843" s="28">
        <v>319</v>
      </c>
      <c r="V843" s="28">
        <v>0.12</v>
      </c>
      <c r="W843" s="28">
        <v>0.06</v>
      </c>
      <c r="X843" s="28">
        <v>0.6</v>
      </c>
      <c r="Y843" s="28">
        <v>152</v>
      </c>
      <c r="Z843" s="28">
        <v>0</v>
      </c>
      <c r="AA843" s="25">
        <v>1</v>
      </c>
      <c r="AB843" s="25">
        <v>2</v>
      </c>
      <c r="AC843" s="25">
        <v>0</v>
      </c>
      <c r="AD843" s="28">
        <v>0</v>
      </c>
      <c r="AE843" s="28">
        <v>0</v>
      </c>
      <c r="AF843" s="28">
        <v>0</v>
      </c>
      <c r="AG843" s="28">
        <v>0</v>
      </c>
      <c r="AH843" s="24">
        <v>0</v>
      </c>
      <c r="AI843" s="28">
        <v>100</v>
      </c>
      <c r="AJ843" s="13" t="str">
        <f xml:space="preserve"> IF(AD843&gt;F843,"Exceso en grasa saturada",IFERROR(IF(F843=0,"No tiene sello",IF((AD843*9)*100/F843&gt;10,"Exceso en grasa saturada","No tiene sello")),"No tiene sello"))</f>
        <v>No tiene sello</v>
      </c>
      <c r="AK843" s="13">
        <f>IF(AJ843="No tiene sello",0,1)</f>
        <v>0</v>
      </c>
      <c r="AL843" s="13" t="str">
        <f>IF(Q843&gt;=300,"Exceso en sodio",IFERROR(IF(AND(F843=0,Q843&gt;0),"No tiene sello",IF(Q843/F843&gt;1,"Exceso en sodio","No tiene sello")),"No tiene sello"))</f>
        <v>No tiene sello</v>
      </c>
      <c r="AM843" s="13" t="str">
        <f>IFERROR(IF(F843=0,"No tiene sello",IF(+(AG843/1000)*9*100/F843&gt;1,"Exceso en grasa trans", "No tiene sello")),"No tiene sello")</f>
        <v>No tiene sello</v>
      </c>
    </row>
    <row r="844" spans="1:39" ht="15" customHeight="1" x14ac:dyDescent="0.25">
      <c r="A844" s="20" t="s">
        <v>27</v>
      </c>
      <c r="B844" s="20" t="s">
        <v>28</v>
      </c>
      <c r="C844" s="20" t="s">
        <v>3</v>
      </c>
      <c r="D844" s="22">
        <v>100</v>
      </c>
      <c r="E844" s="23">
        <v>13</v>
      </c>
      <c r="F844" s="24">
        <v>393</v>
      </c>
      <c r="G844" s="23">
        <v>1656</v>
      </c>
      <c r="H844" s="24">
        <v>19.899999999999999</v>
      </c>
      <c r="I844" s="24">
        <v>5.5</v>
      </c>
      <c r="J844" s="24">
        <v>58.8</v>
      </c>
      <c r="K844" s="23">
        <v>44.4</v>
      </c>
      <c r="L844" s="23">
        <v>5.88</v>
      </c>
      <c r="M844" s="24">
        <v>14.3</v>
      </c>
      <c r="N844" s="23">
        <v>2.8</v>
      </c>
      <c r="O844" s="25">
        <v>120</v>
      </c>
      <c r="P844" s="25">
        <v>6.4</v>
      </c>
      <c r="Q844" s="23">
        <v>30</v>
      </c>
      <c r="R844" s="25">
        <v>300</v>
      </c>
      <c r="S844" s="23">
        <v>3.1</v>
      </c>
      <c r="T844" s="23">
        <v>127</v>
      </c>
      <c r="U844" s="23">
        <v>1048</v>
      </c>
      <c r="V844" s="23">
        <v>0.48</v>
      </c>
      <c r="W844" s="23">
        <v>0.22</v>
      </c>
      <c r="X844" s="23">
        <v>1.4</v>
      </c>
      <c r="Y844" s="23">
        <v>557</v>
      </c>
      <c r="Z844" s="23">
        <v>0</v>
      </c>
      <c r="AA844" s="25">
        <v>4</v>
      </c>
      <c r="AB844" s="25">
        <v>3</v>
      </c>
      <c r="AC844" s="25">
        <v>0</v>
      </c>
      <c r="AD844" s="23">
        <v>0</v>
      </c>
      <c r="AE844" s="23">
        <v>0</v>
      </c>
      <c r="AF844" s="23">
        <v>0</v>
      </c>
      <c r="AG844" s="23">
        <v>0</v>
      </c>
      <c r="AH844" s="24">
        <v>0</v>
      </c>
      <c r="AI844" s="23">
        <v>100</v>
      </c>
      <c r="AJ844" s="13" t="str">
        <f xml:space="preserve"> IF(AD844&gt;F844,"Exceso en grasa saturada",IFERROR(IF(F844=0,"No tiene sello",IF((AD844*9)*100/F844&gt;10,"Exceso en grasa saturada","No tiene sello")),"No tiene sello"))</f>
        <v>No tiene sello</v>
      </c>
      <c r="AK844" s="13">
        <f>IF(AJ844="No tiene sello",0,1)</f>
        <v>0</v>
      </c>
      <c r="AL844" s="13" t="str">
        <f>IF(Q844&gt;=300,"Exceso en sodio",IFERROR(IF(AND(F844=0,Q844&gt;0),"No tiene sello",IF(Q844/F844&gt;1,"Exceso en sodio","No tiene sello")),"No tiene sello"))</f>
        <v>No tiene sello</v>
      </c>
      <c r="AM844" s="13" t="str">
        <f>IFERROR(IF(F844=0,"No tiene sello",IF(+(AG844/1000)*9*100/F844&gt;1,"Exceso en grasa trans", "No tiene sello")),"No tiene sello")</f>
        <v>No tiene sello</v>
      </c>
    </row>
    <row r="845" spans="1:39" ht="15" customHeight="1" x14ac:dyDescent="0.25">
      <c r="A845" s="26" t="s">
        <v>25</v>
      </c>
      <c r="B845" s="26" t="s">
        <v>26</v>
      </c>
      <c r="C845" s="26" t="s">
        <v>3</v>
      </c>
      <c r="D845" s="47">
        <v>100</v>
      </c>
      <c r="E845" s="28">
        <v>14</v>
      </c>
      <c r="F845" s="24">
        <v>391</v>
      </c>
      <c r="G845" s="28">
        <v>1649</v>
      </c>
      <c r="H845" s="24">
        <v>25.8</v>
      </c>
      <c r="I845" s="24">
        <v>1.8</v>
      </c>
      <c r="J845" s="24">
        <v>55.5</v>
      </c>
      <c r="K845" s="28">
        <v>30.5</v>
      </c>
      <c r="L845" s="28">
        <v>5.55</v>
      </c>
      <c r="M845" s="24">
        <v>25</v>
      </c>
      <c r="N845" s="28">
        <v>2.9</v>
      </c>
      <c r="O845" s="25">
        <v>101</v>
      </c>
      <c r="P845" s="25">
        <v>6.2</v>
      </c>
      <c r="Q845" s="28">
        <v>12</v>
      </c>
      <c r="R845" s="25">
        <v>420</v>
      </c>
      <c r="S845" s="28">
        <v>3.1</v>
      </c>
      <c r="T845" s="28">
        <v>191</v>
      </c>
      <c r="U845" s="28">
        <v>1076</v>
      </c>
      <c r="V845" s="28">
        <v>0.61</v>
      </c>
      <c r="W845" s="28">
        <v>0.31</v>
      </c>
      <c r="X845" s="28">
        <v>2.5</v>
      </c>
      <c r="Y845" s="28">
        <v>423</v>
      </c>
      <c r="Z845" s="28">
        <v>0</v>
      </c>
      <c r="AA845" s="25">
        <v>2</v>
      </c>
      <c r="AB845" s="25">
        <v>4</v>
      </c>
      <c r="AC845" s="25">
        <v>0</v>
      </c>
      <c r="AD845" s="28">
        <v>0</v>
      </c>
      <c r="AE845" s="28">
        <v>0</v>
      </c>
      <c r="AF845" s="28">
        <v>0</v>
      </c>
      <c r="AG845" s="28">
        <v>0</v>
      </c>
      <c r="AH845" s="24">
        <v>0</v>
      </c>
      <c r="AI845" s="28">
        <v>100</v>
      </c>
      <c r="AJ845" s="13" t="str">
        <f xml:space="preserve"> IF(AD845&gt;F845,"Exceso en grasa saturada",IFERROR(IF(F845=0,"No tiene sello",IF((AD845*9)*100/F845&gt;10,"Exceso en grasa saturada","No tiene sello")),"No tiene sello"))</f>
        <v>No tiene sello</v>
      </c>
      <c r="AK845" s="13">
        <f>IF(AJ845="No tiene sello",0,1)</f>
        <v>0</v>
      </c>
      <c r="AL845" s="13" t="str">
        <f>IF(Q845&gt;=300,"Exceso en sodio",IFERROR(IF(AND(F845=0,Q845&gt;0),"No tiene sello",IF(Q845/F845&gt;1,"Exceso en sodio","No tiene sello")),"No tiene sello"))</f>
        <v>No tiene sello</v>
      </c>
      <c r="AM845" s="13" t="str">
        <f>IFERROR(IF(F845=0,"No tiene sello",IF(+(AG845/1000)*9*100/F845&gt;1,"Exceso en grasa trans", "No tiene sello")),"No tiene sello")</f>
        <v>No tiene sello</v>
      </c>
    </row>
    <row r="846" spans="1:39" ht="15" customHeight="1" x14ac:dyDescent="0.25">
      <c r="A846" s="20" t="s">
        <v>23</v>
      </c>
      <c r="B846" s="20" t="s">
        <v>24</v>
      </c>
      <c r="C846" s="21"/>
      <c r="D846" s="22">
        <v>100</v>
      </c>
      <c r="E846" s="23">
        <v>3.6</v>
      </c>
      <c r="F846" s="24">
        <v>456</v>
      </c>
      <c r="G846" s="23">
        <v>1916</v>
      </c>
      <c r="H846" s="24">
        <v>4.5999999999999996</v>
      </c>
      <c r="I846" s="24">
        <v>1.6</v>
      </c>
      <c r="J846" s="24">
        <v>85.8</v>
      </c>
      <c r="K846" s="23">
        <v>46</v>
      </c>
      <c r="L846" s="23">
        <v>8.58</v>
      </c>
      <c r="M846" s="24">
        <v>39.799999999999997</v>
      </c>
      <c r="N846" s="23">
        <v>4.5</v>
      </c>
      <c r="O846" s="25">
        <v>37</v>
      </c>
      <c r="P846" s="25">
        <v>2.9</v>
      </c>
      <c r="Q846" s="23">
        <v>35</v>
      </c>
      <c r="R846" s="25">
        <v>79</v>
      </c>
      <c r="S846" s="23">
        <v>0.9</v>
      </c>
      <c r="T846" s="23">
        <v>54</v>
      </c>
      <c r="U846" s="23">
        <v>830</v>
      </c>
      <c r="V846" s="23">
        <v>0.05</v>
      </c>
      <c r="W846" s="23">
        <v>0.46</v>
      </c>
      <c r="X846" s="23">
        <v>1.9</v>
      </c>
      <c r="Y846" s="23">
        <v>29</v>
      </c>
      <c r="Z846" s="23">
        <v>0</v>
      </c>
      <c r="AA846" s="25">
        <v>0</v>
      </c>
      <c r="AB846" s="25">
        <v>1</v>
      </c>
      <c r="AC846" s="25">
        <v>0</v>
      </c>
      <c r="AD846" s="23">
        <v>0</v>
      </c>
      <c r="AE846" s="23">
        <v>0</v>
      </c>
      <c r="AF846" s="23">
        <v>0</v>
      </c>
      <c r="AG846" s="23">
        <v>0</v>
      </c>
      <c r="AH846" s="24">
        <v>0</v>
      </c>
      <c r="AI846" s="23">
        <v>100</v>
      </c>
      <c r="AJ846" s="13" t="str">
        <f xml:space="preserve"> IF(AD846&gt;F846,"Exceso en grasa saturada",IFERROR(IF(F846=0,"No tiene sello",IF((AD846*9)*100/F846&gt;10,"Exceso en grasa saturada","No tiene sello")),"No tiene sello"))</f>
        <v>No tiene sello</v>
      </c>
      <c r="AK846" s="13">
        <f>IF(AJ846="No tiene sello",0,1)</f>
        <v>0</v>
      </c>
      <c r="AL846" s="13" t="str">
        <f>IF(Q846&gt;=300,"Exceso en sodio",IFERROR(IF(AND(F846=0,Q846&gt;0),"No tiene sello",IF(Q846/F846&gt;1,"Exceso en sodio","No tiene sello")),"No tiene sello"))</f>
        <v>No tiene sello</v>
      </c>
      <c r="AM846" s="13" t="str">
        <f>IFERROR(IF(F846=0,"No tiene sello",IF(+(AG846/1000)*9*100/F846&gt;1,"Exceso en grasa trans", "No tiene sello")),"No tiene sello")</f>
        <v>No tiene sello</v>
      </c>
    </row>
    <row r="847" spans="1:39" ht="15" customHeight="1" x14ac:dyDescent="0.25">
      <c r="A847" s="26" t="s">
        <v>21</v>
      </c>
      <c r="B847" s="26" t="s">
        <v>22</v>
      </c>
      <c r="C847" s="27"/>
      <c r="D847" s="47">
        <v>100</v>
      </c>
      <c r="E847" s="28">
        <v>5.5</v>
      </c>
      <c r="F847" s="24">
        <v>371</v>
      </c>
      <c r="G847" s="28">
        <v>1574</v>
      </c>
      <c r="H847" s="24">
        <v>29</v>
      </c>
      <c r="I847" s="24">
        <v>0.8</v>
      </c>
      <c r="J847" s="24">
        <v>61.7</v>
      </c>
      <c r="K847" s="28">
        <v>0</v>
      </c>
      <c r="L847" s="28">
        <v>6.17</v>
      </c>
      <c r="M847" s="24">
        <v>0</v>
      </c>
      <c r="N847" s="28">
        <v>2.8</v>
      </c>
      <c r="O847" s="25">
        <v>0</v>
      </c>
      <c r="P847" s="25">
        <v>0</v>
      </c>
      <c r="Q847" s="28">
        <v>0</v>
      </c>
      <c r="R847" s="25">
        <v>0</v>
      </c>
      <c r="S847" s="28">
        <v>0</v>
      </c>
      <c r="T847" s="28">
        <v>0</v>
      </c>
      <c r="U847" s="28">
        <v>0</v>
      </c>
      <c r="V847" s="28">
        <v>0</v>
      </c>
      <c r="W847" s="28">
        <v>0</v>
      </c>
      <c r="X847" s="28">
        <v>0</v>
      </c>
      <c r="Y847" s="28">
        <v>0</v>
      </c>
      <c r="Z847" s="28">
        <v>0</v>
      </c>
      <c r="AA847" s="25">
        <v>0</v>
      </c>
      <c r="AB847" s="25">
        <v>0</v>
      </c>
      <c r="AC847" s="25">
        <v>0</v>
      </c>
      <c r="AD847" s="28">
        <v>0</v>
      </c>
      <c r="AE847" s="28">
        <v>0</v>
      </c>
      <c r="AF847" s="28">
        <v>0</v>
      </c>
      <c r="AG847" s="28">
        <v>0</v>
      </c>
      <c r="AH847" s="24">
        <v>0</v>
      </c>
      <c r="AI847" s="28">
        <v>100</v>
      </c>
      <c r="AJ847" s="13" t="str">
        <f xml:space="preserve"> IF(AD847&gt;F847,"Exceso en grasa saturada",IFERROR(IF(F847=0,"No tiene sello",IF((AD847*9)*100/F847&gt;10,"Exceso en grasa saturada","No tiene sello")),"No tiene sello"))</f>
        <v>No tiene sello</v>
      </c>
      <c r="AK847" s="13">
        <f>IF(AJ847="No tiene sello",0,1)</f>
        <v>0</v>
      </c>
      <c r="AL847" s="13" t="str">
        <f>IF(Q847&gt;=300,"Exceso en sodio",IFERROR(IF(AND(F847=0,Q847&gt;0),"No tiene sello",IF(Q847/F847&gt;1,"Exceso en sodio","No tiene sello")),"No tiene sello"))</f>
        <v>No tiene sello</v>
      </c>
      <c r="AM847" s="13" t="str">
        <f>IFERROR(IF(F847=0,"No tiene sello",IF(+(AG847/1000)*9*100/F847&gt;1,"Exceso en grasa trans", "No tiene sello")),"No tiene sello")</f>
        <v>No tiene sello</v>
      </c>
    </row>
    <row r="848" spans="1:39" ht="15" customHeight="1" x14ac:dyDescent="0.25">
      <c r="A848" s="20" t="s">
        <v>19</v>
      </c>
      <c r="B848" s="20" t="s">
        <v>20</v>
      </c>
      <c r="C848" s="21"/>
      <c r="D848" s="22">
        <v>100</v>
      </c>
      <c r="E848" s="23">
        <v>10.199999999999999</v>
      </c>
      <c r="F848" s="24">
        <v>403</v>
      </c>
      <c r="G848" s="23">
        <v>1699</v>
      </c>
      <c r="H848" s="24">
        <v>22.4</v>
      </c>
      <c r="I848" s="24">
        <v>6.7</v>
      </c>
      <c r="J848" s="24">
        <v>57.9</v>
      </c>
      <c r="K848" s="23">
        <v>47.1</v>
      </c>
      <c r="L848" s="23">
        <v>5.79</v>
      </c>
      <c r="M848" s="24">
        <v>10.8</v>
      </c>
      <c r="N848" s="23">
        <v>2.8</v>
      </c>
      <c r="O848" s="25">
        <v>45</v>
      </c>
      <c r="P848" s="25">
        <v>4.9000000000000004</v>
      </c>
      <c r="Q848" s="23">
        <v>64</v>
      </c>
      <c r="R848" s="25">
        <v>325</v>
      </c>
      <c r="S848" s="23">
        <v>2.8</v>
      </c>
      <c r="T848" s="23">
        <v>166</v>
      </c>
      <c r="U848" s="23">
        <v>846</v>
      </c>
      <c r="V848" s="23">
        <v>0.49</v>
      </c>
      <c r="W848" s="23">
        <v>0.11</v>
      </c>
      <c r="X848" s="23">
        <v>1.8</v>
      </c>
      <c r="Y848" s="23">
        <v>437</v>
      </c>
      <c r="Z848" s="23">
        <v>0</v>
      </c>
      <c r="AA848" s="25">
        <v>0</v>
      </c>
      <c r="AB848" s="25">
        <v>25</v>
      </c>
      <c r="AC848" s="25">
        <v>0</v>
      </c>
      <c r="AD848" s="23">
        <v>0</v>
      </c>
      <c r="AE848" s="23">
        <v>0</v>
      </c>
      <c r="AF848" s="23">
        <v>0</v>
      </c>
      <c r="AG848" s="23">
        <v>0</v>
      </c>
      <c r="AH848" s="24">
        <v>0</v>
      </c>
      <c r="AI848" s="23">
        <v>100</v>
      </c>
      <c r="AJ848" s="13" t="str">
        <f xml:space="preserve"> IF(AD848&gt;F848,"Exceso en grasa saturada",IFERROR(IF(F848=0,"No tiene sello",IF((AD848*9)*100/F848&gt;10,"Exceso en grasa saturada","No tiene sello")),"No tiene sello"))</f>
        <v>No tiene sello</v>
      </c>
      <c r="AK848" s="13">
        <f>IF(AJ848="No tiene sello",0,1)</f>
        <v>0</v>
      </c>
      <c r="AL848" s="13" t="str">
        <f>IF(Q848&gt;=300,"Exceso en sodio",IFERROR(IF(AND(F848=0,Q848&gt;0),"No tiene sello",IF(Q848/F848&gt;1,"Exceso en sodio","No tiene sello")),"No tiene sello"))</f>
        <v>No tiene sello</v>
      </c>
      <c r="AM848" s="13" t="str">
        <f>IFERROR(IF(F848=0,"No tiene sello",IF(+(AG848/1000)*9*100/F848&gt;1,"Exceso en grasa trans", "No tiene sello")),"No tiene sello")</f>
        <v>No tiene sello</v>
      </c>
    </row>
    <row r="849" spans="1:39" ht="15" customHeight="1" x14ac:dyDescent="0.25">
      <c r="A849" s="26" t="s">
        <v>17</v>
      </c>
      <c r="B849" s="26" t="s">
        <v>18</v>
      </c>
      <c r="C849" s="27"/>
      <c r="D849" s="47">
        <v>100</v>
      </c>
      <c r="E849" s="28">
        <v>7.8</v>
      </c>
      <c r="F849" s="24">
        <v>476</v>
      </c>
      <c r="G849" s="28">
        <v>1992</v>
      </c>
      <c r="H849" s="24">
        <v>36.6</v>
      </c>
      <c r="I849" s="24">
        <v>22.3</v>
      </c>
      <c r="J849" s="24">
        <v>27.5</v>
      </c>
      <c r="K849" s="28">
        <v>17.899999999999999</v>
      </c>
      <c r="L849" s="28">
        <v>2.75</v>
      </c>
      <c r="M849" s="24">
        <v>9.6</v>
      </c>
      <c r="N849" s="28">
        <v>5.8</v>
      </c>
      <c r="O849" s="25">
        <v>207</v>
      </c>
      <c r="P849" s="25">
        <v>7.2</v>
      </c>
      <c r="Q849" s="28">
        <v>9</v>
      </c>
      <c r="R849" s="25">
        <v>502</v>
      </c>
      <c r="S849" s="28">
        <v>3.9</v>
      </c>
      <c r="T849" s="28">
        <v>246</v>
      </c>
      <c r="U849" s="28">
        <v>1758</v>
      </c>
      <c r="V849" s="28">
        <v>0.68</v>
      </c>
      <c r="W849" s="28">
        <v>0.28000000000000003</v>
      </c>
      <c r="X849" s="28">
        <v>3.2</v>
      </c>
      <c r="Y849" s="28">
        <v>345</v>
      </c>
      <c r="Z849" s="28">
        <v>0</v>
      </c>
      <c r="AA849" s="25">
        <v>0</v>
      </c>
      <c r="AB849" s="25">
        <v>5</v>
      </c>
      <c r="AC849" s="25">
        <v>0</v>
      </c>
      <c r="AD849" s="28">
        <v>0</v>
      </c>
      <c r="AE849" s="28">
        <v>0</v>
      </c>
      <c r="AF849" s="28">
        <v>0</v>
      </c>
      <c r="AG849" s="28">
        <v>0</v>
      </c>
      <c r="AH849" s="24">
        <v>0</v>
      </c>
      <c r="AI849" s="28">
        <v>100</v>
      </c>
      <c r="AJ849" s="13" t="str">
        <f xml:space="preserve"> IF(AD849&gt;F849,"Exceso en grasa saturada",IFERROR(IF(F849=0,"No tiene sello",IF((AD849*9)*100/F849&gt;10,"Exceso en grasa saturada","No tiene sello")),"No tiene sello"))</f>
        <v>No tiene sello</v>
      </c>
      <c r="AK849" s="13">
        <f>IF(AJ849="No tiene sello",0,1)</f>
        <v>0</v>
      </c>
      <c r="AL849" s="13" t="str">
        <f>IF(Q849&gt;=300,"Exceso en sodio",IFERROR(IF(AND(F849=0,Q849&gt;0),"No tiene sello",IF(Q849/F849&gt;1,"Exceso en sodio","No tiene sello")),"No tiene sello"))</f>
        <v>No tiene sello</v>
      </c>
      <c r="AM849" s="13" t="str">
        <f>IFERROR(IF(F849=0,"No tiene sello",IF(+(AG849/1000)*9*100/F849&gt;1,"Exceso en grasa trans", "No tiene sello")),"No tiene sello")</f>
        <v>No tiene sello</v>
      </c>
    </row>
    <row r="850" spans="1:39" ht="15" customHeight="1" x14ac:dyDescent="0.25">
      <c r="A850" s="29" t="s">
        <v>15</v>
      </c>
      <c r="B850" s="29" t="s">
        <v>16</v>
      </c>
      <c r="C850" s="29" t="s">
        <v>3</v>
      </c>
      <c r="D850" s="22">
        <v>100</v>
      </c>
      <c r="E850" s="31">
        <v>72.7</v>
      </c>
      <c r="F850" s="24">
        <v>122</v>
      </c>
      <c r="G850" s="31">
        <v>515</v>
      </c>
      <c r="H850" s="24">
        <v>7.7</v>
      </c>
      <c r="I850" s="24">
        <v>0.5</v>
      </c>
      <c r="J850" s="24">
        <v>18.5</v>
      </c>
      <c r="K850" s="31">
        <v>12</v>
      </c>
      <c r="L850" s="31">
        <v>1.85</v>
      </c>
      <c r="M850" s="24">
        <v>6.5</v>
      </c>
      <c r="N850" s="31">
        <v>0.7</v>
      </c>
      <c r="O850" s="31">
        <v>14</v>
      </c>
      <c r="P850" s="25">
        <v>1.7</v>
      </c>
      <c r="Q850" s="31">
        <v>6</v>
      </c>
      <c r="R850" s="31">
        <v>98</v>
      </c>
      <c r="S850" s="31">
        <v>1.1000000000000001</v>
      </c>
      <c r="T850" s="31">
        <v>21</v>
      </c>
      <c r="U850" s="31">
        <v>204</v>
      </c>
      <c r="V850" s="31">
        <v>0.28000000000000003</v>
      </c>
      <c r="W850" s="31">
        <v>7.0000000000000007E-2</v>
      </c>
      <c r="X850" s="31">
        <v>1</v>
      </c>
      <c r="Y850" s="31">
        <v>33</v>
      </c>
      <c r="Z850" s="31">
        <v>0</v>
      </c>
      <c r="AA850" s="25">
        <v>3</v>
      </c>
      <c r="AB850" s="25">
        <v>5</v>
      </c>
      <c r="AC850" s="25">
        <v>0</v>
      </c>
      <c r="AD850" s="31">
        <v>0</v>
      </c>
      <c r="AE850" s="31">
        <v>0</v>
      </c>
      <c r="AF850" s="31">
        <v>0</v>
      </c>
      <c r="AG850" s="31">
        <v>0</v>
      </c>
      <c r="AH850" s="24">
        <v>0</v>
      </c>
      <c r="AI850" s="31">
        <v>100</v>
      </c>
      <c r="AJ850" s="13" t="str">
        <f xml:space="preserve"> IF(AD850&gt;F850,"Exceso en grasa saturada",IFERROR(IF(F850=0,"No tiene sello",IF((AD850*9)*100/F850&gt;10,"Exceso en grasa saturada","No tiene sello")),"No tiene sello"))</f>
        <v>No tiene sello</v>
      </c>
      <c r="AK850" s="13">
        <f>IF(AJ850="No tiene sello",0,1)</f>
        <v>0</v>
      </c>
      <c r="AL850" s="13" t="str">
        <f>IF(Q850&gt;=300,"Exceso en sodio",IFERROR(IF(AND(F850=0,Q850&gt;0),"No tiene sello",IF(Q850/F850&gt;1,"Exceso en sodio","No tiene sello")),"No tiene sello"))</f>
        <v>No tiene sello</v>
      </c>
      <c r="AM850" s="13" t="str">
        <f>IFERROR(IF(F850=0,"No tiene sello",IF(+(AG850/1000)*9*100/F850&gt;1,"Exceso en grasa trans", "No tiene sello")),"No tiene sello")</f>
        <v>No tiene sello</v>
      </c>
    </row>
    <row r="851" spans="1:39" ht="15" customHeight="1" x14ac:dyDescent="0.25">
      <c r="A851" s="26" t="s">
        <v>13</v>
      </c>
      <c r="B851" s="26" t="s">
        <v>14</v>
      </c>
      <c r="C851" s="26" t="s">
        <v>3</v>
      </c>
      <c r="D851" s="47">
        <v>100</v>
      </c>
      <c r="E851" s="28">
        <v>12.6</v>
      </c>
      <c r="F851" s="24">
        <v>387</v>
      </c>
      <c r="G851" s="28">
        <v>1634</v>
      </c>
      <c r="H851" s="24">
        <v>23.1</v>
      </c>
      <c r="I851" s="24">
        <v>0.9</v>
      </c>
      <c r="J851" s="24">
        <v>61</v>
      </c>
      <c r="K851" s="28">
        <v>39.700000000000003</v>
      </c>
      <c r="L851" s="28">
        <v>6.1</v>
      </c>
      <c r="M851" s="24">
        <v>21.3</v>
      </c>
      <c r="N851" s="28">
        <v>2.4</v>
      </c>
      <c r="O851" s="25">
        <v>51</v>
      </c>
      <c r="P851" s="25">
        <v>7.2</v>
      </c>
      <c r="Q851" s="28">
        <v>27</v>
      </c>
      <c r="R851" s="25">
        <v>370</v>
      </c>
      <c r="S851" s="28">
        <v>3.6</v>
      </c>
      <c r="T851" s="28">
        <v>83</v>
      </c>
      <c r="U851" s="28">
        <v>771</v>
      </c>
      <c r="V851" s="28">
        <v>0.5</v>
      </c>
      <c r="W851" s="28">
        <v>0.18</v>
      </c>
      <c r="X851" s="28">
        <v>1.8</v>
      </c>
      <c r="Y851" s="28">
        <v>172</v>
      </c>
      <c r="Z851" s="28">
        <v>0</v>
      </c>
      <c r="AA851" s="25">
        <v>3</v>
      </c>
      <c r="AB851" s="25">
        <v>2</v>
      </c>
      <c r="AC851" s="25">
        <v>0</v>
      </c>
      <c r="AD851" s="28">
        <v>0</v>
      </c>
      <c r="AE851" s="28">
        <v>0</v>
      </c>
      <c r="AF851" s="28">
        <v>0</v>
      </c>
      <c r="AG851" s="28">
        <v>0</v>
      </c>
      <c r="AH851" s="24">
        <v>0</v>
      </c>
      <c r="AI851" s="28">
        <v>100</v>
      </c>
      <c r="AJ851" s="13" t="str">
        <f xml:space="preserve"> IF(AD851&gt;F851,"Exceso en grasa saturada",IFERROR(IF(F851=0,"No tiene sello",IF((AD851*9)*100/F851&gt;10,"Exceso en grasa saturada","No tiene sello")),"No tiene sello"))</f>
        <v>No tiene sello</v>
      </c>
      <c r="AK851" s="13">
        <f>IF(AJ851="No tiene sello",0,1)</f>
        <v>0</v>
      </c>
      <c r="AL851" s="13" t="str">
        <f>IF(Q851&gt;=300,"Exceso en sodio",IFERROR(IF(AND(F851=0,Q851&gt;0),"No tiene sello",IF(Q851/F851&gt;1,"Exceso en sodio","No tiene sello")),"No tiene sello"))</f>
        <v>No tiene sello</v>
      </c>
      <c r="AM851" s="13" t="str">
        <f>IFERROR(IF(F851=0,"No tiene sello",IF(+(AG851/1000)*9*100/F851&gt;1,"Exceso en grasa trans", "No tiene sello")),"No tiene sello")</f>
        <v>No tiene sello</v>
      </c>
    </row>
    <row r="852" spans="1:39" ht="15" customHeight="1" x14ac:dyDescent="0.25">
      <c r="A852" s="20" t="s">
        <v>11</v>
      </c>
      <c r="B852" s="20" t="s">
        <v>12</v>
      </c>
      <c r="C852" s="20" t="s">
        <v>3</v>
      </c>
      <c r="D852" s="22">
        <v>100</v>
      </c>
      <c r="E852" s="23">
        <v>11.8</v>
      </c>
      <c r="F852" s="24">
        <v>391</v>
      </c>
      <c r="G852" s="23">
        <v>1650</v>
      </c>
      <c r="H852" s="24">
        <v>25.3</v>
      </c>
      <c r="I852" s="24">
        <v>1.1000000000000001</v>
      </c>
      <c r="J852" s="24">
        <v>59.5</v>
      </c>
      <c r="K852" s="23">
        <v>37.799999999999997</v>
      </c>
      <c r="L852" s="23">
        <v>5.95</v>
      </c>
      <c r="M852" s="24">
        <v>21.5</v>
      </c>
      <c r="N852" s="23">
        <v>2.5</v>
      </c>
      <c r="O852" s="25">
        <v>60</v>
      </c>
      <c r="P852" s="25">
        <v>6.9</v>
      </c>
      <c r="Q852" s="23">
        <v>6</v>
      </c>
      <c r="R852" s="25">
        <v>270</v>
      </c>
      <c r="S852" s="23">
        <v>4.0999999999999996</v>
      </c>
      <c r="T852" s="23">
        <v>47</v>
      </c>
      <c r="U852" s="23">
        <v>677</v>
      </c>
      <c r="V852" s="23">
        <v>0.76</v>
      </c>
      <c r="W852" s="23">
        <v>0.28000000000000003</v>
      </c>
      <c r="X852" s="23">
        <v>2.5</v>
      </c>
      <c r="Y852" s="23">
        <v>479</v>
      </c>
      <c r="Z852" s="23">
        <v>0</v>
      </c>
      <c r="AA852" s="25">
        <v>4</v>
      </c>
      <c r="AB852" s="25">
        <v>2</v>
      </c>
      <c r="AC852" s="25">
        <v>0</v>
      </c>
      <c r="AD852" s="23">
        <v>0</v>
      </c>
      <c r="AE852" s="23">
        <v>0</v>
      </c>
      <c r="AF852" s="23">
        <v>0</v>
      </c>
      <c r="AG852" s="23">
        <v>0</v>
      </c>
      <c r="AH852" s="24">
        <v>0</v>
      </c>
      <c r="AI852" s="23">
        <v>100</v>
      </c>
      <c r="AJ852" s="13" t="str">
        <f xml:space="preserve"> IF(AD852&gt;F852,"Exceso en grasa saturada",IFERROR(IF(F852=0,"No tiene sello",IF((AD852*9)*100/F852&gt;10,"Exceso en grasa saturada","No tiene sello")),"No tiene sello"))</f>
        <v>No tiene sello</v>
      </c>
      <c r="AK852" s="13">
        <f>IF(AJ852="No tiene sello",0,1)</f>
        <v>0</v>
      </c>
      <c r="AL852" s="13" t="str">
        <f>IF(Q852&gt;=300,"Exceso en sodio",IFERROR(IF(AND(F852=0,Q852&gt;0),"No tiene sello",IF(Q852/F852&gt;1,"Exceso en sodio","No tiene sello")),"No tiene sello"))</f>
        <v>No tiene sello</v>
      </c>
      <c r="AM852" s="13" t="str">
        <f>IFERROR(IF(F852=0,"No tiene sello",IF(+(AG852/1000)*9*100/F852&gt;1,"Exceso en grasa trans", "No tiene sello")),"No tiene sello")</f>
        <v>No tiene sello</v>
      </c>
    </row>
    <row r="853" spans="1:39" ht="15" customHeight="1" x14ac:dyDescent="0.25">
      <c r="A853" s="26" t="s">
        <v>9</v>
      </c>
      <c r="B853" s="26" t="s">
        <v>10</v>
      </c>
      <c r="C853" s="26" t="s">
        <v>3</v>
      </c>
      <c r="D853" s="47">
        <v>100</v>
      </c>
      <c r="E853" s="28">
        <v>6.5</v>
      </c>
      <c r="F853" s="24">
        <v>619</v>
      </c>
      <c r="G853" s="28">
        <v>2568</v>
      </c>
      <c r="H853" s="24">
        <v>27.3</v>
      </c>
      <c r="I853" s="24">
        <v>47.8</v>
      </c>
      <c r="J853" s="24">
        <v>15.8</v>
      </c>
      <c r="K853" s="28">
        <v>7.5</v>
      </c>
      <c r="L853" s="28">
        <v>1.58</v>
      </c>
      <c r="M853" s="24">
        <v>8.3000000000000007</v>
      </c>
      <c r="N853" s="28">
        <v>2.6</v>
      </c>
      <c r="O853" s="25">
        <v>62</v>
      </c>
      <c r="P853" s="25">
        <v>3.3</v>
      </c>
      <c r="Q853" s="28">
        <v>18</v>
      </c>
      <c r="R853" s="25">
        <v>407</v>
      </c>
      <c r="S853" s="28">
        <v>3.3</v>
      </c>
      <c r="T853" s="28">
        <v>168</v>
      </c>
      <c r="U853" s="28">
        <v>697</v>
      </c>
      <c r="V853" s="28">
        <v>0.66</v>
      </c>
      <c r="W853" s="28">
        <v>0.13</v>
      </c>
      <c r="X853" s="28">
        <v>16</v>
      </c>
      <c r="Y853" s="28">
        <v>240</v>
      </c>
      <c r="Z853" s="28">
        <v>0</v>
      </c>
      <c r="AA853" s="25">
        <v>0</v>
      </c>
      <c r="AB853" s="25">
        <v>1</v>
      </c>
      <c r="AC853" s="25">
        <v>0</v>
      </c>
      <c r="AD853" s="28">
        <v>0</v>
      </c>
      <c r="AE853" s="28">
        <v>0</v>
      </c>
      <c r="AF853" s="28">
        <v>0</v>
      </c>
      <c r="AG853" s="28">
        <v>0</v>
      </c>
      <c r="AH853" s="24">
        <v>0</v>
      </c>
      <c r="AI853" s="28">
        <v>100</v>
      </c>
      <c r="AJ853" s="13" t="str">
        <f xml:space="preserve"> IF(AD853&gt;F853,"Exceso en grasa saturada",IFERROR(IF(F853=0,"No tiene sello",IF((AD853*9)*100/F853&gt;10,"Exceso en grasa saturada","No tiene sello")),"No tiene sello"))</f>
        <v>No tiene sello</v>
      </c>
      <c r="AK853" s="13">
        <f>IF(AJ853="No tiene sello",0,1)</f>
        <v>0</v>
      </c>
      <c r="AL853" s="13" t="str">
        <f>IF(Q853&gt;=300,"Exceso en sodio",IFERROR(IF(AND(F853=0,Q853&gt;0),"No tiene sello",IF(Q853/F853&gt;1,"Exceso en sodio","No tiene sello")),"No tiene sello"))</f>
        <v>No tiene sello</v>
      </c>
      <c r="AM853" s="13" t="str">
        <f>IFERROR(IF(F853=0,"No tiene sello",IF(+(AG853/1000)*9*100/F853&gt;1,"Exceso en grasa trans", "No tiene sello")),"No tiene sello")</f>
        <v>No tiene sello</v>
      </c>
    </row>
    <row r="854" spans="1:39" ht="15" customHeight="1" x14ac:dyDescent="0.25">
      <c r="A854" s="20" t="s">
        <v>7</v>
      </c>
      <c r="B854" s="20" t="s">
        <v>8</v>
      </c>
      <c r="C854" s="20" t="s">
        <v>3</v>
      </c>
      <c r="D854" s="22">
        <v>100</v>
      </c>
      <c r="E854" s="23">
        <v>1.8</v>
      </c>
      <c r="F854" s="24">
        <v>650</v>
      </c>
      <c r="G854" s="23">
        <v>2695</v>
      </c>
      <c r="H854" s="24">
        <v>27.3</v>
      </c>
      <c r="I854" s="24">
        <v>47.8</v>
      </c>
      <c r="J854" s="24">
        <v>15.8</v>
      </c>
      <c r="K854" s="23">
        <v>7.5</v>
      </c>
      <c r="L854" s="23">
        <v>1.58</v>
      </c>
      <c r="M854" s="24">
        <v>8.3000000000000007</v>
      </c>
      <c r="N854" s="23">
        <v>2.6</v>
      </c>
      <c r="O854" s="25">
        <v>53</v>
      </c>
      <c r="P854" s="25">
        <v>1.8</v>
      </c>
      <c r="Q854" s="23">
        <v>6</v>
      </c>
      <c r="R854" s="25">
        <v>410</v>
      </c>
      <c r="S854" s="23">
        <v>3.3</v>
      </c>
      <c r="T854" s="23">
        <v>181</v>
      </c>
      <c r="U854" s="23">
        <v>709</v>
      </c>
      <c r="V854" s="23">
        <v>0.18</v>
      </c>
      <c r="W854" s="23">
        <v>0.12</v>
      </c>
      <c r="X854" s="23">
        <v>17</v>
      </c>
      <c r="Y854" s="23">
        <v>68</v>
      </c>
      <c r="Z854" s="23">
        <v>0</v>
      </c>
      <c r="AA854" s="25">
        <v>0</v>
      </c>
      <c r="AB854" s="25">
        <v>0</v>
      </c>
      <c r="AC854" s="25">
        <v>0</v>
      </c>
      <c r="AD854" s="23">
        <v>0</v>
      </c>
      <c r="AE854" s="23">
        <v>0</v>
      </c>
      <c r="AF854" s="23">
        <v>0</v>
      </c>
      <c r="AG854" s="23">
        <v>50</v>
      </c>
      <c r="AH854" s="24">
        <v>0</v>
      </c>
      <c r="AI854" s="23">
        <v>98</v>
      </c>
      <c r="AJ854" s="13" t="str">
        <f xml:space="preserve"> IF(AD854&gt;F854,"Exceso en grasa saturada",IFERROR(IF(F854=0,"No tiene sello",IF((AD854*9)*100/F854&gt;10,"Exceso en grasa saturada","No tiene sello")),"No tiene sello"))</f>
        <v>No tiene sello</v>
      </c>
      <c r="AK854" s="13">
        <f>IF(AJ854="No tiene sello",0,1)</f>
        <v>0</v>
      </c>
      <c r="AL854" s="13" t="str">
        <f>IF(Q854&gt;=300,"Exceso en sodio",IFERROR(IF(AND(F854=0,Q854&gt;0),"No tiene sello",IF(Q854/F854&gt;1,"Exceso en sodio","No tiene sello")),"No tiene sello"))</f>
        <v>No tiene sello</v>
      </c>
      <c r="AM854" s="13" t="str">
        <f>IFERROR(IF(F854=0,"No tiene sello",IF(+(AG854/1000)*9*100/F854&gt;1,"Exceso en grasa trans", "No tiene sello")),"No tiene sello")</f>
        <v>No tiene sello</v>
      </c>
    </row>
    <row r="855" spans="1:39" ht="15" customHeight="1" x14ac:dyDescent="0.25">
      <c r="A855" s="26" t="s">
        <v>5</v>
      </c>
      <c r="B855" s="26" t="s">
        <v>6</v>
      </c>
      <c r="C855" s="26" t="s">
        <v>3</v>
      </c>
      <c r="D855" s="47">
        <v>100</v>
      </c>
      <c r="E855" s="28">
        <v>9.3000000000000007</v>
      </c>
      <c r="F855" s="24">
        <v>479</v>
      </c>
      <c r="G855" s="28">
        <v>2003</v>
      </c>
      <c r="H855" s="24">
        <v>36.5</v>
      </c>
      <c r="I855" s="24">
        <v>20.7</v>
      </c>
      <c r="J855" s="24">
        <v>28.8</v>
      </c>
      <c r="K855" s="28">
        <v>13.1</v>
      </c>
      <c r="L855" s="28">
        <v>2.88</v>
      </c>
      <c r="M855" s="24">
        <v>15.7</v>
      </c>
      <c r="N855" s="28">
        <v>4.5999999999999996</v>
      </c>
      <c r="O855" s="25">
        <v>263</v>
      </c>
      <c r="P855" s="25">
        <v>8.9</v>
      </c>
      <c r="Q855" s="28">
        <v>4</v>
      </c>
      <c r="R855" s="25">
        <v>694</v>
      </c>
      <c r="S855" s="28">
        <v>4.4000000000000004</v>
      </c>
      <c r="T855" s="28">
        <v>266</v>
      </c>
      <c r="U855" s="28">
        <v>1830</v>
      </c>
      <c r="V855" s="28">
        <v>0.77</v>
      </c>
      <c r="W855" s="28">
        <v>0.75</v>
      </c>
      <c r="X855" s="28">
        <v>2</v>
      </c>
      <c r="Y855" s="28">
        <v>373</v>
      </c>
      <c r="Z855" s="28">
        <v>0</v>
      </c>
      <c r="AA855" s="25">
        <v>9</v>
      </c>
      <c r="AB855" s="25">
        <v>2</v>
      </c>
      <c r="AC855" s="25">
        <v>0</v>
      </c>
      <c r="AD855" s="28">
        <v>0</v>
      </c>
      <c r="AE855" s="28">
        <v>0</v>
      </c>
      <c r="AF855" s="28">
        <v>0</v>
      </c>
      <c r="AG855" s="28">
        <v>0</v>
      </c>
      <c r="AH855" s="24">
        <v>0</v>
      </c>
      <c r="AI855" s="28">
        <v>100</v>
      </c>
      <c r="AJ855" s="13" t="str">
        <f xml:space="preserve"> IF(AD855&gt;F855,"Exceso en grasa saturada",IFERROR(IF(F855=0,"No tiene sello",IF((AD855*9)*100/F855&gt;10,"Exceso en grasa saturada","No tiene sello")),"No tiene sello"))</f>
        <v>No tiene sello</v>
      </c>
      <c r="AK855" s="13">
        <f>IF(AJ855="No tiene sello",0,1)</f>
        <v>0</v>
      </c>
      <c r="AL855" s="13" t="str">
        <f>IF(Q855&gt;=300,"Exceso en sodio",IFERROR(IF(AND(F855=0,Q855&gt;0),"No tiene sello",IF(Q855/F855&gt;1,"Exceso en sodio","No tiene sello")),"No tiene sello"))</f>
        <v>No tiene sello</v>
      </c>
      <c r="AM855" s="13" t="str">
        <f>IFERROR(IF(F855=0,"No tiene sello",IF(+(AG855/1000)*9*100/F855&gt;1,"Exceso en grasa trans", "No tiene sello")),"No tiene sello")</f>
        <v>No tiene sello</v>
      </c>
    </row>
    <row r="856" spans="1:39" ht="15" customHeight="1" x14ac:dyDescent="0.25">
      <c r="A856" s="20" t="s">
        <v>2</v>
      </c>
      <c r="B856" s="20" t="s">
        <v>4</v>
      </c>
      <c r="C856" s="20" t="s">
        <v>3</v>
      </c>
      <c r="D856" s="22">
        <v>100</v>
      </c>
      <c r="E856" s="23">
        <v>2</v>
      </c>
      <c r="F856" s="24">
        <v>539</v>
      </c>
      <c r="G856" s="23">
        <v>2250</v>
      </c>
      <c r="H856" s="24">
        <v>38.5</v>
      </c>
      <c r="I856" s="24">
        <v>25.4</v>
      </c>
      <c r="J856" s="24">
        <v>30.2</v>
      </c>
      <c r="K856" s="23">
        <v>12.5</v>
      </c>
      <c r="L856" s="23">
        <v>3.02</v>
      </c>
      <c r="M856" s="24">
        <v>17.7</v>
      </c>
      <c r="N856" s="23">
        <v>3.9</v>
      </c>
      <c r="O856" s="25">
        <v>138</v>
      </c>
      <c r="P856" s="25">
        <v>3.9</v>
      </c>
      <c r="Q856" s="23">
        <v>4</v>
      </c>
      <c r="R856" s="25">
        <v>363</v>
      </c>
      <c r="S856" s="23">
        <v>3.1</v>
      </c>
      <c r="T856" s="23">
        <v>145</v>
      </c>
      <c r="U856" s="23">
        <v>1470</v>
      </c>
      <c r="V856" s="23">
        <v>0.1</v>
      </c>
      <c r="W856" s="23">
        <v>0.14000000000000001</v>
      </c>
      <c r="X856" s="23">
        <v>1.4</v>
      </c>
      <c r="Y856" s="23">
        <v>211</v>
      </c>
      <c r="Z856" s="23">
        <v>0</v>
      </c>
      <c r="AA856" s="25">
        <v>2</v>
      </c>
      <c r="AB856" s="25">
        <v>0</v>
      </c>
      <c r="AC856" s="25">
        <v>0</v>
      </c>
      <c r="AD856" s="23">
        <v>0</v>
      </c>
      <c r="AE856" s="23">
        <v>0</v>
      </c>
      <c r="AF856" s="23">
        <v>0</v>
      </c>
      <c r="AG856" s="23">
        <v>50</v>
      </c>
      <c r="AH856" s="24">
        <v>0</v>
      </c>
      <c r="AI856" s="23">
        <v>100</v>
      </c>
      <c r="AJ856" s="13" t="str">
        <f xml:space="preserve"> IF(AD856&gt;F856,"Exceso en grasa saturada",IFERROR(IF(F856=0,"No tiene sello",IF((AD856*9)*100/F856&gt;10,"Exceso en grasa saturada","No tiene sello")),"No tiene sello"))</f>
        <v>No tiene sello</v>
      </c>
      <c r="AK856" s="13">
        <f>IF(AJ856="No tiene sello",0,1)</f>
        <v>0</v>
      </c>
      <c r="AL856" s="13" t="str">
        <f>IF(Q856&gt;=300,"Exceso en sodio",IFERROR(IF(AND(F856=0,Q856&gt;0),"No tiene sello",IF(Q856/F856&gt;1,"Exceso en sodio","No tiene sello")),"No tiene sello"))</f>
        <v>No tiene sello</v>
      </c>
      <c r="AM856" s="13" t="str">
        <f>IFERROR(IF(F856=0,"No tiene sello",IF(+(AG856/1000)*9*100/F856&gt;1,"Exceso en grasa trans", "No tiene sello")),"No tiene sello")</f>
        <v>No tiene sello</v>
      </c>
    </row>
    <row r="857" spans="1:39" ht="15" customHeight="1" x14ac:dyDescent="0.25">
      <c r="A857" s="26" t="s">
        <v>0</v>
      </c>
      <c r="B857" s="26" t="s">
        <v>1</v>
      </c>
      <c r="C857" s="27"/>
      <c r="D857" s="47">
        <v>100</v>
      </c>
      <c r="E857" s="28">
        <v>73</v>
      </c>
      <c r="F857" s="24">
        <v>142</v>
      </c>
      <c r="G857" s="28">
        <v>593</v>
      </c>
      <c r="H857" s="24">
        <v>17.399999999999999</v>
      </c>
      <c r="I857" s="24">
        <v>7.7</v>
      </c>
      <c r="J857" s="24">
        <v>0.5</v>
      </c>
      <c r="K857" s="28">
        <v>0.2</v>
      </c>
      <c r="L857" s="28">
        <v>0.05</v>
      </c>
      <c r="M857" s="24">
        <v>0.3</v>
      </c>
      <c r="N857" s="28">
        <v>1.4</v>
      </c>
      <c r="O857" s="25">
        <v>191</v>
      </c>
      <c r="P857" s="25">
        <v>1.2</v>
      </c>
      <c r="Q857" s="28">
        <v>17</v>
      </c>
      <c r="R857" s="25">
        <v>214</v>
      </c>
      <c r="S857" s="28">
        <v>1.8</v>
      </c>
      <c r="T857" s="28">
        <v>35</v>
      </c>
      <c r="U857" s="28">
        <v>193</v>
      </c>
      <c r="V857" s="28">
        <v>0.05</v>
      </c>
      <c r="W857" s="28">
        <v>0.14000000000000001</v>
      </c>
      <c r="X857" s="28">
        <v>0.5</v>
      </c>
      <c r="Y857" s="28">
        <v>29</v>
      </c>
      <c r="Z857" s="28">
        <v>1.51</v>
      </c>
      <c r="AA857" s="25">
        <v>0</v>
      </c>
      <c r="AB857" s="25">
        <v>2</v>
      </c>
      <c r="AC857" s="25">
        <v>0</v>
      </c>
      <c r="AD857" s="28">
        <v>0</v>
      </c>
      <c r="AE857" s="28">
        <v>0</v>
      </c>
      <c r="AF857" s="28">
        <v>0</v>
      </c>
      <c r="AG857" s="28">
        <v>0</v>
      </c>
      <c r="AH857" s="24">
        <v>0</v>
      </c>
      <c r="AI857" s="28">
        <v>100</v>
      </c>
      <c r="AJ857" s="13" t="str">
        <f xml:space="preserve"> IF(AD857&gt;F857,"Exceso en grasa saturada",IFERROR(IF(F857=0,"No tiene sello",IF((AD857*9)*100/F857&gt;10,"Exceso en grasa saturada","No tiene sello")),"No tiene sello"))</f>
        <v>No tiene sello</v>
      </c>
      <c r="AK857" s="13">
        <f>IF(AJ857="No tiene sello",0,1)</f>
        <v>0</v>
      </c>
      <c r="AL857" s="13" t="str">
        <f>IF(Q857&gt;=300,"Exceso en sodio",IFERROR(IF(AND(F857=0,Q857&gt;0),"No tiene sello",IF(Q857/F857&gt;1,"Exceso en sodio","No tiene sello")),"No tiene sello"))</f>
        <v>No tiene sello</v>
      </c>
      <c r="AM857" s="13" t="str">
        <f>IFERROR(IF(F857=0,"No tiene sello",IF(+(AG857/1000)*9*100/F857&gt;1,"Exceso en grasa trans", "No tiene sello")),"No tiene sello")</f>
        <v>No tiene sello</v>
      </c>
    </row>
    <row r="858" spans="1:39" ht="15" customHeight="1" x14ac:dyDescent="0.25">
      <c r="A858" s="50"/>
      <c r="B858" s="50"/>
      <c r="C858" s="50"/>
      <c r="D858" s="50"/>
      <c r="E858" s="50"/>
      <c r="F858" s="51"/>
      <c r="G858" s="50"/>
      <c r="H858" s="51"/>
      <c r="I858" s="51"/>
      <c r="J858" s="51"/>
      <c r="K858" s="50"/>
      <c r="L858" s="50"/>
      <c r="M858" s="51"/>
      <c r="N858" s="50"/>
      <c r="O858" s="52"/>
      <c r="P858" s="52"/>
      <c r="Q858" s="50"/>
      <c r="R858" s="52"/>
      <c r="S858" s="50"/>
      <c r="T858" s="50"/>
      <c r="U858" s="50"/>
      <c r="V858" s="50"/>
      <c r="W858" s="50"/>
      <c r="X858" s="50"/>
      <c r="Y858" s="50"/>
      <c r="Z858" s="50"/>
      <c r="AA858" s="52"/>
      <c r="AB858" s="52"/>
      <c r="AC858" s="52"/>
      <c r="AD858" s="50"/>
      <c r="AE858" s="50"/>
      <c r="AF858" s="50"/>
      <c r="AG858" s="50"/>
      <c r="AH858" s="51"/>
      <c r="AI858" s="50"/>
    </row>
  </sheetData>
  <autoFilter ref="A1:AM857">
    <sortState ref="A2:AM857">
      <sortCondition ref="A1:A857"/>
    </sortState>
  </autoFilter>
  <conditionalFormatting sqref="B1:B1048576">
    <cfRule type="duplicateValues" dxfId="0" priority="1"/>
  </conditionalFormatting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9"/>
  <sheetViews>
    <sheetView topLeftCell="AH37" workbookViewId="0">
      <selection activeCell="J39" sqref="J39:AR40"/>
    </sheetView>
  </sheetViews>
  <sheetFormatPr baseColWidth="10" defaultRowHeight="15" x14ac:dyDescent="0.25"/>
  <sheetData>
    <row r="1" spans="1:3" x14ac:dyDescent="0.25">
      <c r="A1" s="42" t="s">
        <v>1640</v>
      </c>
      <c r="B1" s="43" t="s">
        <v>1843</v>
      </c>
      <c r="C1" s="44" t="s">
        <v>1841</v>
      </c>
    </row>
    <row r="2" spans="1:3" ht="105" x14ac:dyDescent="0.25">
      <c r="A2" s="42" t="s">
        <v>1633</v>
      </c>
      <c r="B2" s="43" t="s">
        <v>1844</v>
      </c>
      <c r="C2" s="44" t="s">
        <v>1863</v>
      </c>
    </row>
    <row r="3" spans="1:3" ht="30" x14ac:dyDescent="0.25">
      <c r="A3" s="42" t="s">
        <v>1632</v>
      </c>
      <c r="B3" s="43" t="s">
        <v>1845</v>
      </c>
      <c r="C3" s="44" t="s">
        <v>1845</v>
      </c>
    </row>
    <row r="4" spans="1:3" ht="30" x14ac:dyDescent="0.25">
      <c r="A4" s="42" t="s">
        <v>1639</v>
      </c>
      <c r="B4" s="43">
        <v>100</v>
      </c>
      <c r="C4" s="44">
        <v>100</v>
      </c>
    </row>
    <row r="5" spans="1:3" ht="30" x14ac:dyDescent="0.25">
      <c r="A5" s="42" t="s">
        <v>1636</v>
      </c>
      <c r="B5" s="43" t="s">
        <v>1846</v>
      </c>
      <c r="C5" s="44" t="s">
        <v>1864</v>
      </c>
    </row>
    <row r="6" spans="1:3" ht="30" x14ac:dyDescent="0.25">
      <c r="A6" s="42" t="s">
        <v>1637</v>
      </c>
      <c r="B6" s="43" t="s">
        <v>1847</v>
      </c>
      <c r="C6" s="44" t="s">
        <v>1865</v>
      </c>
    </row>
    <row r="7" spans="1:3" ht="30" x14ac:dyDescent="0.25">
      <c r="A7" s="42" t="s">
        <v>1631</v>
      </c>
      <c r="B7" s="43" t="s">
        <v>1848</v>
      </c>
      <c r="C7" s="44" t="s">
        <v>1866</v>
      </c>
    </row>
    <row r="8" spans="1:3" ht="30" x14ac:dyDescent="0.25">
      <c r="A8" s="42" t="s">
        <v>1630</v>
      </c>
      <c r="B8" s="43" t="s">
        <v>1849</v>
      </c>
      <c r="C8" s="44" t="s">
        <v>1850</v>
      </c>
    </row>
    <row r="9" spans="1:3" ht="30" x14ac:dyDescent="0.25">
      <c r="A9" s="42" t="s">
        <v>1641</v>
      </c>
      <c r="B9" s="43" t="s">
        <v>1850</v>
      </c>
      <c r="C9" s="44" t="s">
        <v>1850</v>
      </c>
    </row>
    <row r="10" spans="1:3" ht="60" x14ac:dyDescent="0.25">
      <c r="A10" s="42" t="s">
        <v>1629</v>
      </c>
      <c r="B10" s="43" t="s">
        <v>1851</v>
      </c>
      <c r="C10" s="44" t="s">
        <v>1867</v>
      </c>
    </row>
    <row r="11" spans="1:3" ht="60" x14ac:dyDescent="0.25">
      <c r="A11" s="42" t="s">
        <v>1628</v>
      </c>
      <c r="B11" s="43" t="s">
        <v>1851</v>
      </c>
      <c r="C11" s="44" t="s">
        <v>1867</v>
      </c>
    </row>
    <row r="12" spans="1:3" ht="30" x14ac:dyDescent="0.25">
      <c r="A12" s="42" t="s">
        <v>1634</v>
      </c>
      <c r="B12" s="43" t="s">
        <v>1852</v>
      </c>
      <c r="C12" s="44" t="s">
        <v>1850</v>
      </c>
    </row>
    <row r="13" spans="1:3" ht="45" x14ac:dyDescent="0.25">
      <c r="A13" s="42" t="s">
        <v>1627</v>
      </c>
      <c r="B13" s="43" t="s">
        <v>1850</v>
      </c>
      <c r="C13" s="44" t="s">
        <v>1850</v>
      </c>
    </row>
    <row r="14" spans="1:3" ht="30" x14ac:dyDescent="0.25">
      <c r="A14" s="42" t="s">
        <v>1626</v>
      </c>
      <c r="B14" s="43" t="s">
        <v>1853</v>
      </c>
      <c r="C14" s="44" t="s">
        <v>1850</v>
      </c>
    </row>
    <row r="15" spans="1:3" ht="30" x14ac:dyDescent="0.25">
      <c r="A15" s="42" t="s">
        <v>1625</v>
      </c>
      <c r="B15" s="43" t="s">
        <v>1854</v>
      </c>
      <c r="C15" s="44" t="s">
        <v>1850</v>
      </c>
    </row>
    <row r="16" spans="1:3" ht="30" x14ac:dyDescent="0.25">
      <c r="A16" s="42" t="s">
        <v>1624</v>
      </c>
      <c r="B16" s="43" t="s">
        <v>1853</v>
      </c>
      <c r="C16" s="44" t="s">
        <v>1850</v>
      </c>
    </row>
    <row r="17" spans="1:3" ht="30" x14ac:dyDescent="0.25">
      <c r="A17" s="42" t="s">
        <v>1623</v>
      </c>
      <c r="B17" s="43" t="s">
        <v>1855</v>
      </c>
      <c r="C17" s="44" t="s">
        <v>1850</v>
      </c>
    </row>
    <row r="18" spans="1:3" ht="30" x14ac:dyDescent="0.25">
      <c r="A18" s="42" t="s">
        <v>1622</v>
      </c>
      <c r="B18" s="43" t="s">
        <v>1856</v>
      </c>
      <c r="C18" s="44" t="s">
        <v>1850</v>
      </c>
    </row>
    <row r="19" spans="1:3" ht="30" x14ac:dyDescent="0.25">
      <c r="A19" s="42" t="s">
        <v>1857</v>
      </c>
      <c r="B19" s="43" t="s">
        <v>1850</v>
      </c>
      <c r="C19" s="44" t="s">
        <v>1850</v>
      </c>
    </row>
    <row r="20" spans="1:3" x14ac:dyDescent="0.25">
      <c r="A20" s="42" t="s">
        <v>1621</v>
      </c>
      <c r="B20" s="43" t="s">
        <v>1850</v>
      </c>
      <c r="C20" s="44" t="s">
        <v>1850</v>
      </c>
    </row>
    <row r="21" spans="1:3" ht="30" x14ac:dyDescent="0.25">
      <c r="A21" s="42" t="s">
        <v>1620</v>
      </c>
      <c r="B21" s="43" t="s">
        <v>1858</v>
      </c>
      <c r="C21" s="44" t="s">
        <v>1850</v>
      </c>
    </row>
    <row r="22" spans="1:3" ht="30" x14ac:dyDescent="0.25">
      <c r="A22" s="42" t="s">
        <v>1619</v>
      </c>
      <c r="B22" s="43" t="s">
        <v>1859</v>
      </c>
      <c r="C22" s="44" t="s">
        <v>1850</v>
      </c>
    </row>
    <row r="23" spans="1:3" ht="30" x14ac:dyDescent="0.25">
      <c r="A23" s="42" t="s">
        <v>1618</v>
      </c>
      <c r="B23" s="43" t="s">
        <v>1850</v>
      </c>
      <c r="C23" s="44" t="s">
        <v>1850</v>
      </c>
    </row>
    <row r="24" spans="1:3" ht="30" x14ac:dyDescent="0.25">
      <c r="A24" s="42" t="s">
        <v>1617</v>
      </c>
      <c r="B24" s="43" t="s">
        <v>1850</v>
      </c>
      <c r="C24" s="44" t="s">
        <v>1850</v>
      </c>
    </row>
    <row r="25" spans="1:3" ht="30" x14ac:dyDescent="0.25">
      <c r="A25" s="42" t="s">
        <v>1616</v>
      </c>
      <c r="B25" s="43" t="s">
        <v>1850</v>
      </c>
      <c r="C25" s="44" t="s">
        <v>1850</v>
      </c>
    </row>
    <row r="26" spans="1:3" ht="30" x14ac:dyDescent="0.25">
      <c r="A26" s="42" t="s">
        <v>1615</v>
      </c>
      <c r="B26" s="43" t="s">
        <v>1850</v>
      </c>
      <c r="C26" s="44" t="s">
        <v>1850</v>
      </c>
    </row>
    <row r="27" spans="1:3" ht="45" x14ac:dyDescent="0.25">
      <c r="A27" s="42" t="s">
        <v>1614</v>
      </c>
      <c r="B27" s="43" t="s">
        <v>1850</v>
      </c>
      <c r="C27" s="44" t="s">
        <v>1850</v>
      </c>
    </row>
    <row r="28" spans="1:3" ht="30" x14ac:dyDescent="0.25">
      <c r="A28" s="42" t="s">
        <v>1613</v>
      </c>
      <c r="B28" s="43" t="s">
        <v>1850</v>
      </c>
      <c r="C28" s="44" t="s">
        <v>1850</v>
      </c>
    </row>
    <row r="29" spans="1:3" ht="30" x14ac:dyDescent="0.25">
      <c r="A29" s="42" t="s">
        <v>1612</v>
      </c>
      <c r="B29" s="43" t="s">
        <v>1850</v>
      </c>
      <c r="C29" s="44" t="s">
        <v>1850</v>
      </c>
    </row>
    <row r="30" spans="1:3" ht="30" x14ac:dyDescent="0.25">
      <c r="A30" s="42" t="s">
        <v>1638</v>
      </c>
      <c r="B30" s="43" t="s">
        <v>1850</v>
      </c>
      <c r="C30" s="44" t="s">
        <v>1850</v>
      </c>
    </row>
    <row r="31" spans="1:3" ht="45" x14ac:dyDescent="0.25">
      <c r="A31" s="42" t="s">
        <v>1611</v>
      </c>
      <c r="B31" s="43" t="s">
        <v>1850</v>
      </c>
      <c r="C31" s="44" t="s">
        <v>1850</v>
      </c>
    </row>
    <row r="32" spans="1:3" ht="45" x14ac:dyDescent="0.25">
      <c r="A32" s="42" t="s">
        <v>1610</v>
      </c>
      <c r="B32" s="43" t="s">
        <v>1850</v>
      </c>
      <c r="C32" s="44" t="s">
        <v>1850</v>
      </c>
    </row>
    <row r="33" spans="1:48" ht="45" x14ac:dyDescent="0.25">
      <c r="A33" s="42" t="s">
        <v>1609</v>
      </c>
      <c r="B33" s="43" t="s">
        <v>1850</v>
      </c>
      <c r="C33" s="44" t="s">
        <v>1850</v>
      </c>
    </row>
    <row r="34" spans="1:48" ht="30" x14ac:dyDescent="0.25">
      <c r="A34" s="42" t="s">
        <v>1635</v>
      </c>
      <c r="B34" s="43" t="s">
        <v>1850</v>
      </c>
      <c r="C34" s="44" t="s">
        <v>1850</v>
      </c>
    </row>
    <row r="35" spans="1:48" ht="30" x14ac:dyDescent="0.25">
      <c r="A35" s="42" t="s">
        <v>1608</v>
      </c>
      <c r="B35" s="43" t="s">
        <v>1850</v>
      </c>
      <c r="C35" s="44" t="s">
        <v>1850</v>
      </c>
    </row>
    <row r="36" spans="1:48" ht="45" x14ac:dyDescent="0.25">
      <c r="A36" s="42" t="s">
        <v>1607</v>
      </c>
      <c r="B36" s="43" t="s">
        <v>1860</v>
      </c>
      <c r="C36" s="44" t="s">
        <v>1860</v>
      </c>
    </row>
    <row r="37" spans="1:48" ht="45" x14ac:dyDescent="0.25">
      <c r="A37" s="42" t="s">
        <v>1606</v>
      </c>
      <c r="B37" s="43" t="s">
        <v>1861</v>
      </c>
      <c r="C37" s="44" t="s">
        <v>1861</v>
      </c>
    </row>
    <row r="38" spans="1:48" ht="60" x14ac:dyDescent="0.25">
      <c r="A38" s="42" t="s">
        <v>1644</v>
      </c>
      <c r="B38" s="43">
        <v>0</v>
      </c>
      <c r="C38" s="44">
        <v>0</v>
      </c>
      <c r="J38" s="42" t="s">
        <v>1640</v>
      </c>
      <c r="K38" s="42" t="s">
        <v>1633</v>
      </c>
      <c r="L38" s="42" t="s">
        <v>1632</v>
      </c>
      <c r="M38" s="42" t="s">
        <v>1639</v>
      </c>
      <c r="N38" s="42" t="s">
        <v>1636</v>
      </c>
      <c r="O38" s="42" t="s">
        <v>1637</v>
      </c>
      <c r="P38" s="42" t="s">
        <v>1631</v>
      </c>
      <c r="Q38" s="42" t="s">
        <v>1630</v>
      </c>
      <c r="R38" s="42" t="s">
        <v>1641</v>
      </c>
      <c r="S38" s="42" t="s">
        <v>1629</v>
      </c>
      <c r="T38" s="42" t="s">
        <v>1628</v>
      </c>
      <c r="U38" s="42" t="s">
        <v>1634</v>
      </c>
      <c r="V38" s="42" t="s">
        <v>1627</v>
      </c>
      <c r="W38" s="42" t="s">
        <v>1626</v>
      </c>
      <c r="X38" s="42" t="s">
        <v>1625</v>
      </c>
      <c r="Y38" s="42" t="s">
        <v>1624</v>
      </c>
      <c r="Z38" s="42" t="s">
        <v>1623</v>
      </c>
      <c r="AA38" s="42" t="s">
        <v>1622</v>
      </c>
      <c r="AB38" s="42" t="s">
        <v>1621</v>
      </c>
      <c r="AC38" s="42" t="s">
        <v>1620</v>
      </c>
      <c r="AD38" s="42" t="s">
        <v>1619</v>
      </c>
      <c r="AE38" s="42" t="s">
        <v>1618</v>
      </c>
      <c r="AF38" s="42" t="s">
        <v>1617</v>
      </c>
      <c r="AG38" s="42" t="s">
        <v>1616</v>
      </c>
      <c r="AH38" s="42" t="s">
        <v>1615</v>
      </c>
      <c r="AI38" s="42" t="s">
        <v>1614</v>
      </c>
      <c r="AJ38" s="42" t="s">
        <v>1613</v>
      </c>
      <c r="AK38" s="42" t="s">
        <v>1612</v>
      </c>
      <c r="AL38" s="42" t="s">
        <v>1638</v>
      </c>
      <c r="AM38" s="42" t="s">
        <v>1611</v>
      </c>
      <c r="AN38" s="42" t="s">
        <v>1610</v>
      </c>
      <c r="AO38" s="42" t="s">
        <v>1609</v>
      </c>
      <c r="AP38" s="42" t="s">
        <v>1635</v>
      </c>
      <c r="AQ38" s="42" t="s">
        <v>1608</v>
      </c>
      <c r="AR38" s="42" t="s">
        <v>1607</v>
      </c>
      <c r="AS38" s="42" t="s">
        <v>1606</v>
      </c>
      <c r="AT38" s="42" t="s">
        <v>1644</v>
      </c>
      <c r="AU38" s="42" t="s">
        <v>1605</v>
      </c>
      <c r="AV38" s="42" t="s">
        <v>1642</v>
      </c>
    </row>
    <row r="39" spans="1:48" ht="105" x14ac:dyDescent="0.25">
      <c r="A39" s="42" t="s">
        <v>1605</v>
      </c>
      <c r="B39" s="43" t="s">
        <v>1862</v>
      </c>
      <c r="C39" s="44" t="s">
        <v>1861</v>
      </c>
      <c r="J39" s="43" t="s">
        <v>1843</v>
      </c>
      <c r="K39" s="43" t="s">
        <v>1844</v>
      </c>
      <c r="L39" s="43" t="s">
        <v>1845</v>
      </c>
      <c r="M39" s="43">
        <v>100</v>
      </c>
      <c r="N39" s="43">
        <v>12.8</v>
      </c>
      <c r="O39" s="43">
        <v>285</v>
      </c>
      <c r="P39" s="43">
        <v>1192</v>
      </c>
      <c r="Q39" s="43">
        <v>0.2</v>
      </c>
      <c r="R39" s="43">
        <v>0</v>
      </c>
      <c r="S39" s="43">
        <v>70.5</v>
      </c>
      <c r="T39" s="43">
        <v>70.5</v>
      </c>
      <c r="U39" s="43">
        <v>32.9</v>
      </c>
      <c r="V39" s="43">
        <v>0</v>
      </c>
      <c r="W39" s="43">
        <v>0.5</v>
      </c>
      <c r="X39" s="43">
        <v>8</v>
      </c>
      <c r="Y39" s="43">
        <v>0.5</v>
      </c>
      <c r="Z39" s="43">
        <v>149</v>
      </c>
      <c r="AA39" s="43">
        <v>11</v>
      </c>
      <c r="AB39" s="43">
        <v>0</v>
      </c>
      <c r="AC39" s="43">
        <v>2</v>
      </c>
      <c r="AD39" s="43">
        <v>3</v>
      </c>
      <c r="AE39" s="43">
        <v>0</v>
      </c>
      <c r="AF39" s="43">
        <v>0</v>
      </c>
      <c r="AG39" s="43">
        <v>0</v>
      </c>
      <c r="AH39" s="43">
        <v>0</v>
      </c>
      <c r="AI39" s="43">
        <v>0</v>
      </c>
      <c r="AJ39" s="43">
        <v>0</v>
      </c>
      <c r="AK39" s="43">
        <v>0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43">
        <v>100</v>
      </c>
      <c r="AS39" s="43" t="s">
        <v>1861</v>
      </c>
      <c r="AT39" s="43">
        <v>0</v>
      </c>
      <c r="AU39" s="43" t="s">
        <v>1862</v>
      </c>
      <c r="AV39" s="43" t="s">
        <v>1861</v>
      </c>
    </row>
    <row r="40" spans="1:48" ht="71.25" x14ac:dyDescent="0.25">
      <c r="A40" s="42" t="s">
        <v>1642</v>
      </c>
      <c r="B40" s="43" t="s">
        <v>1861</v>
      </c>
      <c r="C40" s="44" t="s">
        <v>1861</v>
      </c>
      <c r="J40" s="44" t="s">
        <v>1841</v>
      </c>
      <c r="K40" s="44" t="s">
        <v>1863</v>
      </c>
      <c r="L40" s="44" t="s">
        <v>1845</v>
      </c>
      <c r="M40" s="44">
        <v>100</v>
      </c>
      <c r="N40" s="44">
        <v>0.3</v>
      </c>
      <c r="O40" s="44">
        <v>399</v>
      </c>
      <c r="P40" s="44">
        <v>1670</v>
      </c>
      <c r="Q40" s="44">
        <v>0</v>
      </c>
      <c r="R40" s="44">
        <v>0</v>
      </c>
      <c r="S40" s="44">
        <v>99.7</v>
      </c>
      <c r="T40" s="44">
        <v>99.7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4">
        <v>0</v>
      </c>
      <c r="AJ40" s="44">
        <v>0</v>
      </c>
      <c r="AK40" s="44">
        <v>0</v>
      </c>
      <c r="AL40" s="44">
        <v>0</v>
      </c>
      <c r="AM40" s="44">
        <v>0</v>
      </c>
      <c r="AN40" s="44">
        <v>0</v>
      </c>
      <c r="AO40" s="44">
        <v>0</v>
      </c>
      <c r="AP40" s="44">
        <v>0</v>
      </c>
      <c r="AQ40" s="44">
        <v>0</v>
      </c>
      <c r="AR40" s="44">
        <v>100</v>
      </c>
      <c r="AS40" s="44" t="s">
        <v>1861</v>
      </c>
      <c r="AT40" s="44">
        <v>0</v>
      </c>
      <c r="AU40" s="44" t="s">
        <v>1861</v>
      </c>
      <c r="AV40" s="44" t="s">
        <v>1861</v>
      </c>
    </row>
    <row r="49" spans="3:3" x14ac:dyDescent="0.25">
      <c r="C49" s="45" t="s">
        <v>1868</v>
      </c>
    </row>
    <row r="50" spans="3:3" x14ac:dyDescent="0.25">
      <c r="C50" s="44" t="s">
        <v>1843</v>
      </c>
    </row>
    <row r="51" spans="3:3" ht="85.5" x14ac:dyDescent="0.25">
      <c r="C51" s="44" t="s">
        <v>1844</v>
      </c>
    </row>
    <row r="52" spans="3:3" ht="28.5" x14ac:dyDescent="0.25">
      <c r="C52" s="44" t="s">
        <v>1845</v>
      </c>
    </row>
    <row r="53" spans="3:3" x14ac:dyDescent="0.25">
      <c r="C53" s="44">
        <v>100</v>
      </c>
    </row>
    <row r="54" spans="3:3" x14ac:dyDescent="0.25">
      <c r="C54" s="44" t="s">
        <v>1846</v>
      </c>
    </row>
    <row r="55" spans="3:3" x14ac:dyDescent="0.25">
      <c r="C55" s="44" t="s">
        <v>1847</v>
      </c>
    </row>
    <row r="56" spans="3:3" x14ac:dyDescent="0.25">
      <c r="C56" s="44" t="s">
        <v>1848</v>
      </c>
    </row>
    <row r="57" spans="3:3" x14ac:dyDescent="0.25">
      <c r="C57" s="44" t="s">
        <v>1849</v>
      </c>
    </row>
    <row r="58" spans="3:3" x14ac:dyDescent="0.25">
      <c r="C58" s="44" t="s">
        <v>1850</v>
      </c>
    </row>
    <row r="59" spans="3:3" x14ac:dyDescent="0.25">
      <c r="C59" s="44" t="s">
        <v>1851</v>
      </c>
    </row>
    <row r="60" spans="3:3" x14ac:dyDescent="0.25">
      <c r="C60" s="44" t="s">
        <v>1851</v>
      </c>
    </row>
    <row r="61" spans="3:3" x14ac:dyDescent="0.25">
      <c r="C61" s="44" t="s">
        <v>1852</v>
      </c>
    </row>
    <row r="62" spans="3:3" x14ac:dyDescent="0.25">
      <c r="C62" s="44" t="s">
        <v>1850</v>
      </c>
    </row>
    <row r="63" spans="3:3" x14ac:dyDescent="0.25">
      <c r="C63" s="44" t="s">
        <v>1853</v>
      </c>
    </row>
    <row r="64" spans="3:3" x14ac:dyDescent="0.25">
      <c r="C64" s="44" t="s">
        <v>1854</v>
      </c>
    </row>
    <row r="65" spans="3:3" x14ac:dyDescent="0.25">
      <c r="C65" s="44" t="s">
        <v>1853</v>
      </c>
    </row>
    <row r="66" spans="3:3" x14ac:dyDescent="0.25">
      <c r="C66" s="44" t="s">
        <v>1855</v>
      </c>
    </row>
    <row r="67" spans="3:3" x14ac:dyDescent="0.25">
      <c r="C67" s="44" t="s">
        <v>1856</v>
      </c>
    </row>
    <row r="68" spans="3:3" x14ac:dyDescent="0.25">
      <c r="C68" s="44" t="s">
        <v>1850</v>
      </c>
    </row>
    <row r="69" spans="3:3" x14ac:dyDescent="0.25">
      <c r="C69" s="44" t="s">
        <v>1850</v>
      </c>
    </row>
    <row r="70" spans="3:3" x14ac:dyDescent="0.25">
      <c r="C70" s="44" t="s">
        <v>1858</v>
      </c>
    </row>
    <row r="71" spans="3:3" x14ac:dyDescent="0.25">
      <c r="C71" s="44" t="s">
        <v>1859</v>
      </c>
    </row>
    <row r="72" spans="3:3" x14ac:dyDescent="0.25">
      <c r="C72" s="44" t="s">
        <v>1850</v>
      </c>
    </row>
    <row r="73" spans="3:3" x14ac:dyDescent="0.25">
      <c r="C73" s="44" t="s">
        <v>1850</v>
      </c>
    </row>
    <row r="74" spans="3:3" x14ac:dyDescent="0.25">
      <c r="C74" s="44" t="s">
        <v>1850</v>
      </c>
    </row>
    <row r="75" spans="3:3" x14ac:dyDescent="0.25">
      <c r="C75" s="44" t="s">
        <v>1850</v>
      </c>
    </row>
    <row r="76" spans="3:3" x14ac:dyDescent="0.25">
      <c r="C76" s="44" t="s">
        <v>1850</v>
      </c>
    </row>
    <row r="77" spans="3:3" x14ac:dyDescent="0.25">
      <c r="C77" s="44" t="s">
        <v>1850</v>
      </c>
    </row>
    <row r="78" spans="3:3" x14ac:dyDescent="0.25">
      <c r="C78" s="44" t="s">
        <v>1850</v>
      </c>
    </row>
    <row r="79" spans="3:3" x14ac:dyDescent="0.25">
      <c r="C79" s="44" t="s">
        <v>1850</v>
      </c>
    </row>
    <row r="80" spans="3:3" x14ac:dyDescent="0.25">
      <c r="C80" s="44" t="s">
        <v>1850</v>
      </c>
    </row>
    <row r="81" spans="3:3" x14ac:dyDescent="0.25">
      <c r="C81" s="44" t="s">
        <v>1850</v>
      </c>
    </row>
    <row r="82" spans="3:3" x14ac:dyDescent="0.25">
      <c r="C82" s="44" t="s">
        <v>1850</v>
      </c>
    </row>
    <row r="83" spans="3:3" x14ac:dyDescent="0.25">
      <c r="C83" s="44" t="s">
        <v>1850</v>
      </c>
    </row>
    <row r="84" spans="3:3" x14ac:dyDescent="0.25">
      <c r="C84" s="44" t="s">
        <v>1850</v>
      </c>
    </row>
    <row r="85" spans="3:3" x14ac:dyDescent="0.25">
      <c r="C85" s="44" t="s">
        <v>1860</v>
      </c>
    </row>
    <row r="86" spans="3:3" ht="28.5" x14ac:dyDescent="0.25">
      <c r="C86" s="44" t="s">
        <v>1861</v>
      </c>
    </row>
    <row r="87" spans="3:3" x14ac:dyDescent="0.25">
      <c r="C87" s="44">
        <v>0</v>
      </c>
    </row>
    <row r="88" spans="3:3" ht="28.5" x14ac:dyDescent="0.25">
      <c r="C88" s="44" t="s">
        <v>1862</v>
      </c>
    </row>
    <row r="89" spans="3:3" ht="28.5" x14ac:dyDescent="0.25">
      <c r="C89" s="44" t="s">
        <v>1861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TCAC_2018_REEMPLAZABLE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2026-03-02T23:46:43Z</dcterms:created>
  <dcterms:modified xsi:type="dcterms:W3CDTF">2026-03-17T00:18:48Z</dcterms:modified>
</cp:coreProperties>
</file>